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/>
  <bookViews>
    <workbookView xWindow="-150" yWindow="-165" windowWidth="27945" windowHeight="8325" tabRatio="794" activeTab="1"/>
  </bookViews>
  <sheets>
    <sheet name="Фин.модель" sheetId="63" r:id="rId1"/>
    <sheet name="БДДС" sheetId="82" r:id="rId2"/>
    <sheet name="СВОД" sheetId="77" r:id="rId3"/>
    <sheet name="ТЭЦ-1" sheetId="31" r:id="rId4"/>
    <sheet name="ТЭЦ-3" sheetId="78" r:id="rId5"/>
    <sheet name="ТЭЦ-4" sheetId="79" r:id="rId6"/>
    <sheet name="Кот." sheetId="75" r:id="rId7"/>
    <sheet name="Сети" sheetId="76" r:id="rId8"/>
    <sheet name="ИНВЕСТ" sheetId="80" r:id="rId9"/>
    <sheet name="ТЭЦ-1 - котельная" sheetId="8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Print_Titles" localSheetId="1">БДДС!$A:$B</definedName>
    <definedName name="_xlnm.Print_Titles" localSheetId="8">ИНВЕСТ!$A:$B,ИНВЕСТ!$2:$2</definedName>
    <definedName name="_xlnm.Print_Titles" localSheetId="6">Кот.!$A:$B,Кот.!$2:$3</definedName>
    <definedName name="_xlnm.Print_Titles" localSheetId="7">Сети!$A:$B,Сети!$2:$3</definedName>
    <definedName name="_xlnm.Print_Titles" localSheetId="0">Фин.модель!$A:$B,Фин.модель!$2:$3</definedName>
    <definedName name="_xlnm.Print_Area" localSheetId="1">БДДС!$A$1:$P$34</definedName>
    <definedName name="_xlnm.Print_Area" localSheetId="8">ИНВЕСТ!$A$1:$N$302</definedName>
    <definedName name="_xlnm.Print_Area" localSheetId="6">Кот.!$A$1:$P$301</definedName>
    <definedName name="_xlnm.Print_Area" localSheetId="2">СВОД!$A$1:$O$116</definedName>
    <definedName name="_xlnm.Print_Area" localSheetId="7">Сети!$A$1:$P$146</definedName>
    <definedName name="_xlnm.Print_Area" localSheetId="3">'ТЭЦ-1'!$A$1:$P$205</definedName>
    <definedName name="_xlnm.Print_Area" localSheetId="9">'ТЭЦ-1 - котельная'!$A$1:$P$196</definedName>
    <definedName name="_xlnm.Print_Area" localSheetId="4">'ТЭЦ-3'!$A$1:$P$204</definedName>
    <definedName name="_xlnm.Print_Area" localSheetId="5">'ТЭЦ-4'!$A$1:$P$210</definedName>
    <definedName name="_xlnm.Print_Area" localSheetId="0">Фин.модель!$A$1:$P$557</definedName>
  </definedNames>
  <calcPr calcId="145621"/>
</workbook>
</file>

<file path=xl/calcChain.xml><?xml version="1.0" encoding="utf-8"?>
<calcChain xmlns="http://schemas.openxmlformats.org/spreadsheetml/2006/main">
  <c r="I61" i="77" l="1"/>
  <c r="J61" i="77"/>
  <c r="K61" i="77"/>
  <c r="L61" i="77"/>
  <c r="M61" i="77"/>
  <c r="N61" i="77"/>
  <c r="D61" i="77"/>
  <c r="C30" i="82"/>
  <c r="Y39" i="82"/>
  <c r="V39" i="82"/>
  <c r="U39" i="82"/>
  <c r="A27" i="82"/>
  <c r="D25" i="82"/>
  <c r="J25" i="82"/>
  <c r="K25" i="82"/>
  <c r="L25" i="82"/>
  <c r="M25" i="82"/>
  <c r="N25" i="82"/>
  <c r="O25" i="82"/>
  <c r="P25" i="82"/>
  <c r="C25" i="82"/>
  <c r="D27" i="82"/>
  <c r="J27" i="82"/>
  <c r="K27" i="82"/>
  <c r="L27" i="82"/>
  <c r="M27" i="82"/>
  <c r="N27" i="82"/>
  <c r="O27" i="82"/>
  <c r="P27" i="82"/>
  <c r="C27" i="82"/>
  <c r="A482" i="63"/>
  <c r="D43" i="63"/>
  <c r="C43" i="63"/>
  <c r="D53" i="63"/>
  <c r="C53" i="63"/>
  <c r="D67" i="63"/>
  <c r="C67" i="63"/>
  <c r="D91" i="63"/>
  <c r="C91" i="63"/>
  <c r="D113" i="63"/>
  <c r="C113" i="63"/>
  <c r="A8" i="82"/>
  <c r="P3" i="82"/>
  <c r="O3" i="82"/>
  <c r="N3" i="82"/>
  <c r="M3" i="82"/>
  <c r="L3" i="82"/>
  <c r="K3" i="82"/>
  <c r="J3" i="82"/>
  <c r="I3" i="82"/>
  <c r="H3" i="82"/>
  <c r="G3" i="82"/>
  <c r="F3" i="82"/>
  <c r="E3" i="82"/>
  <c r="D3" i="82"/>
  <c r="C3" i="82"/>
  <c r="B3" i="82"/>
  <c r="A3" i="82"/>
  <c r="P2" i="82"/>
  <c r="O2" i="82"/>
  <c r="N2" i="82"/>
  <c r="M2" i="82"/>
  <c r="L2" i="82"/>
  <c r="K2" i="82"/>
  <c r="J2" i="82"/>
  <c r="I2" i="82"/>
  <c r="H2" i="82"/>
  <c r="G2" i="82"/>
  <c r="F2" i="82"/>
  <c r="E2" i="82"/>
  <c r="D2" i="82"/>
  <c r="C2" i="82"/>
  <c r="F493" i="63"/>
  <c r="F27" i="82" s="1"/>
  <c r="G493" i="63"/>
  <c r="G27" i="82" s="1"/>
  <c r="H493" i="63"/>
  <c r="H27" i="82" s="1"/>
  <c r="I493" i="63"/>
  <c r="I27" i="82" s="1"/>
  <c r="E493" i="63"/>
  <c r="E27" i="82" s="1"/>
  <c r="F490" i="63"/>
  <c r="G490" i="63" s="1"/>
  <c r="E490" i="63"/>
  <c r="A491" i="63"/>
  <c r="A490" i="63"/>
  <c r="N119" i="77"/>
  <c r="K119" i="77"/>
  <c r="O118" i="77"/>
  <c r="N118" i="77"/>
  <c r="D159" i="79"/>
  <c r="D153" i="78"/>
  <c r="D155" i="31"/>
  <c r="W39" i="82" l="1"/>
  <c r="C159" i="79"/>
  <c r="C153" i="78"/>
  <c r="B153" i="78"/>
  <c r="C155" i="31"/>
  <c r="B155" i="31"/>
  <c r="B159" i="79" l="1"/>
  <c r="B3" i="63" l="1"/>
  <c r="C3" i="63"/>
  <c r="D3" i="63"/>
  <c r="E3" i="63"/>
  <c r="F3" i="63"/>
  <c r="G3" i="63"/>
  <c r="H3" i="63"/>
  <c r="I3" i="63"/>
  <c r="J3" i="63"/>
  <c r="K3" i="63"/>
  <c r="L3" i="63"/>
  <c r="M3" i="63"/>
  <c r="N3" i="63"/>
  <c r="O3" i="63"/>
  <c r="P3" i="63"/>
  <c r="A3" i="63"/>
  <c r="O119" i="77"/>
  <c r="D93" i="63"/>
  <c r="C93" i="63"/>
  <c r="F113" i="63"/>
  <c r="G113" i="63"/>
  <c r="H113" i="63"/>
  <c r="I113" i="63"/>
  <c r="E113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D69" i="63"/>
  <c r="C69" i="63"/>
  <c r="F91" i="63"/>
  <c r="G91" i="63"/>
  <c r="H91" i="63"/>
  <c r="I91" i="63"/>
  <c r="E91" i="63"/>
  <c r="A9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1" i="63"/>
  <c r="D55" i="63"/>
  <c r="C55" i="63"/>
  <c r="F67" i="63"/>
  <c r="G67" i="63"/>
  <c r="H67" i="63"/>
  <c r="I67" i="63"/>
  <c r="E67" i="63"/>
  <c r="A57" i="63"/>
  <c r="A58" i="63"/>
  <c r="A59" i="63"/>
  <c r="A60" i="63"/>
  <c r="A61" i="63"/>
  <c r="A62" i="63"/>
  <c r="A63" i="63"/>
  <c r="A64" i="63"/>
  <c r="A65" i="63"/>
  <c r="A66" i="63"/>
  <c r="A67" i="63"/>
  <c r="J46" i="63"/>
  <c r="K46" i="63"/>
  <c r="L46" i="63"/>
  <c r="M46" i="63"/>
  <c r="N46" i="63"/>
  <c r="O46" i="63"/>
  <c r="P46" i="63"/>
  <c r="J47" i="63"/>
  <c r="K47" i="63"/>
  <c r="L47" i="63"/>
  <c r="M47" i="63"/>
  <c r="N47" i="63"/>
  <c r="O47" i="63"/>
  <c r="P47" i="63"/>
  <c r="J48" i="63"/>
  <c r="K48" i="63"/>
  <c r="L48" i="63"/>
  <c r="M48" i="63"/>
  <c r="N48" i="63"/>
  <c r="O48" i="63"/>
  <c r="P48" i="63"/>
  <c r="J49" i="63"/>
  <c r="K49" i="63"/>
  <c r="L49" i="63"/>
  <c r="M49" i="63"/>
  <c r="N49" i="63"/>
  <c r="O49" i="63"/>
  <c r="P49" i="63"/>
  <c r="J50" i="63"/>
  <c r="K50" i="63"/>
  <c r="L50" i="63"/>
  <c r="M50" i="63"/>
  <c r="N50" i="63"/>
  <c r="O50" i="63"/>
  <c r="P50" i="63"/>
  <c r="J51" i="63"/>
  <c r="K51" i="63"/>
  <c r="L51" i="63"/>
  <c r="M51" i="63"/>
  <c r="N51" i="63"/>
  <c r="O51" i="63"/>
  <c r="P51" i="63"/>
  <c r="J52" i="63"/>
  <c r="K52" i="63"/>
  <c r="L52" i="63"/>
  <c r="M52" i="63"/>
  <c r="N52" i="63"/>
  <c r="O52" i="63"/>
  <c r="P52" i="63"/>
  <c r="F53" i="63"/>
  <c r="G53" i="63"/>
  <c r="H53" i="63"/>
  <c r="I53" i="63"/>
  <c r="E53" i="63"/>
  <c r="D45" i="63"/>
  <c r="C45" i="63"/>
  <c r="A47" i="63"/>
  <c r="A48" i="63"/>
  <c r="A49" i="63"/>
  <c r="A50" i="63"/>
  <c r="A51" i="63"/>
  <c r="A52" i="63"/>
  <c r="A53" i="63"/>
  <c r="D37" i="63"/>
  <c r="D488" i="63" s="1"/>
  <c r="C37" i="63"/>
  <c r="C488" i="63" s="1"/>
  <c r="E43" i="63"/>
  <c r="F43" i="63"/>
  <c r="G43" i="63"/>
  <c r="H43" i="63"/>
  <c r="I43" i="63"/>
  <c r="A39" i="63"/>
  <c r="A40" i="63"/>
  <c r="A41" i="63"/>
  <c r="A42" i="63"/>
  <c r="A43" i="63"/>
  <c r="F492" i="63"/>
  <c r="G492" i="63"/>
  <c r="H492" i="63"/>
  <c r="I492" i="63"/>
  <c r="E492" i="63"/>
  <c r="M94" i="81"/>
  <c r="M99" i="81" s="1"/>
  <c r="E94" i="81"/>
  <c r="E99" i="81" s="1"/>
  <c r="I69" i="81"/>
  <c r="G71" i="81"/>
  <c r="H71" i="81"/>
  <c r="I71" i="81"/>
  <c r="G73" i="81"/>
  <c r="H73" i="81"/>
  <c r="I73" i="81"/>
  <c r="K32" i="81"/>
  <c r="L32" i="81" s="1"/>
  <c r="M32" i="81" s="1"/>
  <c r="N32" i="81" s="1"/>
  <c r="O32" i="81" s="1"/>
  <c r="P32" i="81" s="1"/>
  <c r="I32" i="81"/>
  <c r="O120" i="77"/>
  <c r="O61" i="77" s="1"/>
  <c r="B221" i="81"/>
  <c r="B220" i="81"/>
  <c r="P190" i="81"/>
  <c r="O190" i="81"/>
  <c r="N190" i="81"/>
  <c r="M190" i="81"/>
  <c r="L190" i="81"/>
  <c r="K190" i="81"/>
  <c r="J190" i="81"/>
  <c r="I190" i="81"/>
  <c r="H190" i="81"/>
  <c r="G190" i="81"/>
  <c r="F190" i="81"/>
  <c r="E190" i="81"/>
  <c r="D190" i="81"/>
  <c r="C190" i="81"/>
  <c r="C189" i="81"/>
  <c r="C179" i="81"/>
  <c r="E157" i="81"/>
  <c r="D157" i="81"/>
  <c r="C157" i="81"/>
  <c r="P153" i="81"/>
  <c r="O153" i="81"/>
  <c r="N153" i="81"/>
  <c r="M153" i="81"/>
  <c r="L153" i="81"/>
  <c r="K153" i="81"/>
  <c r="J153" i="81"/>
  <c r="I153" i="81"/>
  <c r="H153" i="81"/>
  <c r="G153" i="81"/>
  <c r="F153" i="81"/>
  <c r="E153" i="81"/>
  <c r="D153" i="81"/>
  <c r="C153" i="81"/>
  <c r="C151" i="81"/>
  <c r="D151" i="81" s="1"/>
  <c r="E151" i="81" s="1"/>
  <c r="F151" i="81" s="1"/>
  <c r="G151" i="81" s="1"/>
  <c r="H151" i="81" s="1"/>
  <c r="I151" i="81" s="1"/>
  <c r="J151" i="81" s="1"/>
  <c r="K151" i="81" s="1"/>
  <c r="L151" i="81" s="1"/>
  <c r="M151" i="81" s="1"/>
  <c r="N151" i="81" s="1"/>
  <c r="O151" i="81" s="1"/>
  <c r="P151" i="81" s="1"/>
  <c r="R150" i="81"/>
  <c r="C148" i="81"/>
  <c r="D148" i="81" s="1"/>
  <c r="D146" i="81"/>
  <c r="C146" i="81"/>
  <c r="D144" i="81"/>
  <c r="C144" i="81"/>
  <c r="D143" i="81"/>
  <c r="C143" i="81"/>
  <c r="B143" i="81"/>
  <c r="B147" i="81" s="1"/>
  <c r="D142" i="81"/>
  <c r="C142" i="81"/>
  <c r="D141" i="81"/>
  <c r="C141" i="81"/>
  <c r="D140" i="81"/>
  <c r="C140" i="81"/>
  <c r="C150" i="81" s="1"/>
  <c r="D139" i="81"/>
  <c r="C139" i="81"/>
  <c r="D138" i="81"/>
  <c r="C138" i="81"/>
  <c r="C134" i="81"/>
  <c r="C120" i="81"/>
  <c r="C149" i="81" s="1"/>
  <c r="C115" i="81"/>
  <c r="C114" i="81"/>
  <c r="C152" i="81" s="1"/>
  <c r="D113" i="81"/>
  <c r="E113" i="81" s="1"/>
  <c r="F113" i="81" s="1"/>
  <c r="G113" i="81" s="1"/>
  <c r="H113" i="81" s="1"/>
  <c r="I113" i="81" s="1"/>
  <c r="J113" i="81" s="1"/>
  <c r="K113" i="81" s="1"/>
  <c r="L113" i="81" s="1"/>
  <c r="M113" i="81" s="1"/>
  <c r="N113" i="81" s="1"/>
  <c r="O113" i="81" s="1"/>
  <c r="P113" i="81" s="1"/>
  <c r="I108" i="81"/>
  <c r="G108" i="81"/>
  <c r="E108" i="81"/>
  <c r="H108" i="81"/>
  <c r="H161" i="81" s="1"/>
  <c r="F108" i="81"/>
  <c r="F161" i="81" s="1"/>
  <c r="D108" i="81"/>
  <c r="D161" i="81" s="1"/>
  <c r="C108" i="81"/>
  <c r="C161" i="81" s="1"/>
  <c r="C162" i="81" s="1"/>
  <c r="C165" i="81" s="1"/>
  <c r="C166" i="81" s="1"/>
  <c r="D104" i="81"/>
  <c r="D102" i="81"/>
  <c r="F101" i="81"/>
  <c r="G101" i="81" s="1"/>
  <c r="H101" i="81" s="1"/>
  <c r="I101" i="81" s="1"/>
  <c r="J101" i="81" s="1"/>
  <c r="K101" i="81" s="1"/>
  <c r="L101" i="81" s="1"/>
  <c r="M101" i="81" s="1"/>
  <c r="N101" i="81" s="1"/>
  <c r="O101" i="81" s="1"/>
  <c r="P101" i="81" s="1"/>
  <c r="E100" i="81"/>
  <c r="D100" i="81"/>
  <c r="C100" i="81"/>
  <c r="D98" i="81"/>
  <c r="C98" i="81"/>
  <c r="D95" i="81"/>
  <c r="N94" i="81"/>
  <c r="N99" i="81" s="1"/>
  <c r="L94" i="81"/>
  <c r="L99" i="81" s="1"/>
  <c r="D93" i="81"/>
  <c r="C93" i="81"/>
  <c r="D89" i="81"/>
  <c r="C89" i="81"/>
  <c r="E88" i="81"/>
  <c r="F88" i="81" s="1"/>
  <c r="G88" i="81" s="1"/>
  <c r="D87" i="81"/>
  <c r="C87" i="81"/>
  <c r="H87" i="81" s="1"/>
  <c r="I87" i="81" s="1"/>
  <c r="J87" i="81" s="1"/>
  <c r="C80" i="81"/>
  <c r="D80" i="81" s="1"/>
  <c r="E80" i="81" s="1"/>
  <c r="F80" i="81" s="1"/>
  <c r="G77" i="81"/>
  <c r="H77" i="81" s="1"/>
  <c r="I77" i="81" s="1"/>
  <c r="J77" i="81" s="1"/>
  <c r="K77" i="81" s="1"/>
  <c r="L77" i="81" s="1"/>
  <c r="M77" i="81" s="1"/>
  <c r="N77" i="81" s="1"/>
  <c r="O77" i="81" s="1"/>
  <c r="P77" i="81" s="1"/>
  <c r="D76" i="81"/>
  <c r="E76" i="81" s="1"/>
  <c r="E75" i="81" s="1"/>
  <c r="C76" i="81"/>
  <c r="D75" i="81"/>
  <c r="C75" i="81"/>
  <c r="F69" i="81"/>
  <c r="G69" i="81" s="1"/>
  <c r="E69" i="81"/>
  <c r="D69" i="81"/>
  <c r="C69" i="81"/>
  <c r="F67" i="81"/>
  <c r="G67" i="81" s="1"/>
  <c r="H67" i="81" s="1"/>
  <c r="E67" i="81"/>
  <c r="D67" i="81"/>
  <c r="C67" i="81"/>
  <c r="C61" i="81"/>
  <c r="D58" i="81"/>
  <c r="E58" i="81" s="1"/>
  <c r="F58" i="81" s="1"/>
  <c r="G58" i="81" s="1"/>
  <c r="H58" i="81" s="1"/>
  <c r="C58" i="81"/>
  <c r="C55" i="81"/>
  <c r="D55" i="81" s="1"/>
  <c r="E55" i="81" s="1"/>
  <c r="F55" i="81" s="1"/>
  <c r="E51" i="81"/>
  <c r="F51" i="81" s="1"/>
  <c r="D51" i="81"/>
  <c r="C51" i="81"/>
  <c r="C50" i="81" s="1"/>
  <c r="C45" i="81"/>
  <c r="C44" i="81"/>
  <c r="P42" i="81"/>
  <c r="O42" i="81"/>
  <c r="N42" i="81"/>
  <c r="M42" i="81"/>
  <c r="L42" i="81"/>
  <c r="K42" i="81"/>
  <c r="J42" i="81"/>
  <c r="I42" i="81"/>
  <c r="H42" i="81"/>
  <c r="G42" i="81"/>
  <c r="F42" i="81"/>
  <c r="P41" i="81"/>
  <c r="O41" i="81"/>
  <c r="N41" i="81"/>
  <c r="M41" i="81"/>
  <c r="L41" i="81"/>
  <c r="K41" i="81"/>
  <c r="J41" i="81"/>
  <c r="I41" i="81"/>
  <c r="H41" i="81"/>
  <c r="G41" i="81"/>
  <c r="F41" i="81"/>
  <c r="C40" i="81"/>
  <c r="D40" i="81" s="1"/>
  <c r="E40" i="81" s="1"/>
  <c r="F40" i="81" s="1"/>
  <c r="G40" i="81" s="1"/>
  <c r="H40" i="81" s="1"/>
  <c r="I40" i="81" s="1"/>
  <c r="J40" i="81" s="1"/>
  <c r="K40" i="81" s="1"/>
  <c r="L40" i="81" s="1"/>
  <c r="M40" i="81" s="1"/>
  <c r="N40" i="81" s="1"/>
  <c r="O40" i="81" s="1"/>
  <c r="P40" i="81" s="1"/>
  <c r="C39" i="81"/>
  <c r="D39" i="81" s="1"/>
  <c r="C36" i="81"/>
  <c r="D36" i="81" s="1"/>
  <c r="E36" i="81" s="1"/>
  <c r="F36" i="81" s="1"/>
  <c r="G36" i="81" s="1"/>
  <c r="C35" i="81"/>
  <c r="D35" i="81" s="1"/>
  <c r="C33" i="81"/>
  <c r="D33" i="81" s="1"/>
  <c r="E33" i="81" s="1"/>
  <c r="F33" i="81" s="1"/>
  <c r="G33" i="81" s="1"/>
  <c r="H33" i="81" s="1"/>
  <c r="I33" i="81" s="1"/>
  <c r="J33" i="81" s="1"/>
  <c r="K33" i="81" s="1"/>
  <c r="L33" i="81" s="1"/>
  <c r="M33" i="81" s="1"/>
  <c r="N33" i="81" s="1"/>
  <c r="O33" i="81" s="1"/>
  <c r="P33" i="81" s="1"/>
  <c r="C31" i="81"/>
  <c r="D31" i="81" s="1"/>
  <c r="C29" i="81"/>
  <c r="D29" i="81" s="1"/>
  <c r="C27" i="81"/>
  <c r="D27" i="81" s="1"/>
  <c r="C26" i="81"/>
  <c r="C21" i="81"/>
  <c r="C183" i="81" s="1"/>
  <c r="C20" i="81"/>
  <c r="D20" i="81" s="1"/>
  <c r="E20" i="81" s="1"/>
  <c r="F20" i="81" s="1"/>
  <c r="G20" i="81" s="1"/>
  <c r="D18" i="81"/>
  <c r="E18" i="81" s="1"/>
  <c r="C18" i="81"/>
  <c r="C17" i="81" s="1"/>
  <c r="C156" i="81" s="1"/>
  <c r="D16" i="81"/>
  <c r="E16" i="81" s="1"/>
  <c r="C16" i="81"/>
  <c r="C15" i="81" s="1"/>
  <c r="G14" i="81"/>
  <c r="F14" i="81"/>
  <c r="E14" i="81"/>
  <c r="D14" i="81"/>
  <c r="C14" i="81"/>
  <c r="R9" i="81"/>
  <c r="D6" i="81"/>
  <c r="C5" i="81"/>
  <c r="P4" i="81"/>
  <c r="O4" i="81"/>
  <c r="N4" i="81"/>
  <c r="M4" i="81"/>
  <c r="L4" i="81"/>
  <c r="K4" i="81"/>
  <c r="J4" i="81"/>
  <c r="I4" i="81"/>
  <c r="H4" i="81"/>
  <c r="G4" i="81"/>
  <c r="F4" i="81"/>
  <c r="E4" i="81"/>
  <c r="D4" i="81"/>
  <c r="C4" i="81"/>
  <c r="B4" i="81"/>
  <c r="A4" i="81"/>
  <c r="D108" i="78"/>
  <c r="C108" i="78"/>
  <c r="P94" i="81" l="1"/>
  <c r="P99" i="81" s="1"/>
  <c r="D35" i="63"/>
  <c r="C35" i="63"/>
  <c r="C115" i="63"/>
  <c r="C116" i="63" s="1"/>
  <c r="D115" i="63"/>
  <c r="D116" i="63" s="1"/>
  <c r="C174" i="81"/>
  <c r="C30" i="81"/>
  <c r="C24" i="81" s="1"/>
  <c r="C25" i="81" s="1"/>
  <c r="C54" i="81"/>
  <c r="C68" i="81"/>
  <c r="C65" i="81" s="1"/>
  <c r="C70" i="81"/>
  <c r="D189" i="81"/>
  <c r="D150" i="81"/>
  <c r="C137" i="81"/>
  <c r="D9" i="81"/>
  <c r="D8" i="81" s="1"/>
  <c r="D131" i="81" s="1"/>
  <c r="C49" i="81"/>
  <c r="C60" i="81" s="1"/>
  <c r="C62" i="81" s="1"/>
  <c r="D90" i="81"/>
  <c r="E90" i="81" s="1"/>
  <c r="D101" i="81"/>
  <c r="E101" i="81"/>
  <c r="E104" i="81"/>
  <c r="F157" i="81" s="1"/>
  <c r="D13" i="81"/>
  <c r="D12" i="81" s="1"/>
  <c r="C23" i="81"/>
  <c r="O94" i="81"/>
  <c r="O99" i="81" s="1"/>
  <c r="E93" i="81"/>
  <c r="F16" i="81"/>
  <c r="E15" i="81"/>
  <c r="F18" i="81"/>
  <c r="E17" i="81"/>
  <c r="G80" i="81"/>
  <c r="H80" i="81" s="1"/>
  <c r="I80" i="81" s="1"/>
  <c r="J80" i="81" s="1"/>
  <c r="K80" i="81" s="1"/>
  <c r="L80" i="81" s="1"/>
  <c r="M80" i="81" s="1"/>
  <c r="N80" i="81" s="1"/>
  <c r="O80" i="81" s="1"/>
  <c r="P80" i="81" s="1"/>
  <c r="F70" i="81"/>
  <c r="D15" i="81"/>
  <c r="D130" i="81" s="1"/>
  <c r="C9" i="81"/>
  <c r="C8" i="81" s="1"/>
  <c r="D17" i="81"/>
  <c r="C34" i="81"/>
  <c r="C38" i="81"/>
  <c r="O45" i="81"/>
  <c r="D53" i="81"/>
  <c r="D50" i="81" s="1"/>
  <c r="D68" i="81"/>
  <c r="F68" i="81"/>
  <c r="D70" i="81"/>
  <c r="C79" i="81"/>
  <c r="D103" i="81"/>
  <c r="D105" i="81"/>
  <c r="D162" i="81"/>
  <c r="D165" i="81" s="1"/>
  <c r="D166" i="81" s="1"/>
  <c r="C116" i="81"/>
  <c r="D134" i="81"/>
  <c r="E134" i="81" s="1"/>
  <c r="P44" i="81"/>
  <c r="E68" i="81"/>
  <c r="E70" i="81"/>
  <c r="D79" i="81"/>
  <c r="E79" i="81"/>
  <c r="F9" i="81"/>
  <c r="F8" i="81" s="1"/>
  <c r="F15" i="81"/>
  <c r="G16" i="81"/>
  <c r="F17" i="81"/>
  <c r="G18" i="81"/>
  <c r="E27" i="81"/>
  <c r="E89" i="81"/>
  <c r="F90" i="81"/>
  <c r="G90" i="81" s="1"/>
  <c r="D26" i="81"/>
  <c r="E29" i="81"/>
  <c r="E31" i="81"/>
  <c r="D30" i="81"/>
  <c r="D24" i="81" s="1"/>
  <c r="E35" i="81"/>
  <c r="D34" i="81"/>
  <c r="E39" i="81"/>
  <c r="F53" i="81" s="1"/>
  <c r="D38" i="81"/>
  <c r="I58" i="81"/>
  <c r="J88" i="81"/>
  <c r="H88" i="81"/>
  <c r="I88" i="81"/>
  <c r="K88" i="81"/>
  <c r="L88" i="81" s="1"/>
  <c r="M88" i="81" s="1"/>
  <c r="N88" i="81" s="1"/>
  <c r="O88" i="81" s="1"/>
  <c r="P88" i="81" s="1"/>
  <c r="H68" i="81"/>
  <c r="E57" i="81"/>
  <c r="E54" i="81" s="1"/>
  <c r="D88" i="81"/>
  <c r="E87" i="81"/>
  <c r="F87" i="81" s="1"/>
  <c r="G87" i="81" s="1"/>
  <c r="E161" i="81"/>
  <c r="E116" i="81"/>
  <c r="G161" i="81"/>
  <c r="G116" i="81"/>
  <c r="I161" i="81"/>
  <c r="I116" i="81"/>
  <c r="C22" i="81"/>
  <c r="C28" i="81"/>
  <c r="D28" i="81" s="1"/>
  <c r="E28" i="81" s="1"/>
  <c r="F28" i="81" s="1"/>
  <c r="G28" i="81" s="1"/>
  <c r="D5" i="81"/>
  <c r="D11" i="81" s="1"/>
  <c r="E6" i="81"/>
  <c r="E9" i="81"/>
  <c r="E8" i="81" s="1"/>
  <c r="D156" i="81"/>
  <c r="D21" i="81"/>
  <c r="D22" i="81"/>
  <c r="D23" i="81"/>
  <c r="D44" i="81"/>
  <c r="F44" i="81"/>
  <c r="H44" i="81"/>
  <c r="J44" i="81"/>
  <c r="L44" i="81"/>
  <c r="N44" i="81"/>
  <c r="D45" i="81"/>
  <c r="F45" i="81"/>
  <c r="H45" i="81"/>
  <c r="J45" i="81"/>
  <c r="L45" i="81"/>
  <c r="N45" i="81"/>
  <c r="P45" i="81"/>
  <c r="C66" i="81"/>
  <c r="E53" i="81"/>
  <c r="E50" i="81" s="1"/>
  <c r="D57" i="81"/>
  <c r="D54" i="81" s="1"/>
  <c r="G68" i="81"/>
  <c r="F76" i="81"/>
  <c r="C130" i="81"/>
  <c r="G51" i="81"/>
  <c r="G55" i="81"/>
  <c r="D94" i="81"/>
  <c r="E102" i="81"/>
  <c r="F102" i="81" s="1"/>
  <c r="G102" i="81" s="1"/>
  <c r="H102" i="81" s="1"/>
  <c r="I102" i="81" s="1"/>
  <c r="J102" i="81" s="1"/>
  <c r="K102" i="81" s="1"/>
  <c r="L102" i="81" s="1"/>
  <c r="M102" i="81" s="1"/>
  <c r="N102" i="81" s="1"/>
  <c r="O102" i="81" s="1"/>
  <c r="P102" i="81" s="1"/>
  <c r="E95" i="81"/>
  <c r="F95" i="81" s="1"/>
  <c r="G95" i="81" s="1"/>
  <c r="H95" i="81" s="1"/>
  <c r="I95" i="81" s="1"/>
  <c r="J95" i="81" s="1"/>
  <c r="K95" i="81" s="1"/>
  <c r="L95" i="81" s="1"/>
  <c r="M95" i="81" s="1"/>
  <c r="N95" i="81" s="1"/>
  <c r="O95" i="81" s="1"/>
  <c r="P95" i="81" s="1"/>
  <c r="E148" i="81"/>
  <c r="F148" i="81" s="1"/>
  <c r="G148" i="81" s="1"/>
  <c r="H148" i="81" s="1"/>
  <c r="I148" i="81" s="1"/>
  <c r="J148" i="81" s="1"/>
  <c r="K148" i="81" s="1"/>
  <c r="L148" i="81" s="1"/>
  <c r="M148" i="81" s="1"/>
  <c r="N148" i="81" s="1"/>
  <c r="O148" i="81" s="1"/>
  <c r="P148" i="81" s="1"/>
  <c r="E22" i="81"/>
  <c r="C48" i="81"/>
  <c r="E44" i="81"/>
  <c r="G44" i="81"/>
  <c r="I44" i="81"/>
  <c r="K44" i="81"/>
  <c r="M44" i="81"/>
  <c r="O44" i="81"/>
  <c r="E45" i="81"/>
  <c r="G45" i="81"/>
  <c r="I45" i="81"/>
  <c r="K45" i="81"/>
  <c r="M45" i="81"/>
  <c r="F57" i="81"/>
  <c r="E98" i="81"/>
  <c r="D99" i="81"/>
  <c r="F100" i="81"/>
  <c r="G100" i="81" s="1"/>
  <c r="H100" i="81" s="1"/>
  <c r="I100" i="81" s="1"/>
  <c r="J100" i="81" s="1"/>
  <c r="K100" i="81" s="1"/>
  <c r="L100" i="81" s="1"/>
  <c r="M100" i="81" s="1"/>
  <c r="N100" i="81" s="1"/>
  <c r="O100" i="81" s="1"/>
  <c r="P100" i="81" s="1"/>
  <c r="D115" i="81"/>
  <c r="D116" i="81"/>
  <c r="F116" i="81"/>
  <c r="H116" i="81"/>
  <c r="D137" i="81"/>
  <c r="C145" i="81"/>
  <c r="C188" i="81"/>
  <c r="C170" i="81" s="1"/>
  <c r="C117" i="81"/>
  <c r="C125" i="81"/>
  <c r="E141" i="81"/>
  <c r="D129" i="77"/>
  <c r="D112" i="31"/>
  <c r="C112" i="31"/>
  <c r="F267" i="80"/>
  <c r="G267" i="80"/>
  <c r="H267" i="80"/>
  <c r="F263" i="80"/>
  <c r="G263" i="80"/>
  <c r="H263" i="80"/>
  <c r="A272" i="80"/>
  <c r="B272" i="80"/>
  <c r="E280" i="80"/>
  <c r="F280" i="80"/>
  <c r="G280" i="80"/>
  <c r="H280" i="80"/>
  <c r="D280" i="80"/>
  <c r="E276" i="80"/>
  <c r="F276" i="80"/>
  <c r="G276" i="80"/>
  <c r="H276" i="80"/>
  <c r="D276" i="80"/>
  <c r="H245" i="80"/>
  <c r="H235" i="80"/>
  <c r="G21" i="79"/>
  <c r="G81" i="31"/>
  <c r="H81" i="31" s="1"/>
  <c r="I81" i="31" s="1"/>
  <c r="J81" i="31" s="1"/>
  <c r="K81" i="31" s="1"/>
  <c r="L81" i="31" s="1"/>
  <c r="M81" i="31" s="1"/>
  <c r="N81" i="31" s="1"/>
  <c r="O81" i="31" s="1"/>
  <c r="P81" i="31" s="1"/>
  <c r="G70" i="78"/>
  <c r="H70" i="78"/>
  <c r="G66" i="78"/>
  <c r="E70" i="78"/>
  <c r="B71" i="78"/>
  <c r="B68" i="78"/>
  <c r="E224" i="80"/>
  <c r="F224" i="80"/>
  <c r="G224" i="80"/>
  <c r="H224" i="80"/>
  <c r="D224" i="80"/>
  <c r="E220" i="80"/>
  <c r="F220" i="80"/>
  <c r="G220" i="80"/>
  <c r="H220" i="80"/>
  <c r="D220" i="80"/>
  <c r="E211" i="80"/>
  <c r="F211" i="80"/>
  <c r="G211" i="80"/>
  <c r="H211" i="80"/>
  <c r="K86" i="79"/>
  <c r="H77" i="80" s="1"/>
  <c r="K83" i="78"/>
  <c r="G51" i="76"/>
  <c r="E267" i="80" s="1"/>
  <c r="F51" i="76"/>
  <c r="D267" i="80" s="1"/>
  <c r="D211" i="80"/>
  <c r="D99" i="31"/>
  <c r="I77" i="80"/>
  <c r="B122" i="80"/>
  <c r="B74" i="80"/>
  <c r="J85" i="79"/>
  <c r="H90" i="80"/>
  <c r="D106" i="31"/>
  <c r="E189" i="81" l="1"/>
  <c r="E139" i="81"/>
  <c r="K87" i="81"/>
  <c r="L87" i="81" s="1"/>
  <c r="M87" i="81" s="1"/>
  <c r="N87" i="81" s="1"/>
  <c r="O87" i="81" s="1"/>
  <c r="P87" i="81" s="1"/>
  <c r="D66" i="81"/>
  <c r="D83" i="81" s="1"/>
  <c r="C13" i="81"/>
  <c r="C12" i="81" s="1"/>
  <c r="E144" i="81"/>
  <c r="E65" i="81"/>
  <c r="E82" i="81" s="1"/>
  <c r="E142" i="81"/>
  <c r="E140" i="81"/>
  <c r="E150" i="81" s="1"/>
  <c r="E138" i="81"/>
  <c r="F104" i="81"/>
  <c r="G104" i="81" s="1"/>
  <c r="H104" i="81" s="1"/>
  <c r="I104" i="81" s="1"/>
  <c r="J104" i="81" s="1"/>
  <c r="K104" i="81" s="1"/>
  <c r="L104" i="81" s="1"/>
  <c r="M104" i="81" s="1"/>
  <c r="N104" i="81" s="1"/>
  <c r="O104" i="81" s="1"/>
  <c r="P104" i="81" s="1"/>
  <c r="E23" i="81"/>
  <c r="C132" i="81"/>
  <c r="F89" i="81"/>
  <c r="G89" i="81" s="1"/>
  <c r="C59" i="81"/>
  <c r="E146" i="81"/>
  <c r="E143" i="81"/>
  <c r="F143" i="81" s="1"/>
  <c r="G143" i="81" s="1"/>
  <c r="H143" i="81" s="1"/>
  <c r="I143" i="81" s="1"/>
  <c r="J143" i="81" s="1"/>
  <c r="K143" i="81" s="1"/>
  <c r="L143" i="81" s="1"/>
  <c r="M143" i="81" s="1"/>
  <c r="N143" i="81" s="1"/>
  <c r="O143" i="81" s="1"/>
  <c r="P143" i="81" s="1"/>
  <c r="E105" i="81"/>
  <c r="D65" i="81"/>
  <c r="D82" i="81" s="1"/>
  <c r="C47" i="81"/>
  <c r="C37" i="81"/>
  <c r="C46" i="81" s="1"/>
  <c r="E156" i="81"/>
  <c r="E130" i="81"/>
  <c r="D182" i="81"/>
  <c r="D64" i="81"/>
  <c r="D155" i="81" s="1"/>
  <c r="C118" i="81"/>
  <c r="D117" i="81"/>
  <c r="E103" i="81"/>
  <c r="C182" i="81"/>
  <c r="C83" i="81"/>
  <c r="D183" i="81"/>
  <c r="D174" i="81" s="1"/>
  <c r="E21" i="81"/>
  <c r="F6" i="81"/>
  <c r="E5" i="81"/>
  <c r="E11" i="81" s="1"/>
  <c r="E13" i="81"/>
  <c r="E12" i="81" s="1"/>
  <c r="J58" i="81"/>
  <c r="E38" i="81"/>
  <c r="F39" i="81"/>
  <c r="G53" i="81" s="1"/>
  <c r="E34" i="81"/>
  <c r="F35" i="81"/>
  <c r="F48" i="81" s="1"/>
  <c r="F31" i="81"/>
  <c r="E30" i="81"/>
  <c r="E24" i="81" s="1"/>
  <c r="F22" i="81"/>
  <c r="F65" i="81"/>
  <c r="F23" i="81"/>
  <c r="C131" i="81"/>
  <c r="C11" i="81"/>
  <c r="D188" i="81"/>
  <c r="C187" i="81"/>
  <c r="C194" i="81" s="1"/>
  <c r="E115" i="81"/>
  <c r="D114" i="81"/>
  <c r="G57" i="81"/>
  <c r="H55" i="81"/>
  <c r="H51" i="81"/>
  <c r="C82" i="81"/>
  <c r="C64" i="81"/>
  <c r="C155" i="81" s="1"/>
  <c r="G76" i="81"/>
  <c r="F75" i="81"/>
  <c r="F79" i="81" s="1"/>
  <c r="E66" i="81"/>
  <c r="E49" i="81"/>
  <c r="E131" i="81"/>
  <c r="F134" i="81"/>
  <c r="D47" i="81"/>
  <c r="D37" i="81"/>
  <c r="E26" i="81"/>
  <c r="F29" i="81"/>
  <c r="F27" i="81"/>
  <c r="G17" i="81"/>
  <c r="G15" i="81"/>
  <c r="G9" i="81"/>
  <c r="G8" i="81" s="1"/>
  <c r="F131" i="81"/>
  <c r="D49" i="81"/>
  <c r="D25" i="81"/>
  <c r="G157" i="81"/>
  <c r="C119" i="81"/>
  <c r="E48" i="81"/>
  <c r="D48" i="81"/>
  <c r="A216" i="80"/>
  <c r="B216" i="80"/>
  <c r="A229" i="80"/>
  <c r="B229" i="80"/>
  <c r="A231" i="80"/>
  <c r="B231" i="80"/>
  <c r="A239" i="80"/>
  <c r="B239" i="80"/>
  <c r="B241" i="80"/>
  <c r="A257" i="80"/>
  <c r="B257" i="80"/>
  <c r="A259" i="80"/>
  <c r="B259" i="80"/>
  <c r="A285" i="80"/>
  <c r="B285" i="80"/>
  <c r="A293" i="80"/>
  <c r="B293" i="80"/>
  <c r="B203" i="80"/>
  <c r="A203" i="80"/>
  <c r="A148" i="80"/>
  <c r="B148" i="80"/>
  <c r="A150" i="80"/>
  <c r="B150" i="80"/>
  <c r="A152" i="80"/>
  <c r="B152" i="80"/>
  <c r="A154" i="80"/>
  <c r="B154" i="80"/>
  <c r="A161" i="80"/>
  <c r="B161" i="80"/>
  <c r="A168" i="80"/>
  <c r="B168" i="80"/>
  <c r="A170" i="80"/>
  <c r="B170" i="80"/>
  <c r="A172" i="80"/>
  <c r="B172" i="80"/>
  <c r="A174" i="80"/>
  <c r="B174" i="80"/>
  <c r="A176" i="80"/>
  <c r="B176" i="80"/>
  <c r="A178" i="80"/>
  <c r="B178" i="80"/>
  <c r="A180" i="80"/>
  <c r="B180" i="80"/>
  <c r="A182" i="80"/>
  <c r="B182" i="80"/>
  <c r="A184" i="80"/>
  <c r="B184" i="80"/>
  <c r="A186" i="80"/>
  <c r="B186" i="80"/>
  <c r="A188" i="80"/>
  <c r="B188" i="80"/>
  <c r="A194" i="80"/>
  <c r="B194" i="80"/>
  <c r="A196" i="80"/>
  <c r="B196" i="80"/>
  <c r="A198" i="80"/>
  <c r="B198" i="80"/>
  <c r="A200" i="80"/>
  <c r="A136" i="80"/>
  <c r="A122" i="80"/>
  <c r="A74" i="80"/>
  <c r="A83" i="80"/>
  <c r="B83" i="80"/>
  <c r="A96" i="80"/>
  <c r="B96" i="80"/>
  <c r="A98" i="80"/>
  <c r="B98" i="80"/>
  <c r="A106" i="80"/>
  <c r="B106" i="80"/>
  <c r="A108" i="80"/>
  <c r="B108" i="80"/>
  <c r="A116" i="80"/>
  <c r="B116" i="80"/>
  <c r="A118" i="80"/>
  <c r="B118" i="80"/>
  <c r="A120" i="80"/>
  <c r="B120" i="80"/>
  <c r="B66" i="80"/>
  <c r="A66" i="80"/>
  <c r="A35" i="80"/>
  <c r="B35" i="80"/>
  <c r="A37" i="80"/>
  <c r="B37" i="80"/>
  <c r="A45" i="80"/>
  <c r="B45" i="80"/>
  <c r="A47" i="80"/>
  <c r="B47" i="80"/>
  <c r="A55" i="80"/>
  <c r="B55" i="80"/>
  <c r="A63" i="80"/>
  <c r="B63" i="80"/>
  <c r="A33" i="80"/>
  <c r="A6" i="80"/>
  <c r="A8" i="80"/>
  <c r="A16" i="80"/>
  <c r="A24" i="80"/>
  <c r="A4" i="80"/>
  <c r="B33" i="80"/>
  <c r="D81" i="81" l="1"/>
  <c r="F144" i="81"/>
  <c r="G144" i="81" s="1"/>
  <c r="E64" i="81"/>
  <c r="E155" i="81" s="1"/>
  <c r="F140" i="81"/>
  <c r="F141" i="81"/>
  <c r="G141" i="81" s="1"/>
  <c r="F189" i="81"/>
  <c r="G189" i="81" s="1"/>
  <c r="H189" i="81" s="1"/>
  <c r="I189" i="81" s="1"/>
  <c r="J189" i="81" s="1"/>
  <c r="K189" i="81" s="1"/>
  <c r="L189" i="81" s="1"/>
  <c r="M189" i="81" s="1"/>
  <c r="N189" i="81" s="1"/>
  <c r="O189" i="81" s="1"/>
  <c r="P189" i="81" s="1"/>
  <c r="D119" i="81"/>
  <c r="D120" i="81" s="1"/>
  <c r="D149" i="81" s="1"/>
  <c r="E137" i="81"/>
  <c r="C129" i="81"/>
  <c r="F105" i="81"/>
  <c r="G105" i="81" s="1"/>
  <c r="H105" i="81" s="1"/>
  <c r="I105" i="81" s="1"/>
  <c r="J105" i="81" s="1"/>
  <c r="K105" i="81" s="1"/>
  <c r="L105" i="81" s="1"/>
  <c r="M105" i="81" s="1"/>
  <c r="N105" i="81" s="1"/>
  <c r="O105" i="81" s="1"/>
  <c r="P105" i="81" s="1"/>
  <c r="F146" i="81"/>
  <c r="G146" i="81" s="1"/>
  <c r="F138" i="81"/>
  <c r="G138" i="81" s="1"/>
  <c r="H138" i="81" s="1"/>
  <c r="F142" i="81"/>
  <c r="G142" i="81" s="1"/>
  <c r="F130" i="81"/>
  <c r="F156" i="81"/>
  <c r="F139" i="81"/>
  <c r="G139" i="81" s="1"/>
  <c r="E25" i="81"/>
  <c r="H15" i="81"/>
  <c r="H8" i="81"/>
  <c r="G29" i="81"/>
  <c r="F26" i="81"/>
  <c r="E60" i="81"/>
  <c r="E59" i="81"/>
  <c r="D59" i="81"/>
  <c r="D60" i="81"/>
  <c r="G131" i="81"/>
  <c r="G130" i="81"/>
  <c r="G65" i="81"/>
  <c r="G23" i="81"/>
  <c r="G156" i="81"/>
  <c r="G22" i="81"/>
  <c r="G27" i="81"/>
  <c r="E182" i="81"/>
  <c r="E83" i="81"/>
  <c r="G75" i="81"/>
  <c r="G79" i="81" s="1"/>
  <c r="H76" i="81"/>
  <c r="D187" i="81"/>
  <c r="D194" i="81" s="1"/>
  <c r="E188" i="81"/>
  <c r="F82" i="81"/>
  <c r="G35" i="81"/>
  <c r="F34" i="81"/>
  <c r="G39" i="81"/>
  <c r="F38" i="81"/>
  <c r="K58" i="81"/>
  <c r="F13" i="81"/>
  <c r="F12" i="81" s="1"/>
  <c r="G6" i="81"/>
  <c r="F5" i="81"/>
  <c r="F11" i="81" s="1"/>
  <c r="E117" i="81"/>
  <c r="D118" i="81"/>
  <c r="D173" i="81"/>
  <c r="D154" i="81"/>
  <c r="C81" i="81"/>
  <c r="C84" i="81" s="1"/>
  <c r="H157" i="81"/>
  <c r="E154" i="81"/>
  <c r="G134" i="81"/>
  <c r="C173" i="81"/>
  <c r="C154" i="81"/>
  <c r="C136" i="81" s="1"/>
  <c r="I51" i="81"/>
  <c r="I55" i="81"/>
  <c r="H57" i="81"/>
  <c r="D152" i="81"/>
  <c r="E114" i="81"/>
  <c r="F115" i="81"/>
  <c r="G140" i="81"/>
  <c r="H140" i="81" s="1"/>
  <c r="F150" i="81"/>
  <c r="F30" i="81"/>
  <c r="F24" i="81" s="1"/>
  <c r="G31" i="81"/>
  <c r="E47" i="81"/>
  <c r="E37" i="81"/>
  <c r="E46" i="81" s="1"/>
  <c r="E183" i="81"/>
  <c r="E174" i="81" s="1"/>
  <c r="F21" i="81"/>
  <c r="D46" i="81"/>
  <c r="D84" i="81"/>
  <c r="B8" i="80"/>
  <c r="B16" i="80"/>
  <c r="B24" i="80"/>
  <c r="B6" i="80"/>
  <c r="B4" i="80"/>
  <c r="A94" i="63"/>
  <c r="A70" i="63"/>
  <c r="A56" i="63"/>
  <c r="A46" i="63"/>
  <c r="A38" i="63"/>
  <c r="F120" i="77"/>
  <c r="F61" i="77" s="1"/>
  <c r="E120" i="77"/>
  <c r="E61" i="77" s="1"/>
  <c r="P44" i="31"/>
  <c r="O44" i="31"/>
  <c r="N44" i="31"/>
  <c r="M44" i="31"/>
  <c r="L44" i="31"/>
  <c r="K44" i="31"/>
  <c r="J44" i="31"/>
  <c r="I44" i="31"/>
  <c r="H44" i="31"/>
  <c r="G44" i="31"/>
  <c r="P43" i="31"/>
  <c r="O43" i="31"/>
  <c r="N43" i="31"/>
  <c r="M43" i="31"/>
  <c r="L43" i="31"/>
  <c r="K43" i="31"/>
  <c r="J43" i="31"/>
  <c r="I43" i="31"/>
  <c r="H43" i="31"/>
  <c r="G43" i="31"/>
  <c r="F44" i="31"/>
  <c r="F43" i="31"/>
  <c r="E53" i="31"/>
  <c r="D115" i="76"/>
  <c r="I43" i="79"/>
  <c r="J43" i="79"/>
  <c r="K43" i="79"/>
  <c r="L43" i="79"/>
  <c r="M43" i="79"/>
  <c r="N43" i="79"/>
  <c r="O43" i="79"/>
  <c r="P43" i="79"/>
  <c r="H43" i="79"/>
  <c r="G43" i="79"/>
  <c r="F137" i="81" l="1"/>
  <c r="H139" i="81"/>
  <c r="I139" i="81" s="1"/>
  <c r="J139" i="81" s="1"/>
  <c r="K139" i="81" s="1"/>
  <c r="L139" i="81" s="1"/>
  <c r="M139" i="81" s="1"/>
  <c r="N139" i="81" s="1"/>
  <c r="O139" i="81" s="1"/>
  <c r="P139" i="81" s="1"/>
  <c r="H141" i="81"/>
  <c r="I141" i="81" s="1"/>
  <c r="J141" i="81" s="1"/>
  <c r="K141" i="81" s="1"/>
  <c r="L141" i="81" s="1"/>
  <c r="M141" i="81" s="1"/>
  <c r="N141" i="81" s="1"/>
  <c r="O141" i="81" s="1"/>
  <c r="P141" i="81" s="1"/>
  <c r="D125" i="81"/>
  <c r="E173" i="81"/>
  <c r="H142" i="81"/>
  <c r="I142" i="81" s="1"/>
  <c r="J142" i="81" s="1"/>
  <c r="K142" i="81" s="1"/>
  <c r="L142" i="81" s="1"/>
  <c r="M142" i="81" s="1"/>
  <c r="N142" i="81" s="1"/>
  <c r="O142" i="81" s="1"/>
  <c r="P142" i="81" s="1"/>
  <c r="H144" i="81"/>
  <c r="I144" i="81" s="1"/>
  <c r="J144" i="81" s="1"/>
  <c r="K144" i="81" s="1"/>
  <c r="L144" i="81" s="1"/>
  <c r="M144" i="81" s="1"/>
  <c r="N144" i="81" s="1"/>
  <c r="O144" i="81" s="1"/>
  <c r="P144" i="81" s="1"/>
  <c r="G120" i="77"/>
  <c r="G61" i="77" s="1"/>
  <c r="D145" i="81"/>
  <c r="C195" i="81"/>
  <c r="C160" i="81"/>
  <c r="C163" i="81" s="1"/>
  <c r="C167" i="81" s="1"/>
  <c r="F25" i="81"/>
  <c r="E119" i="81"/>
  <c r="E120" i="81" s="1"/>
  <c r="E149" i="81" s="1"/>
  <c r="D180" i="81"/>
  <c r="D171" i="81" s="1"/>
  <c r="D136" i="81"/>
  <c r="C184" i="81"/>
  <c r="C180" i="81"/>
  <c r="D184" i="81"/>
  <c r="D179" i="81"/>
  <c r="F183" i="81"/>
  <c r="F174" i="81" s="1"/>
  <c r="G21" i="81"/>
  <c r="G115" i="81"/>
  <c r="F114" i="81"/>
  <c r="L58" i="81"/>
  <c r="G38" i="81"/>
  <c r="H39" i="81"/>
  <c r="G34" i="81"/>
  <c r="G48" i="81"/>
  <c r="F188" i="81"/>
  <c r="E187" i="81"/>
  <c r="E194" i="81" s="1"/>
  <c r="I76" i="81"/>
  <c r="H75" i="81"/>
  <c r="H79" i="81" s="1"/>
  <c r="E132" i="81"/>
  <c r="G26" i="81"/>
  <c r="I8" i="81"/>
  <c r="I15" i="81"/>
  <c r="H146" i="81"/>
  <c r="G70" i="81"/>
  <c r="H69" i="81"/>
  <c r="G150" i="81"/>
  <c r="G137" i="81"/>
  <c r="E152" i="81"/>
  <c r="E125" i="81"/>
  <c r="I57" i="81"/>
  <c r="J55" i="81"/>
  <c r="I53" i="81"/>
  <c r="J51" i="81"/>
  <c r="H134" i="81"/>
  <c r="I157" i="81"/>
  <c r="E118" i="81"/>
  <c r="F117" i="81"/>
  <c r="G13" i="81"/>
  <c r="G12" i="81" s="1"/>
  <c r="G5" i="81"/>
  <c r="G11" i="81" s="1"/>
  <c r="F47" i="81"/>
  <c r="F37" i="81"/>
  <c r="F46" i="81" s="1"/>
  <c r="G82" i="81"/>
  <c r="D61" i="81"/>
  <c r="E61" i="81" s="1"/>
  <c r="D132" i="81"/>
  <c r="H131" i="81"/>
  <c r="H65" i="81"/>
  <c r="S71" i="81" s="1"/>
  <c r="H53" i="81"/>
  <c r="E81" i="81"/>
  <c r="E84" i="81" s="1"/>
  <c r="G30" i="81"/>
  <c r="G24" i="81" s="1"/>
  <c r="G25" i="81" s="1"/>
  <c r="D268" i="75"/>
  <c r="D151" i="79"/>
  <c r="D145" i="78"/>
  <c r="D147" i="31"/>
  <c r="H120" i="77" l="1"/>
  <c r="H61" i="77" s="1"/>
  <c r="E145" i="81"/>
  <c r="E180" i="81" s="1"/>
  <c r="E171" i="81" s="1"/>
  <c r="D62" i="81"/>
  <c r="E184" i="81"/>
  <c r="E179" i="81"/>
  <c r="E136" i="81"/>
  <c r="H82" i="81"/>
  <c r="D129" i="81"/>
  <c r="H12" i="81"/>
  <c r="H5" i="81"/>
  <c r="G117" i="81"/>
  <c r="F118" i="81"/>
  <c r="J157" i="81"/>
  <c r="K51" i="81"/>
  <c r="K55" i="81"/>
  <c r="J57" i="81"/>
  <c r="I146" i="81"/>
  <c r="I131" i="81"/>
  <c r="E129" i="81"/>
  <c r="G47" i="81"/>
  <c r="G37" i="81"/>
  <c r="G46" i="81" s="1"/>
  <c r="D175" i="81"/>
  <c r="D172" i="81" s="1"/>
  <c r="D181" i="81"/>
  <c r="D178" i="81" s="1"/>
  <c r="D96" i="81" s="1"/>
  <c r="C175" i="81"/>
  <c r="C172" i="81" s="1"/>
  <c r="C181" i="81"/>
  <c r="C178" i="81" s="1"/>
  <c r="H24" i="81"/>
  <c r="I134" i="81"/>
  <c r="I138" i="81"/>
  <c r="H137" i="81"/>
  <c r="I140" i="81"/>
  <c r="H150" i="81"/>
  <c r="H70" i="81"/>
  <c r="J15" i="81"/>
  <c r="J8" i="81"/>
  <c r="H26" i="81"/>
  <c r="I75" i="81"/>
  <c r="I79" i="81" s="1"/>
  <c r="J76" i="81"/>
  <c r="F187" i="81"/>
  <c r="F194" i="81" s="1"/>
  <c r="G188" i="81"/>
  <c r="I39" i="81"/>
  <c r="J53" i="81" s="1"/>
  <c r="H38" i="81"/>
  <c r="M58" i="81"/>
  <c r="F152" i="81"/>
  <c r="G114" i="81"/>
  <c r="H115" i="81"/>
  <c r="G183" i="81"/>
  <c r="G174" i="81" s="1"/>
  <c r="H21" i="81"/>
  <c r="H20" i="81" s="1"/>
  <c r="D170" i="81"/>
  <c r="C171" i="81"/>
  <c r="F119" i="81"/>
  <c r="F120" i="81" s="1"/>
  <c r="F149" i="81" s="1"/>
  <c r="E62" i="81"/>
  <c r="G59" i="77"/>
  <c r="H59" i="77"/>
  <c r="F59" i="77"/>
  <c r="E59" i="77"/>
  <c r="D59" i="77"/>
  <c r="F145" i="81" l="1"/>
  <c r="H23" i="81"/>
  <c r="C169" i="81"/>
  <c r="C91" i="81" s="1"/>
  <c r="D169" i="81"/>
  <c r="D176" i="81" s="1"/>
  <c r="D177" i="81" s="1"/>
  <c r="H25" i="81"/>
  <c r="H35" i="81" s="1"/>
  <c r="F125" i="81"/>
  <c r="H47" i="81"/>
  <c r="H37" i="81"/>
  <c r="H46" i="81" s="1"/>
  <c r="H188" i="81"/>
  <c r="G187" i="81"/>
  <c r="G194" i="81" s="1"/>
  <c r="K76" i="81"/>
  <c r="J75" i="81"/>
  <c r="J79" i="81" s="1"/>
  <c r="I26" i="81"/>
  <c r="J131" i="81"/>
  <c r="K15" i="81"/>
  <c r="K8" i="81"/>
  <c r="I70" i="81"/>
  <c r="J69" i="81"/>
  <c r="J134" i="81"/>
  <c r="E195" i="81"/>
  <c r="E160" i="81"/>
  <c r="J146" i="81"/>
  <c r="E175" i="81"/>
  <c r="E172" i="81" s="1"/>
  <c r="E181" i="81"/>
  <c r="E178" i="81" s="1"/>
  <c r="D185" i="81"/>
  <c r="D186" i="81" s="1"/>
  <c r="C96" i="81"/>
  <c r="D97" i="81" s="1"/>
  <c r="C185" i="81"/>
  <c r="C186" i="81" s="1"/>
  <c r="G152" i="81"/>
  <c r="C176" i="81"/>
  <c r="C177" i="81" s="1"/>
  <c r="D91" i="81"/>
  <c r="I21" i="81"/>
  <c r="I20" i="81" s="1"/>
  <c r="I115" i="81"/>
  <c r="H114" i="81"/>
  <c r="N58" i="81"/>
  <c r="I38" i="81"/>
  <c r="J39" i="81"/>
  <c r="K53" i="81" s="1"/>
  <c r="I68" i="81"/>
  <c r="I150" i="81"/>
  <c r="J140" i="81"/>
  <c r="I137" i="81"/>
  <c r="J138" i="81"/>
  <c r="I24" i="81"/>
  <c r="I25" i="81" s="1"/>
  <c r="I35" i="81" s="1"/>
  <c r="K57" i="81"/>
  <c r="L55" i="81"/>
  <c r="L51" i="81"/>
  <c r="K157" i="81"/>
  <c r="G118" i="81"/>
  <c r="H117" i="81"/>
  <c r="I5" i="81"/>
  <c r="I12" i="81"/>
  <c r="D195" i="81"/>
  <c r="D160" i="81"/>
  <c r="E170" i="81"/>
  <c r="G119" i="81"/>
  <c r="G120" i="81" s="1"/>
  <c r="G149" i="81" s="1"/>
  <c r="I85" i="78"/>
  <c r="J85" i="78" s="1"/>
  <c r="K85" i="78" s="1"/>
  <c r="L85" i="78" s="1"/>
  <c r="M85" i="78" s="1"/>
  <c r="N85" i="78" s="1"/>
  <c r="O85" i="78" s="1"/>
  <c r="P85" i="78" s="1"/>
  <c r="G85" i="78"/>
  <c r="I23" i="81" l="1"/>
  <c r="E169" i="81"/>
  <c r="E176" i="81" s="1"/>
  <c r="E177" i="81" s="1"/>
  <c r="D92" i="81"/>
  <c r="D196" i="81"/>
  <c r="C196" i="81"/>
  <c r="H34" i="81"/>
  <c r="H48" i="81"/>
  <c r="I34" i="81"/>
  <c r="I48" i="81"/>
  <c r="H119" i="81"/>
  <c r="H120" i="81" s="1"/>
  <c r="H149" i="81" s="1"/>
  <c r="G145" i="81"/>
  <c r="E91" i="81"/>
  <c r="E92" i="81" s="1"/>
  <c r="D163" i="81"/>
  <c r="D167" i="81" s="1"/>
  <c r="J12" i="81"/>
  <c r="J5" i="81"/>
  <c r="M51" i="81"/>
  <c r="K138" i="81"/>
  <c r="J137" i="81"/>
  <c r="K140" i="81"/>
  <c r="J150" i="81"/>
  <c r="J68" i="81"/>
  <c r="I47" i="81"/>
  <c r="I37" i="81"/>
  <c r="I46" i="81" s="1"/>
  <c r="J21" i="81"/>
  <c r="J20" i="81" s="1"/>
  <c r="E163" i="81"/>
  <c r="E162" i="81"/>
  <c r="K134" i="81"/>
  <c r="L8" i="81"/>
  <c r="L15" i="81"/>
  <c r="J26" i="81"/>
  <c r="E96" i="81"/>
  <c r="E97" i="81" s="1"/>
  <c r="E185" i="81"/>
  <c r="E186" i="81" s="1"/>
  <c r="I117" i="81"/>
  <c r="H118" i="81"/>
  <c r="L157" i="81"/>
  <c r="M55" i="81"/>
  <c r="L57" i="81"/>
  <c r="I82" i="81"/>
  <c r="K39" i="81"/>
  <c r="J38" i="81"/>
  <c r="O58" i="81"/>
  <c r="H152" i="81"/>
  <c r="I114" i="81"/>
  <c r="J115" i="81"/>
  <c r="K146" i="81"/>
  <c r="J24" i="81"/>
  <c r="K69" i="81"/>
  <c r="J70" i="81"/>
  <c r="K131" i="81"/>
  <c r="K75" i="81"/>
  <c r="K79" i="81" s="1"/>
  <c r="L76" i="81"/>
  <c r="H187" i="81"/>
  <c r="H194" i="81" s="1"/>
  <c r="I188" i="81"/>
  <c r="G125" i="81"/>
  <c r="F87" i="76"/>
  <c r="F111" i="63" s="1"/>
  <c r="G87" i="76"/>
  <c r="G111" i="63" s="1"/>
  <c r="H87" i="76"/>
  <c r="H111" i="63" s="1"/>
  <c r="I87" i="76"/>
  <c r="I111" i="63" s="1"/>
  <c r="F88" i="76"/>
  <c r="F112" i="63" s="1"/>
  <c r="G88" i="76"/>
  <c r="G112" i="63" s="1"/>
  <c r="H88" i="76"/>
  <c r="H112" i="63" s="1"/>
  <c r="I88" i="76"/>
  <c r="I112" i="63" s="1"/>
  <c r="E88" i="76"/>
  <c r="E112" i="63" s="1"/>
  <c r="E87" i="76"/>
  <c r="E111" i="63" s="1"/>
  <c r="F70" i="76"/>
  <c r="F94" i="63" s="1"/>
  <c r="G70" i="76"/>
  <c r="G94" i="63" s="1"/>
  <c r="H70" i="76"/>
  <c r="H94" i="63" s="1"/>
  <c r="I70" i="76"/>
  <c r="I94" i="63" s="1"/>
  <c r="F71" i="76"/>
  <c r="F95" i="63" s="1"/>
  <c r="G71" i="76"/>
  <c r="G95" i="63" s="1"/>
  <c r="H71" i="76"/>
  <c r="H95" i="63" s="1"/>
  <c r="I71" i="76"/>
  <c r="I95" i="63" s="1"/>
  <c r="F72" i="76"/>
  <c r="F96" i="63" s="1"/>
  <c r="G72" i="76"/>
  <c r="G96" i="63" s="1"/>
  <c r="H72" i="76"/>
  <c r="H96" i="63" s="1"/>
  <c r="I72" i="76"/>
  <c r="I96" i="63" s="1"/>
  <c r="F73" i="76"/>
  <c r="F97" i="63" s="1"/>
  <c r="G73" i="76"/>
  <c r="G97" i="63" s="1"/>
  <c r="H73" i="76"/>
  <c r="H97" i="63" s="1"/>
  <c r="I73" i="76"/>
  <c r="I97" i="63" s="1"/>
  <c r="F74" i="76"/>
  <c r="F98" i="63" s="1"/>
  <c r="G74" i="76"/>
  <c r="G98" i="63" s="1"/>
  <c r="H74" i="76"/>
  <c r="H98" i="63" s="1"/>
  <c r="I74" i="76"/>
  <c r="I98" i="63" s="1"/>
  <c r="F75" i="76"/>
  <c r="F99" i="63" s="1"/>
  <c r="G75" i="76"/>
  <c r="G99" i="63" s="1"/>
  <c r="H75" i="76"/>
  <c r="H99" i="63" s="1"/>
  <c r="I75" i="76"/>
  <c r="I99" i="63" s="1"/>
  <c r="F76" i="76"/>
  <c r="F100" i="63" s="1"/>
  <c r="G76" i="76"/>
  <c r="G100" i="63" s="1"/>
  <c r="H76" i="76"/>
  <c r="H100" i="63" s="1"/>
  <c r="I76" i="76"/>
  <c r="I100" i="63" s="1"/>
  <c r="F77" i="76"/>
  <c r="F101" i="63" s="1"/>
  <c r="G77" i="76"/>
  <c r="G101" i="63" s="1"/>
  <c r="H77" i="76"/>
  <c r="H101" i="63" s="1"/>
  <c r="I77" i="76"/>
  <c r="I101" i="63" s="1"/>
  <c r="F78" i="76"/>
  <c r="F102" i="63" s="1"/>
  <c r="G78" i="76"/>
  <c r="G102" i="63" s="1"/>
  <c r="H78" i="76"/>
  <c r="H102" i="63" s="1"/>
  <c r="I78" i="76"/>
  <c r="I102" i="63" s="1"/>
  <c r="F79" i="76"/>
  <c r="F103" i="63" s="1"/>
  <c r="G79" i="76"/>
  <c r="G103" i="63" s="1"/>
  <c r="H79" i="76"/>
  <c r="H103" i="63" s="1"/>
  <c r="I79" i="76"/>
  <c r="I103" i="63" s="1"/>
  <c r="F80" i="76"/>
  <c r="F104" i="63" s="1"/>
  <c r="G80" i="76"/>
  <c r="G104" i="63" s="1"/>
  <c r="H80" i="76"/>
  <c r="H104" i="63" s="1"/>
  <c r="I80" i="76"/>
  <c r="I104" i="63" s="1"/>
  <c r="F81" i="76"/>
  <c r="F105" i="63" s="1"/>
  <c r="G81" i="76"/>
  <c r="G105" i="63" s="1"/>
  <c r="H81" i="76"/>
  <c r="H105" i="63" s="1"/>
  <c r="I81" i="76"/>
  <c r="I105" i="63" s="1"/>
  <c r="F82" i="76"/>
  <c r="F106" i="63" s="1"/>
  <c r="G82" i="76"/>
  <c r="G106" i="63" s="1"/>
  <c r="H82" i="76"/>
  <c r="H106" i="63" s="1"/>
  <c r="I82" i="76"/>
  <c r="I106" i="63" s="1"/>
  <c r="F83" i="76"/>
  <c r="F107" i="63" s="1"/>
  <c r="G83" i="76"/>
  <c r="G107" i="63" s="1"/>
  <c r="H83" i="76"/>
  <c r="H107" i="63" s="1"/>
  <c r="I83" i="76"/>
  <c r="I107" i="63" s="1"/>
  <c r="F84" i="76"/>
  <c r="F108" i="63" s="1"/>
  <c r="G84" i="76"/>
  <c r="G108" i="63" s="1"/>
  <c r="H84" i="76"/>
  <c r="H108" i="63" s="1"/>
  <c r="I84" i="76"/>
  <c r="I108" i="63" s="1"/>
  <c r="F85" i="76"/>
  <c r="F109" i="63" s="1"/>
  <c r="G85" i="76"/>
  <c r="G109" i="63" s="1"/>
  <c r="H85" i="76"/>
  <c r="H109" i="63" s="1"/>
  <c r="I85" i="76"/>
  <c r="I109" i="63" s="1"/>
  <c r="F86" i="76"/>
  <c r="F110" i="63" s="1"/>
  <c r="G86" i="76"/>
  <c r="G110" i="63" s="1"/>
  <c r="H86" i="76"/>
  <c r="H110" i="63" s="1"/>
  <c r="I86" i="76"/>
  <c r="I110" i="63" s="1"/>
  <c r="E71" i="76"/>
  <c r="E95" i="63" s="1"/>
  <c r="E72" i="76"/>
  <c r="E96" i="63" s="1"/>
  <c r="E73" i="76"/>
  <c r="E97" i="63" s="1"/>
  <c r="E74" i="76"/>
  <c r="E98" i="63" s="1"/>
  <c r="E75" i="76"/>
  <c r="E99" i="63" s="1"/>
  <c r="E76" i="76"/>
  <c r="E100" i="63" s="1"/>
  <c r="E77" i="76"/>
  <c r="E101" i="63" s="1"/>
  <c r="E78" i="76"/>
  <c r="E102" i="63" s="1"/>
  <c r="E79" i="76"/>
  <c r="E103" i="63" s="1"/>
  <c r="E80" i="76"/>
  <c r="E104" i="63" s="1"/>
  <c r="E81" i="76"/>
  <c r="E105" i="63" s="1"/>
  <c r="E82" i="76"/>
  <c r="E106" i="63" s="1"/>
  <c r="E83" i="76"/>
  <c r="E107" i="63" s="1"/>
  <c r="E84" i="76"/>
  <c r="E108" i="63" s="1"/>
  <c r="E85" i="76"/>
  <c r="E109" i="63" s="1"/>
  <c r="E86" i="76"/>
  <c r="E110" i="63" s="1"/>
  <c r="E70" i="76"/>
  <c r="F221" i="75"/>
  <c r="F70" i="63" s="1"/>
  <c r="G221" i="75"/>
  <c r="G70" i="63" s="1"/>
  <c r="H221" i="75"/>
  <c r="H70" i="63" s="1"/>
  <c r="I221" i="75"/>
  <c r="I70" i="63" s="1"/>
  <c r="F222" i="75"/>
  <c r="F71" i="63" s="1"/>
  <c r="G222" i="75"/>
  <c r="G71" i="63" s="1"/>
  <c r="H222" i="75"/>
  <c r="H71" i="63" s="1"/>
  <c r="I222" i="75"/>
  <c r="I71" i="63" s="1"/>
  <c r="F223" i="75"/>
  <c r="F72" i="63" s="1"/>
  <c r="G223" i="75"/>
  <c r="G72" i="63" s="1"/>
  <c r="H223" i="75"/>
  <c r="H72" i="63" s="1"/>
  <c r="I223" i="75"/>
  <c r="I72" i="63" s="1"/>
  <c r="F224" i="75"/>
  <c r="F73" i="63" s="1"/>
  <c r="G224" i="75"/>
  <c r="G73" i="63" s="1"/>
  <c r="H224" i="75"/>
  <c r="H73" i="63" s="1"/>
  <c r="I224" i="75"/>
  <c r="I73" i="63" s="1"/>
  <c r="F225" i="75"/>
  <c r="F74" i="63" s="1"/>
  <c r="G225" i="75"/>
  <c r="G74" i="63" s="1"/>
  <c r="H225" i="75"/>
  <c r="H74" i="63" s="1"/>
  <c r="I225" i="75"/>
  <c r="I74" i="63" s="1"/>
  <c r="F226" i="75"/>
  <c r="F75" i="63" s="1"/>
  <c r="G226" i="75"/>
  <c r="G75" i="63" s="1"/>
  <c r="H226" i="75"/>
  <c r="H75" i="63" s="1"/>
  <c r="I226" i="75"/>
  <c r="I75" i="63" s="1"/>
  <c r="F227" i="75"/>
  <c r="F76" i="63" s="1"/>
  <c r="G227" i="75"/>
  <c r="G76" i="63" s="1"/>
  <c r="H227" i="75"/>
  <c r="H76" i="63" s="1"/>
  <c r="I227" i="75"/>
  <c r="I76" i="63" s="1"/>
  <c r="F228" i="75"/>
  <c r="F77" i="63" s="1"/>
  <c r="G228" i="75"/>
  <c r="G77" i="63" s="1"/>
  <c r="H228" i="75"/>
  <c r="H77" i="63" s="1"/>
  <c r="I228" i="75"/>
  <c r="I77" i="63" s="1"/>
  <c r="F229" i="75"/>
  <c r="F78" i="63" s="1"/>
  <c r="G229" i="75"/>
  <c r="G78" i="63" s="1"/>
  <c r="H229" i="75"/>
  <c r="H78" i="63" s="1"/>
  <c r="I229" i="75"/>
  <c r="I78" i="63" s="1"/>
  <c r="F230" i="75"/>
  <c r="F79" i="63" s="1"/>
  <c r="G230" i="75"/>
  <c r="G79" i="63" s="1"/>
  <c r="H230" i="75"/>
  <c r="H79" i="63" s="1"/>
  <c r="I230" i="75"/>
  <c r="I79" i="63" s="1"/>
  <c r="F231" i="75"/>
  <c r="F80" i="63" s="1"/>
  <c r="G231" i="75"/>
  <c r="G80" i="63" s="1"/>
  <c r="H231" i="75"/>
  <c r="H80" i="63" s="1"/>
  <c r="I231" i="75"/>
  <c r="I80" i="63" s="1"/>
  <c r="F232" i="75"/>
  <c r="F81" i="63" s="1"/>
  <c r="G232" i="75"/>
  <c r="G81" i="63" s="1"/>
  <c r="H232" i="75"/>
  <c r="H81" i="63" s="1"/>
  <c r="I232" i="75"/>
  <c r="I81" i="63" s="1"/>
  <c r="F233" i="75"/>
  <c r="F82" i="63" s="1"/>
  <c r="G233" i="75"/>
  <c r="G82" i="63" s="1"/>
  <c r="H233" i="75"/>
  <c r="H82" i="63" s="1"/>
  <c r="I233" i="75"/>
  <c r="I82" i="63" s="1"/>
  <c r="F234" i="75"/>
  <c r="F83" i="63" s="1"/>
  <c r="G234" i="75"/>
  <c r="G83" i="63" s="1"/>
  <c r="H234" i="75"/>
  <c r="H83" i="63" s="1"/>
  <c r="I234" i="75"/>
  <c r="I83" i="63" s="1"/>
  <c r="F235" i="75"/>
  <c r="F84" i="63" s="1"/>
  <c r="G235" i="75"/>
  <c r="G84" i="63" s="1"/>
  <c r="H235" i="75"/>
  <c r="H84" i="63" s="1"/>
  <c r="I235" i="75"/>
  <c r="I84" i="63" s="1"/>
  <c r="F236" i="75"/>
  <c r="F85" i="63" s="1"/>
  <c r="G236" i="75"/>
  <c r="G85" i="63" s="1"/>
  <c r="H236" i="75"/>
  <c r="H85" i="63" s="1"/>
  <c r="I236" i="75"/>
  <c r="I85" i="63" s="1"/>
  <c r="F237" i="75"/>
  <c r="F86" i="63" s="1"/>
  <c r="G237" i="75"/>
  <c r="G86" i="63" s="1"/>
  <c r="H237" i="75"/>
  <c r="H86" i="63" s="1"/>
  <c r="I237" i="75"/>
  <c r="I86" i="63" s="1"/>
  <c r="F238" i="75"/>
  <c r="F87" i="63" s="1"/>
  <c r="G238" i="75"/>
  <c r="G87" i="63" s="1"/>
  <c r="H238" i="75"/>
  <c r="H87" i="63" s="1"/>
  <c r="I238" i="75"/>
  <c r="I87" i="63" s="1"/>
  <c r="F239" i="75"/>
  <c r="F88" i="63" s="1"/>
  <c r="G239" i="75"/>
  <c r="G88" i="63" s="1"/>
  <c r="H239" i="75"/>
  <c r="H88" i="63" s="1"/>
  <c r="I239" i="75"/>
  <c r="I88" i="63" s="1"/>
  <c r="F240" i="75"/>
  <c r="F89" i="63" s="1"/>
  <c r="G240" i="75"/>
  <c r="G89" i="63" s="1"/>
  <c r="H240" i="75"/>
  <c r="H89" i="63" s="1"/>
  <c r="I240" i="75"/>
  <c r="I89" i="63" s="1"/>
  <c r="F241" i="75"/>
  <c r="F90" i="63" s="1"/>
  <c r="G241" i="75"/>
  <c r="G90" i="63" s="1"/>
  <c r="H241" i="75"/>
  <c r="H90" i="63" s="1"/>
  <c r="I241" i="75"/>
  <c r="I90" i="63" s="1"/>
  <c r="E222" i="75"/>
  <c r="E71" i="63" s="1"/>
  <c r="E223" i="75"/>
  <c r="E72" i="63" s="1"/>
  <c r="E224" i="75"/>
  <c r="E73" i="63" s="1"/>
  <c r="E225" i="75"/>
  <c r="E74" i="63" s="1"/>
  <c r="E226" i="75"/>
  <c r="E75" i="63" s="1"/>
  <c r="E227" i="75"/>
  <c r="E76" i="63" s="1"/>
  <c r="E228" i="75"/>
  <c r="E77" i="63" s="1"/>
  <c r="E229" i="75"/>
  <c r="E78" i="63" s="1"/>
  <c r="E230" i="75"/>
  <c r="E79" i="63" s="1"/>
  <c r="E231" i="75"/>
  <c r="E80" i="63" s="1"/>
  <c r="E232" i="75"/>
  <c r="E81" i="63" s="1"/>
  <c r="E233" i="75"/>
  <c r="E82" i="63" s="1"/>
  <c r="E234" i="75"/>
  <c r="E83" i="63" s="1"/>
  <c r="E235" i="75"/>
  <c r="E84" i="63" s="1"/>
  <c r="E236" i="75"/>
  <c r="E85" i="63" s="1"/>
  <c r="E237" i="75"/>
  <c r="E86" i="63" s="1"/>
  <c r="E238" i="75"/>
  <c r="E87" i="63" s="1"/>
  <c r="E239" i="75"/>
  <c r="E88" i="63" s="1"/>
  <c r="E240" i="75"/>
  <c r="E89" i="63" s="1"/>
  <c r="E241" i="75"/>
  <c r="E90" i="63" s="1"/>
  <c r="E221" i="75"/>
  <c r="D110" i="79"/>
  <c r="C110" i="79"/>
  <c r="F111" i="79"/>
  <c r="F56" i="63" s="1"/>
  <c r="G111" i="79"/>
  <c r="G56" i="63" s="1"/>
  <c r="H111" i="79"/>
  <c r="H56" i="63" s="1"/>
  <c r="I111" i="79"/>
  <c r="I56" i="63" s="1"/>
  <c r="F112" i="79"/>
  <c r="F57" i="63" s="1"/>
  <c r="G112" i="79"/>
  <c r="G57" i="63" s="1"/>
  <c r="H112" i="79"/>
  <c r="H57" i="63" s="1"/>
  <c r="I112" i="79"/>
  <c r="I57" i="63" s="1"/>
  <c r="F113" i="79"/>
  <c r="F58" i="63" s="1"/>
  <c r="G113" i="79"/>
  <c r="G58" i="63" s="1"/>
  <c r="H113" i="79"/>
  <c r="H58" i="63" s="1"/>
  <c r="I113" i="79"/>
  <c r="I58" i="63" s="1"/>
  <c r="F114" i="79"/>
  <c r="F59" i="63" s="1"/>
  <c r="G114" i="79"/>
  <c r="G59" i="63" s="1"/>
  <c r="H114" i="79"/>
  <c r="H59" i="63" s="1"/>
  <c r="I114" i="79"/>
  <c r="I59" i="63" s="1"/>
  <c r="F115" i="79"/>
  <c r="F60" i="63" s="1"/>
  <c r="G115" i="79"/>
  <c r="G60" i="63" s="1"/>
  <c r="H115" i="79"/>
  <c r="H60" i="63" s="1"/>
  <c r="I115" i="79"/>
  <c r="I60" i="63" s="1"/>
  <c r="F116" i="79"/>
  <c r="F61" i="63" s="1"/>
  <c r="G116" i="79"/>
  <c r="G61" i="63" s="1"/>
  <c r="H116" i="79"/>
  <c r="H61" i="63" s="1"/>
  <c r="I116" i="79"/>
  <c r="I61" i="63" s="1"/>
  <c r="F117" i="79"/>
  <c r="F62" i="63" s="1"/>
  <c r="G117" i="79"/>
  <c r="G62" i="63" s="1"/>
  <c r="H117" i="79"/>
  <c r="H62" i="63" s="1"/>
  <c r="I117" i="79"/>
  <c r="I62" i="63" s="1"/>
  <c r="F118" i="79"/>
  <c r="F63" i="63" s="1"/>
  <c r="G118" i="79"/>
  <c r="G63" i="63" s="1"/>
  <c r="H118" i="79"/>
  <c r="H63" i="63" s="1"/>
  <c r="I118" i="79"/>
  <c r="I63" i="63" s="1"/>
  <c r="F119" i="79"/>
  <c r="F64" i="63" s="1"/>
  <c r="G119" i="79"/>
  <c r="G64" i="63" s="1"/>
  <c r="H119" i="79"/>
  <c r="H64" i="63" s="1"/>
  <c r="I119" i="79"/>
  <c r="I64" i="63" s="1"/>
  <c r="F120" i="79"/>
  <c r="F65" i="63" s="1"/>
  <c r="G120" i="79"/>
  <c r="G65" i="63" s="1"/>
  <c r="H120" i="79"/>
  <c r="H65" i="63" s="1"/>
  <c r="I120" i="79"/>
  <c r="I65" i="63" s="1"/>
  <c r="F121" i="79"/>
  <c r="F66" i="63" s="1"/>
  <c r="G121" i="79"/>
  <c r="G66" i="63" s="1"/>
  <c r="H121" i="79"/>
  <c r="H66" i="63" s="1"/>
  <c r="I121" i="79"/>
  <c r="I66" i="63" s="1"/>
  <c r="E112" i="79"/>
  <c r="E57" i="63" s="1"/>
  <c r="E113" i="79"/>
  <c r="E58" i="63" s="1"/>
  <c r="E114" i="79"/>
  <c r="E59" i="63" s="1"/>
  <c r="E115" i="79"/>
  <c r="E60" i="63" s="1"/>
  <c r="E116" i="79"/>
  <c r="E61" i="63" s="1"/>
  <c r="E117" i="79"/>
  <c r="E62" i="63" s="1"/>
  <c r="E118" i="79"/>
  <c r="E63" i="63" s="1"/>
  <c r="E119" i="79"/>
  <c r="E64" i="63" s="1"/>
  <c r="E120" i="79"/>
  <c r="E65" i="63" s="1"/>
  <c r="E121" i="79"/>
  <c r="E66" i="63" s="1"/>
  <c r="E111" i="79"/>
  <c r="I69" i="63" l="1"/>
  <c r="G69" i="63"/>
  <c r="H93" i="63"/>
  <c r="F93" i="63"/>
  <c r="H69" i="63"/>
  <c r="F69" i="63"/>
  <c r="I93" i="63"/>
  <c r="G93" i="63"/>
  <c r="H55" i="63"/>
  <c r="F55" i="63"/>
  <c r="I55" i="63"/>
  <c r="G55" i="63"/>
  <c r="H145" i="81"/>
  <c r="J23" i="81"/>
  <c r="H125" i="81"/>
  <c r="J25" i="81"/>
  <c r="J35" i="81" s="1"/>
  <c r="J47" i="81" s="1"/>
  <c r="I119" i="81"/>
  <c r="I120" i="81" s="1"/>
  <c r="I149" i="81" s="1"/>
  <c r="L146" i="81"/>
  <c r="J114" i="81"/>
  <c r="K110" i="81" s="1"/>
  <c r="P58" i="81"/>
  <c r="K38" i="81"/>
  <c r="L39" i="81"/>
  <c r="M53" i="81" s="1"/>
  <c r="M57" i="81"/>
  <c r="N55" i="81"/>
  <c r="L134" i="81"/>
  <c r="E165" i="81"/>
  <c r="E166" i="81" s="1"/>
  <c r="E167" i="81" s="1"/>
  <c r="K68" i="81"/>
  <c r="K150" i="81"/>
  <c r="L140" i="81"/>
  <c r="K137" i="81"/>
  <c r="L138" i="81"/>
  <c r="J188" i="81"/>
  <c r="I187" i="81"/>
  <c r="I194" i="81" s="1"/>
  <c r="M76" i="81"/>
  <c r="L75" i="81"/>
  <c r="L79" i="81" s="1"/>
  <c r="K70" i="81"/>
  <c r="L69" i="81"/>
  <c r="K24" i="81"/>
  <c r="I152" i="81"/>
  <c r="J110" i="81"/>
  <c r="J108" i="81" s="1"/>
  <c r="J37" i="81"/>
  <c r="M157" i="81"/>
  <c r="I118" i="81"/>
  <c r="J117" i="81"/>
  <c r="K26" i="81"/>
  <c r="M8" i="81"/>
  <c r="M15" i="81"/>
  <c r="L131" i="81"/>
  <c r="K21" i="81"/>
  <c r="K20" i="81" s="1"/>
  <c r="J82" i="81"/>
  <c r="N51" i="81"/>
  <c r="K12" i="81"/>
  <c r="K5" i="81"/>
  <c r="L53" i="81"/>
  <c r="E196" i="81"/>
  <c r="C204" i="80"/>
  <c r="E94" i="63"/>
  <c r="E93" i="63" s="1"/>
  <c r="C260" i="80"/>
  <c r="F286" i="80"/>
  <c r="D286" i="80"/>
  <c r="F273" i="80"/>
  <c r="D273" i="80"/>
  <c r="F260" i="80"/>
  <c r="D260" i="80"/>
  <c r="F250" i="80"/>
  <c r="D250" i="80"/>
  <c r="F242" i="80"/>
  <c r="D242" i="80"/>
  <c r="F232" i="80"/>
  <c r="D232" i="80"/>
  <c r="F217" i="80"/>
  <c r="D217" i="80"/>
  <c r="F204" i="80"/>
  <c r="D204" i="80"/>
  <c r="C286" i="80"/>
  <c r="C273" i="80"/>
  <c r="C250" i="80"/>
  <c r="C242" i="80"/>
  <c r="C232" i="80"/>
  <c r="C217" i="80"/>
  <c r="G286" i="80"/>
  <c r="E286" i="80"/>
  <c r="G273" i="80"/>
  <c r="E273" i="80"/>
  <c r="G260" i="80"/>
  <c r="E260" i="80"/>
  <c r="G250" i="80"/>
  <c r="E250" i="80"/>
  <c r="G242" i="80"/>
  <c r="E242" i="80"/>
  <c r="G232" i="80"/>
  <c r="E232" i="80"/>
  <c r="G217" i="80"/>
  <c r="E217" i="80"/>
  <c r="G204" i="80"/>
  <c r="E204" i="80"/>
  <c r="C123" i="80"/>
  <c r="G123" i="80"/>
  <c r="E123" i="80"/>
  <c r="F123" i="80"/>
  <c r="D123" i="80"/>
  <c r="C189" i="80"/>
  <c r="C155" i="80"/>
  <c r="G189" i="80"/>
  <c r="E189" i="80"/>
  <c r="G162" i="80"/>
  <c r="E162" i="80"/>
  <c r="G155" i="80"/>
  <c r="E155" i="80"/>
  <c r="G137" i="80"/>
  <c r="E137" i="80"/>
  <c r="C137" i="80"/>
  <c r="E70" i="63"/>
  <c r="E69" i="63" s="1"/>
  <c r="C162" i="80"/>
  <c r="F189" i="80"/>
  <c r="D189" i="80"/>
  <c r="F162" i="80"/>
  <c r="D162" i="80"/>
  <c r="F155" i="80"/>
  <c r="D155" i="80"/>
  <c r="F137" i="80"/>
  <c r="D137" i="80"/>
  <c r="C67" i="80"/>
  <c r="E56" i="63"/>
  <c r="E55" i="63" s="1"/>
  <c r="C109" i="80"/>
  <c r="C99" i="80"/>
  <c r="C84" i="80"/>
  <c r="G109" i="80"/>
  <c r="E109" i="80"/>
  <c r="G99" i="80"/>
  <c r="E99" i="80"/>
  <c r="G84" i="80"/>
  <c r="E84" i="80"/>
  <c r="G75" i="80"/>
  <c r="E75" i="80"/>
  <c r="G67" i="80"/>
  <c r="E67" i="80"/>
  <c r="C75" i="80"/>
  <c r="F109" i="80"/>
  <c r="D109" i="80"/>
  <c r="F99" i="80"/>
  <c r="D99" i="80"/>
  <c r="F84" i="80"/>
  <c r="D84" i="80"/>
  <c r="F75" i="80"/>
  <c r="D75" i="80"/>
  <c r="F67" i="80"/>
  <c r="D67" i="80"/>
  <c r="I110" i="79"/>
  <c r="E110" i="79"/>
  <c r="H110" i="79"/>
  <c r="F110" i="79"/>
  <c r="G110" i="79"/>
  <c r="F109" i="78"/>
  <c r="F46" i="63" s="1"/>
  <c r="G109" i="78"/>
  <c r="G46" i="63" s="1"/>
  <c r="H109" i="78"/>
  <c r="H46" i="63" s="1"/>
  <c r="I109" i="78"/>
  <c r="I46" i="63" s="1"/>
  <c r="F110" i="78"/>
  <c r="F47" i="63" s="1"/>
  <c r="G110" i="78"/>
  <c r="G47" i="63" s="1"/>
  <c r="H110" i="78"/>
  <c r="H47" i="63" s="1"/>
  <c r="I110" i="78"/>
  <c r="I47" i="63" s="1"/>
  <c r="F111" i="78"/>
  <c r="F48" i="63" s="1"/>
  <c r="G111" i="78"/>
  <c r="G48" i="63" s="1"/>
  <c r="H111" i="78"/>
  <c r="H48" i="63" s="1"/>
  <c r="I111" i="78"/>
  <c r="I48" i="63" s="1"/>
  <c r="F112" i="78"/>
  <c r="F49" i="63" s="1"/>
  <c r="G112" i="78"/>
  <c r="G49" i="63" s="1"/>
  <c r="H112" i="78"/>
  <c r="H49" i="63" s="1"/>
  <c r="I112" i="78"/>
  <c r="I49" i="63" s="1"/>
  <c r="F113" i="78"/>
  <c r="F50" i="63" s="1"/>
  <c r="G113" i="78"/>
  <c r="G50" i="63" s="1"/>
  <c r="H113" i="78"/>
  <c r="H50" i="63" s="1"/>
  <c r="I113" i="78"/>
  <c r="I50" i="63" s="1"/>
  <c r="F114" i="78"/>
  <c r="F51" i="63" s="1"/>
  <c r="G114" i="78"/>
  <c r="G51" i="63" s="1"/>
  <c r="H114" i="78"/>
  <c r="H51" i="63" s="1"/>
  <c r="I114" i="78"/>
  <c r="I51" i="63" s="1"/>
  <c r="F115" i="78"/>
  <c r="F52" i="63" s="1"/>
  <c r="G115" i="78"/>
  <c r="G52" i="63" s="1"/>
  <c r="H115" i="78"/>
  <c r="H52" i="63" s="1"/>
  <c r="I115" i="78"/>
  <c r="I52" i="63" s="1"/>
  <c r="E110" i="78"/>
  <c r="E47" i="63" s="1"/>
  <c r="E111" i="78"/>
  <c r="E48" i="63" s="1"/>
  <c r="E112" i="78"/>
  <c r="E49" i="63" s="1"/>
  <c r="E113" i="78"/>
  <c r="E50" i="63" s="1"/>
  <c r="E114" i="78"/>
  <c r="E51" i="63" s="1"/>
  <c r="E115" i="78"/>
  <c r="E52" i="63" s="1"/>
  <c r="E109" i="78"/>
  <c r="F113" i="31"/>
  <c r="F38" i="63" s="1"/>
  <c r="G113" i="31"/>
  <c r="G38" i="63" s="1"/>
  <c r="H113" i="31"/>
  <c r="H38" i="63" s="1"/>
  <c r="I113" i="31"/>
  <c r="I38" i="63" s="1"/>
  <c r="F114" i="31"/>
  <c r="F39" i="63" s="1"/>
  <c r="G114" i="31"/>
  <c r="G39" i="63" s="1"/>
  <c r="H114" i="31"/>
  <c r="H39" i="63" s="1"/>
  <c r="I114" i="31"/>
  <c r="I39" i="63" s="1"/>
  <c r="F115" i="31"/>
  <c r="F40" i="63" s="1"/>
  <c r="G115" i="31"/>
  <c r="G40" i="63" s="1"/>
  <c r="H115" i="31"/>
  <c r="H40" i="63" s="1"/>
  <c r="I115" i="31"/>
  <c r="I40" i="63" s="1"/>
  <c r="F116" i="31"/>
  <c r="F41" i="63" s="1"/>
  <c r="G116" i="31"/>
  <c r="G41" i="63" s="1"/>
  <c r="H116" i="31"/>
  <c r="H41" i="63" s="1"/>
  <c r="I116" i="31"/>
  <c r="I41" i="63" s="1"/>
  <c r="F117" i="31"/>
  <c r="F42" i="63" s="1"/>
  <c r="G117" i="31"/>
  <c r="G42" i="63" s="1"/>
  <c r="H117" i="31"/>
  <c r="H42" i="63" s="1"/>
  <c r="I117" i="31"/>
  <c r="I42" i="63" s="1"/>
  <c r="E114" i="31"/>
  <c r="E39" i="63" s="1"/>
  <c r="E115" i="31"/>
  <c r="E40" i="63" s="1"/>
  <c r="E116" i="31"/>
  <c r="E41" i="63" s="1"/>
  <c r="E117" i="31"/>
  <c r="E42" i="63" s="1"/>
  <c r="E113" i="31"/>
  <c r="J46" i="81" l="1"/>
  <c r="E112" i="31"/>
  <c r="H45" i="63"/>
  <c r="I45" i="63"/>
  <c r="G45" i="63"/>
  <c r="F45" i="63"/>
  <c r="H37" i="63"/>
  <c r="F37" i="63"/>
  <c r="I37" i="63"/>
  <c r="G37" i="63"/>
  <c r="G488" i="63" s="1"/>
  <c r="G487" i="63" s="1"/>
  <c r="K23" i="81"/>
  <c r="I108" i="78"/>
  <c r="G108" i="78"/>
  <c r="E46" i="63"/>
  <c r="E45" i="63" s="1"/>
  <c r="E108" i="78"/>
  <c r="H108" i="78"/>
  <c r="F108" i="78"/>
  <c r="I125" i="81"/>
  <c r="J34" i="81"/>
  <c r="J48" i="81"/>
  <c r="I145" i="81"/>
  <c r="K25" i="81"/>
  <c r="K35" i="81" s="1"/>
  <c r="K47" i="81" s="1"/>
  <c r="O51" i="81"/>
  <c r="L21" i="81"/>
  <c r="L20" i="81" s="1"/>
  <c r="N15" i="81"/>
  <c r="N8" i="81"/>
  <c r="L26" i="81"/>
  <c r="J161" i="81"/>
  <c r="J116" i="81"/>
  <c r="M75" i="81"/>
  <c r="M79" i="81" s="1"/>
  <c r="N76" i="81"/>
  <c r="J187" i="81"/>
  <c r="J194" i="81" s="1"/>
  <c r="K188" i="81"/>
  <c r="M138" i="81"/>
  <c r="L137" i="81"/>
  <c r="M140" i="81"/>
  <c r="L150" i="81"/>
  <c r="L68" i="81"/>
  <c r="M134" i="81"/>
  <c r="M39" i="81"/>
  <c r="L38" i="81"/>
  <c r="J152" i="81"/>
  <c r="K108" i="81"/>
  <c r="M146" i="81"/>
  <c r="L12" i="81"/>
  <c r="L5" i="81"/>
  <c r="M131" i="81"/>
  <c r="K117" i="81"/>
  <c r="J118" i="81"/>
  <c r="N157" i="81"/>
  <c r="L24" i="81"/>
  <c r="L25" i="81" s="1"/>
  <c r="L35" i="81" s="1"/>
  <c r="M69" i="81"/>
  <c r="L70" i="81"/>
  <c r="K82" i="81"/>
  <c r="O55" i="81"/>
  <c r="N57" i="81"/>
  <c r="K37" i="81"/>
  <c r="C17" i="80"/>
  <c r="C25" i="80"/>
  <c r="C9" i="80"/>
  <c r="G25" i="80"/>
  <c r="E25" i="80"/>
  <c r="G17" i="80"/>
  <c r="E17" i="80"/>
  <c r="G9" i="80"/>
  <c r="E9" i="80"/>
  <c r="I112" i="31"/>
  <c r="G112" i="31"/>
  <c r="F25" i="80"/>
  <c r="D25" i="80"/>
  <c r="F17" i="80"/>
  <c r="D17" i="80"/>
  <c r="F9" i="80"/>
  <c r="D9" i="80"/>
  <c r="H112" i="31"/>
  <c r="F112" i="31"/>
  <c r="C56" i="80"/>
  <c r="F56" i="80"/>
  <c r="D56" i="80"/>
  <c r="F38" i="80"/>
  <c r="D38" i="80"/>
  <c r="C38" i="80"/>
  <c r="G56" i="80"/>
  <c r="E56" i="80"/>
  <c r="G38" i="80"/>
  <c r="E38" i="80"/>
  <c r="G29" i="76"/>
  <c r="E263" i="80" s="1"/>
  <c r="F29" i="76"/>
  <c r="D263" i="80" s="1"/>
  <c r="G27" i="76"/>
  <c r="E245" i="80" s="1"/>
  <c r="H27" i="76"/>
  <c r="F245" i="80" s="1"/>
  <c r="I27" i="76"/>
  <c r="G245" i="80" s="1"/>
  <c r="F27" i="76"/>
  <c r="D245" i="80" s="1"/>
  <c r="G46" i="76"/>
  <c r="H46" i="76"/>
  <c r="I46" i="76"/>
  <c r="J46" i="76"/>
  <c r="F46" i="76"/>
  <c r="K22" i="76"/>
  <c r="L22" i="76"/>
  <c r="M22" i="76"/>
  <c r="N22" i="76"/>
  <c r="O22" i="76"/>
  <c r="P22" i="76"/>
  <c r="G26" i="76"/>
  <c r="E235" i="80" s="1"/>
  <c r="H26" i="76"/>
  <c r="F235" i="80" s="1"/>
  <c r="I26" i="76"/>
  <c r="G235" i="80" s="1"/>
  <c r="F26" i="76"/>
  <c r="D235" i="80" s="1"/>
  <c r="I488" i="63" l="1"/>
  <c r="I487" i="63" s="1"/>
  <c r="F35" i="63"/>
  <c r="F488" i="63"/>
  <c r="F487" i="63" s="1"/>
  <c r="H35" i="63"/>
  <c r="H488" i="63"/>
  <c r="H487" i="63" s="1"/>
  <c r="H115" i="63"/>
  <c r="H116" i="63" s="1"/>
  <c r="G115" i="63"/>
  <c r="G116" i="63" s="1"/>
  <c r="G35" i="63"/>
  <c r="F115" i="63"/>
  <c r="F116" i="63" s="1"/>
  <c r="I35" i="63"/>
  <c r="G296" i="80" s="1"/>
  <c r="I115" i="63"/>
  <c r="I116" i="63" s="1"/>
  <c r="L23" i="81"/>
  <c r="L34" i="81"/>
  <c r="L48" i="81"/>
  <c r="K34" i="81"/>
  <c r="K48" i="81"/>
  <c r="K46" i="81"/>
  <c r="O57" i="81"/>
  <c r="P55" i="81"/>
  <c r="M70" i="81"/>
  <c r="N69" i="81"/>
  <c r="M12" i="81"/>
  <c r="M5" i="81"/>
  <c r="N146" i="81"/>
  <c r="K161" i="81"/>
  <c r="K116" i="81"/>
  <c r="M38" i="81"/>
  <c r="N39" i="81"/>
  <c r="O53" i="81" s="1"/>
  <c r="M68" i="81"/>
  <c r="M150" i="81"/>
  <c r="N140" i="81"/>
  <c r="M137" i="81"/>
  <c r="N138" i="81"/>
  <c r="M26" i="81"/>
  <c r="O15" i="81"/>
  <c r="O8" i="81"/>
  <c r="M21" i="81"/>
  <c r="M20" i="81" s="1"/>
  <c r="P51" i="81"/>
  <c r="O157" i="81"/>
  <c r="L47" i="81"/>
  <c r="L37" i="81"/>
  <c r="L46" i="81" s="1"/>
  <c r="N134" i="81"/>
  <c r="L82" i="81"/>
  <c r="L188" i="81"/>
  <c r="K187" i="81"/>
  <c r="K194" i="81" s="1"/>
  <c r="O76" i="81"/>
  <c r="N75" i="81"/>
  <c r="N79" i="81" s="1"/>
  <c r="J119" i="81"/>
  <c r="J120" i="81" s="1"/>
  <c r="K115" i="81"/>
  <c r="M24" i="81"/>
  <c r="M25" i="81" s="1"/>
  <c r="M35" i="81" s="1"/>
  <c r="N131" i="81"/>
  <c r="N53" i="81"/>
  <c r="D269" i="75"/>
  <c r="D368" i="63" s="1"/>
  <c r="C269" i="75"/>
  <c r="H182" i="75"/>
  <c r="I182" i="75" s="1"/>
  <c r="J182" i="75" s="1"/>
  <c r="K182" i="75" s="1"/>
  <c r="L182" i="75" s="1"/>
  <c r="M182" i="75" s="1"/>
  <c r="N182" i="75" s="1"/>
  <c r="C181" i="75"/>
  <c r="C180" i="75" s="1"/>
  <c r="D181" i="75"/>
  <c r="E181" i="75" s="1"/>
  <c r="F181" i="75" s="1"/>
  <c r="G181" i="75" s="1"/>
  <c r="H181" i="75" s="1"/>
  <c r="I181" i="75" s="1"/>
  <c r="J181" i="75" s="1"/>
  <c r="K181" i="75" s="1"/>
  <c r="L181" i="75" s="1"/>
  <c r="M181" i="75" s="1"/>
  <c r="N181" i="75" s="1"/>
  <c r="O181" i="75" s="1"/>
  <c r="P181" i="75" s="1"/>
  <c r="G178" i="75"/>
  <c r="H178" i="75" s="1"/>
  <c r="I178" i="75" s="1"/>
  <c r="J178" i="75" s="1"/>
  <c r="K178" i="75" s="1"/>
  <c r="L178" i="75" s="1"/>
  <c r="M178" i="75" s="1"/>
  <c r="N178" i="75" s="1"/>
  <c r="O178" i="75" s="1"/>
  <c r="P178" i="75" s="1"/>
  <c r="C177" i="75"/>
  <c r="C176" i="75" s="1"/>
  <c r="D177" i="75"/>
  <c r="E177" i="75" s="1"/>
  <c r="F177" i="75" s="1"/>
  <c r="G177" i="75" s="1"/>
  <c r="H177" i="75" s="1"/>
  <c r="I177" i="75" s="1"/>
  <c r="J177" i="75" s="1"/>
  <c r="K177" i="75" s="1"/>
  <c r="L177" i="75" s="1"/>
  <c r="M177" i="75" s="1"/>
  <c r="N177" i="75" s="1"/>
  <c r="O177" i="75" s="1"/>
  <c r="P177" i="75" s="1"/>
  <c r="J22" i="79"/>
  <c r="K22" i="79" s="1"/>
  <c r="L22" i="79" s="1"/>
  <c r="M22" i="79" s="1"/>
  <c r="N22" i="79" s="1"/>
  <c r="O22" i="79" s="1"/>
  <c r="P22" i="79" s="1"/>
  <c r="M23" i="81" l="1"/>
  <c r="M34" i="81"/>
  <c r="M48" i="81"/>
  <c r="N24" i="81"/>
  <c r="K114" i="81"/>
  <c r="L115" i="81"/>
  <c r="N21" i="81"/>
  <c r="N20" i="81" s="1"/>
  <c r="O131" i="81"/>
  <c r="M82" i="81"/>
  <c r="M47" i="81"/>
  <c r="M37" i="81"/>
  <c r="M46" i="81" s="1"/>
  <c r="O146" i="81"/>
  <c r="O69" i="81"/>
  <c r="N70" i="81"/>
  <c r="P57" i="81"/>
  <c r="K118" i="81"/>
  <c r="J149" i="81"/>
  <c r="J145" i="81" s="1"/>
  <c r="J125" i="81"/>
  <c r="O75" i="81"/>
  <c r="O79" i="81" s="1"/>
  <c r="P76" i="81"/>
  <c r="P75" i="81" s="1"/>
  <c r="P79" i="81" s="1"/>
  <c r="L187" i="81"/>
  <c r="L194" i="81" s="1"/>
  <c r="M188" i="81"/>
  <c r="O134" i="81"/>
  <c r="P157" i="81"/>
  <c r="P8" i="81"/>
  <c r="P15" i="81"/>
  <c r="N26" i="81"/>
  <c r="O138" i="81"/>
  <c r="N137" i="81"/>
  <c r="O140" i="81"/>
  <c r="N150" i="81"/>
  <c r="N68" i="81"/>
  <c r="O39" i="81"/>
  <c r="N38" i="81"/>
  <c r="N12" i="81"/>
  <c r="N5" i="81"/>
  <c r="I176" i="75"/>
  <c r="E176" i="75"/>
  <c r="C157" i="80" s="1"/>
  <c r="E180" i="75"/>
  <c r="G180" i="75"/>
  <c r="I180" i="75"/>
  <c r="G164" i="80" s="1"/>
  <c r="K180" i="75"/>
  <c r="G176" i="75"/>
  <c r="D180" i="75"/>
  <c r="F180" i="75"/>
  <c r="H180" i="75"/>
  <c r="J180" i="75"/>
  <c r="H164" i="80" s="1"/>
  <c r="L180" i="75"/>
  <c r="O182" i="75"/>
  <c r="N180" i="75"/>
  <c r="M180" i="75"/>
  <c r="H176" i="75"/>
  <c r="F176" i="75"/>
  <c r="D157" i="80" s="1"/>
  <c r="D176" i="75"/>
  <c r="J176" i="75"/>
  <c r="H67" i="79"/>
  <c r="G67" i="79"/>
  <c r="H21" i="79"/>
  <c r="I21" i="79" s="1"/>
  <c r="J21" i="79" s="1"/>
  <c r="K21" i="79" s="1"/>
  <c r="L21" i="79" s="1"/>
  <c r="M21" i="79" s="1"/>
  <c r="N21" i="79" s="1"/>
  <c r="O21" i="79" s="1"/>
  <c r="P21" i="79" s="1"/>
  <c r="J20" i="79"/>
  <c r="K20" i="79" s="1"/>
  <c r="L20" i="79" s="1"/>
  <c r="M20" i="79" s="1"/>
  <c r="H74" i="79"/>
  <c r="G74" i="79"/>
  <c r="G20" i="78"/>
  <c r="H20" i="78" s="1"/>
  <c r="I20" i="78" s="1"/>
  <c r="J20" i="78" s="1"/>
  <c r="K20" i="78" s="1"/>
  <c r="L20" i="78" s="1"/>
  <c r="M20" i="78" s="1"/>
  <c r="N20" i="78" s="1"/>
  <c r="O20" i="78" s="1"/>
  <c r="P20" i="78" s="1"/>
  <c r="I19" i="78"/>
  <c r="J19" i="78" s="1"/>
  <c r="K19" i="78" s="1"/>
  <c r="L19" i="78" s="1"/>
  <c r="M19" i="78" s="1"/>
  <c r="N19" i="78" s="1"/>
  <c r="O19" i="78" s="1"/>
  <c r="P19" i="78" s="1"/>
  <c r="H76" i="31"/>
  <c r="H73" i="31"/>
  <c r="G73" i="31"/>
  <c r="N23" i="81" l="1"/>
  <c r="K119" i="81"/>
  <c r="K120" i="81" s="1"/>
  <c r="K149" i="81" s="1"/>
  <c r="L110" i="81"/>
  <c r="L108" i="81" s="1"/>
  <c r="O38" i="81"/>
  <c r="P39" i="81"/>
  <c r="P38" i="81" s="1"/>
  <c r="O68" i="81"/>
  <c r="P68" i="81"/>
  <c r="O137" i="81"/>
  <c r="P138" i="81"/>
  <c r="O12" i="81"/>
  <c r="O5" i="81"/>
  <c r="N37" i="81"/>
  <c r="N82" i="81"/>
  <c r="O26" i="81"/>
  <c r="P26" i="81"/>
  <c r="P146" i="81"/>
  <c r="O21" i="81"/>
  <c r="O20" i="81" s="1"/>
  <c r="C220" i="81"/>
  <c r="L114" i="81"/>
  <c r="M110" i="81" s="1"/>
  <c r="O24" i="81"/>
  <c r="N25" i="81"/>
  <c r="N35" i="81" s="1"/>
  <c r="P53" i="81"/>
  <c r="O150" i="81"/>
  <c r="P140" i="81"/>
  <c r="P150" i="81" s="1"/>
  <c r="P131" i="81"/>
  <c r="P134" i="81"/>
  <c r="N188" i="81"/>
  <c r="M187" i="81"/>
  <c r="M194" i="81" s="1"/>
  <c r="O70" i="81"/>
  <c r="P69" i="81"/>
  <c r="P70" i="81" s="1"/>
  <c r="K152" i="81"/>
  <c r="K125" i="81"/>
  <c r="L117" i="81"/>
  <c r="P182" i="75"/>
  <c r="P180" i="75" s="1"/>
  <c r="O180" i="75"/>
  <c r="K176" i="75"/>
  <c r="N20" i="79"/>
  <c r="K145" i="81" l="1"/>
  <c r="O23" i="81"/>
  <c r="N34" i="81"/>
  <c r="N48" i="81"/>
  <c r="N47" i="81"/>
  <c r="O25" i="81"/>
  <c r="O35" i="81" s="1"/>
  <c r="O47" i="81" s="1"/>
  <c r="M117" i="81"/>
  <c r="L118" i="81"/>
  <c r="L152" i="81"/>
  <c r="M108" i="81"/>
  <c r="O82" i="81"/>
  <c r="O37" i="81"/>
  <c r="O46" i="81" s="1"/>
  <c r="N46" i="81"/>
  <c r="L161" i="81"/>
  <c r="L116" i="81"/>
  <c r="N187" i="81"/>
  <c r="N194" i="81" s="1"/>
  <c r="O188" i="81"/>
  <c r="P21" i="81"/>
  <c r="P82" i="81"/>
  <c r="P12" i="81"/>
  <c r="P5" i="81"/>
  <c r="P37" i="81"/>
  <c r="P137" i="81"/>
  <c r="P24" i="81"/>
  <c r="P25" i="81" s="1"/>
  <c r="P35" i="81" s="1"/>
  <c r="L176" i="75"/>
  <c r="O20" i="79"/>
  <c r="P20" i="81" l="1"/>
  <c r="P34" i="81"/>
  <c r="P48" i="81"/>
  <c r="O34" i="81"/>
  <c r="O48" i="81"/>
  <c r="P47" i="81"/>
  <c r="P46" i="81"/>
  <c r="P188" i="81"/>
  <c r="P187" i="81" s="1"/>
  <c r="P194" i="81" s="1"/>
  <c r="O187" i="81"/>
  <c r="O194" i="81" s="1"/>
  <c r="L119" i="81"/>
  <c r="L120" i="81" s="1"/>
  <c r="M115" i="81"/>
  <c r="M118" i="81" s="1"/>
  <c r="M161" i="81"/>
  <c r="M116" i="81"/>
  <c r="M176" i="75"/>
  <c r="P20" i="79"/>
  <c r="P23" i="81" l="1"/>
  <c r="M114" i="81"/>
  <c r="N115" i="81"/>
  <c r="L149" i="81"/>
  <c r="L145" i="81" s="1"/>
  <c r="L125" i="81"/>
  <c r="N176" i="75"/>
  <c r="M119" i="81" l="1"/>
  <c r="M120" i="81" s="1"/>
  <c r="M149" i="81" s="1"/>
  <c r="N110" i="81"/>
  <c r="N108" i="81" s="1"/>
  <c r="N114" i="81"/>
  <c r="O110" i="81" s="1"/>
  <c r="M152" i="81"/>
  <c r="M145" i="81" s="1"/>
  <c r="M125" i="81"/>
  <c r="N117" i="81"/>
  <c r="O176" i="75"/>
  <c r="P176" i="75"/>
  <c r="N161" i="81" l="1"/>
  <c r="N116" i="81"/>
  <c r="O117" i="81"/>
  <c r="N118" i="81"/>
  <c r="N152" i="81"/>
  <c r="O108" i="81"/>
  <c r="I19" i="31"/>
  <c r="J19" i="31" s="1"/>
  <c r="K19" i="31" s="1"/>
  <c r="L19" i="31" s="1"/>
  <c r="M19" i="31" s="1"/>
  <c r="N19" i="31" s="1"/>
  <c r="O19" i="31" s="1"/>
  <c r="P19" i="31" s="1"/>
  <c r="I33" i="31"/>
  <c r="J33" i="31" s="1"/>
  <c r="K33" i="31" s="1"/>
  <c r="L33" i="31" s="1"/>
  <c r="M33" i="31" s="1"/>
  <c r="N33" i="31" s="1"/>
  <c r="O33" i="31" s="1"/>
  <c r="P33" i="31" s="1"/>
  <c r="C32" i="31"/>
  <c r="C31" i="31" s="1"/>
  <c r="J25" i="76"/>
  <c r="I25" i="76"/>
  <c r="H25" i="76"/>
  <c r="G25" i="76"/>
  <c r="F25" i="76"/>
  <c r="J24" i="76"/>
  <c r="I24" i="76"/>
  <c r="H24" i="76"/>
  <c r="G24" i="76"/>
  <c r="F24" i="76"/>
  <c r="L83" i="78"/>
  <c r="M83" i="78" s="1"/>
  <c r="N83" i="78" s="1"/>
  <c r="O83" i="78" s="1"/>
  <c r="P83" i="78" s="1"/>
  <c r="C81" i="78"/>
  <c r="D81" i="78" s="1"/>
  <c r="D80" i="78" s="1"/>
  <c r="C84" i="79"/>
  <c r="D84" i="79" s="1"/>
  <c r="D83" i="79" s="1"/>
  <c r="J82" i="78"/>
  <c r="D92" i="79"/>
  <c r="J19" i="79"/>
  <c r="K19" i="79" s="1"/>
  <c r="L19" i="79" s="1"/>
  <c r="M19" i="79" s="1"/>
  <c r="N19" i="79" s="1"/>
  <c r="O19" i="79" s="1"/>
  <c r="P19" i="79" s="1"/>
  <c r="J23" i="76"/>
  <c r="H207" i="80" s="1"/>
  <c r="I23" i="76"/>
  <c r="H23" i="76"/>
  <c r="F207" i="80" s="1"/>
  <c r="G23" i="76"/>
  <c r="F23" i="76"/>
  <c r="D207" i="80" s="1"/>
  <c r="D128" i="75"/>
  <c r="E128" i="75" s="1"/>
  <c r="C128" i="75"/>
  <c r="C127" i="75" s="1"/>
  <c r="J129" i="75"/>
  <c r="K129" i="75" s="1"/>
  <c r="L129" i="75" s="1"/>
  <c r="M129" i="75" s="1"/>
  <c r="N129" i="75" s="1"/>
  <c r="O129" i="75" s="1"/>
  <c r="P129" i="75" s="1"/>
  <c r="J174" i="75"/>
  <c r="K174" i="75" s="1"/>
  <c r="L174" i="75" s="1"/>
  <c r="M174" i="75" s="1"/>
  <c r="N174" i="75" s="1"/>
  <c r="O174" i="75" s="1"/>
  <c r="P174" i="75" s="1"/>
  <c r="G22" i="76" l="1"/>
  <c r="E207" i="80"/>
  <c r="I22" i="76"/>
  <c r="G207" i="80"/>
  <c r="O161" i="81"/>
  <c r="O116" i="81"/>
  <c r="O115" i="81"/>
  <c r="O118" i="81" s="1"/>
  <c r="N119" i="81"/>
  <c r="N120" i="81" s="1"/>
  <c r="D39" i="76"/>
  <c r="D38" i="76"/>
  <c r="F22" i="76"/>
  <c r="H22" i="76"/>
  <c r="J22" i="76"/>
  <c r="K85" i="79"/>
  <c r="L86" i="79"/>
  <c r="F128" i="75"/>
  <c r="E127" i="75"/>
  <c r="D127" i="75"/>
  <c r="C80" i="78"/>
  <c r="D32" i="31"/>
  <c r="D31" i="31" s="1"/>
  <c r="E81" i="78"/>
  <c r="E84" i="79"/>
  <c r="K82" i="78"/>
  <c r="C83" i="79"/>
  <c r="C39" i="76" s="1"/>
  <c r="D499" i="63"/>
  <c r="D549" i="63" s="1"/>
  <c r="E499" i="63"/>
  <c r="E549" i="63" s="1"/>
  <c r="F499" i="63"/>
  <c r="F549" i="63" s="1"/>
  <c r="G499" i="63"/>
  <c r="G549" i="63" s="1"/>
  <c r="H499" i="63"/>
  <c r="H549" i="63" s="1"/>
  <c r="I499" i="63"/>
  <c r="I549" i="63" s="1"/>
  <c r="J499" i="63"/>
  <c r="J549" i="63" s="1"/>
  <c r="K499" i="63"/>
  <c r="K549" i="63" s="1"/>
  <c r="L499" i="63"/>
  <c r="L549" i="63" s="1"/>
  <c r="M499" i="63"/>
  <c r="M549" i="63" s="1"/>
  <c r="N499" i="63"/>
  <c r="N549" i="63" s="1"/>
  <c r="O499" i="63"/>
  <c r="O549" i="63" s="1"/>
  <c r="P499" i="63"/>
  <c r="P549" i="63" s="1"/>
  <c r="C499" i="63"/>
  <c r="C549" i="63" s="1"/>
  <c r="A158" i="63"/>
  <c r="A159" i="63"/>
  <c r="A160" i="63"/>
  <c r="A157" i="63"/>
  <c r="B116" i="63"/>
  <c r="D2" i="63"/>
  <c r="E2" i="63"/>
  <c r="F2" i="63"/>
  <c r="G2" i="63"/>
  <c r="H2" i="63"/>
  <c r="I2" i="63"/>
  <c r="J2" i="63"/>
  <c r="K2" i="63"/>
  <c r="L2" i="63"/>
  <c r="M2" i="63"/>
  <c r="N2" i="63"/>
  <c r="O2" i="63"/>
  <c r="P2" i="63"/>
  <c r="C2" i="63"/>
  <c r="D127" i="76"/>
  <c r="C127" i="76"/>
  <c r="D124" i="76"/>
  <c r="C124" i="76"/>
  <c r="D123" i="76"/>
  <c r="C123" i="76"/>
  <c r="E123" i="76"/>
  <c r="F123" i="76" s="1"/>
  <c r="G123" i="76" s="1"/>
  <c r="H123" i="76" s="1"/>
  <c r="I123" i="76" s="1"/>
  <c r="J123" i="76" s="1"/>
  <c r="K123" i="76" s="1"/>
  <c r="L123" i="76" s="1"/>
  <c r="M123" i="76" s="1"/>
  <c r="N123" i="76" s="1"/>
  <c r="O123" i="76" s="1"/>
  <c r="P123" i="76" s="1"/>
  <c r="E122" i="76"/>
  <c r="D122" i="76"/>
  <c r="C122" i="76"/>
  <c r="E120" i="76"/>
  <c r="E119" i="76"/>
  <c r="E118" i="76"/>
  <c r="E117" i="76"/>
  <c r="E116" i="76"/>
  <c r="E373" i="63" s="1"/>
  <c r="E114" i="76"/>
  <c r="D120" i="76"/>
  <c r="D119" i="76"/>
  <c r="D118" i="76"/>
  <c r="D117" i="76"/>
  <c r="D386" i="63" s="1"/>
  <c r="D116" i="76"/>
  <c r="D373" i="63" s="1"/>
  <c r="D114" i="76"/>
  <c r="C120" i="76"/>
  <c r="C119" i="76"/>
  <c r="C414" i="63" s="1"/>
  <c r="C118" i="76"/>
  <c r="C117" i="76"/>
  <c r="C116" i="76"/>
  <c r="C373" i="63" s="1"/>
  <c r="C115" i="76"/>
  <c r="C386" i="63" s="1"/>
  <c r="C114" i="76"/>
  <c r="D102" i="31"/>
  <c r="D107" i="31" s="1"/>
  <c r="D414" i="63" l="1"/>
  <c r="E414" i="63"/>
  <c r="O114" i="81"/>
  <c r="P110" i="81" s="1"/>
  <c r="P115" i="81"/>
  <c r="N149" i="81"/>
  <c r="N145" i="81" s="1"/>
  <c r="N125" i="81"/>
  <c r="M86" i="79"/>
  <c r="J77" i="80"/>
  <c r="L85" i="79"/>
  <c r="I90" i="80"/>
  <c r="C38" i="76"/>
  <c r="G128" i="75"/>
  <c r="F127" i="75"/>
  <c r="E32" i="31"/>
  <c r="F32" i="31" s="1"/>
  <c r="E80" i="78"/>
  <c r="F81" i="78"/>
  <c r="L82" i="78"/>
  <c r="E83" i="79"/>
  <c r="E39" i="76" s="1"/>
  <c r="F84" i="79"/>
  <c r="R126" i="76"/>
  <c r="C126" i="76" s="1"/>
  <c r="C374" i="63" s="1"/>
  <c r="C375" i="63" s="1"/>
  <c r="O119" i="81" l="1"/>
  <c r="O120" i="81" s="1"/>
  <c r="O149" i="81" s="1"/>
  <c r="P114" i="81"/>
  <c r="O152" i="81"/>
  <c r="O125" i="81"/>
  <c r="P108" i="81"/>
  <c r="P117" i="81"/>
  <c r="P118" i="81" s="1"/>
  <c r="N86" i="79"/>
  <c r="K77" i="80"/>
  <c r="M85" i="79"/>
  <c r="J90" i="80"/>
  <c r="E31" i="31"/>
  <c r="E38" i="76"/>
  <c r="I53" i="76" s="1"/>
  <c r="H128" i="75"/>
  <c r="G127" i="75"/>
  <c r="G32" i="31"/>
  <c r="F31" i="31"/>
  <c r="G81" i="78"/>
  <c r="G84" i="79"/>
  <c r="M82" i="78"/>
  <c r="E126" i="76"/>
  <c r="E374" i="63" s="1"/>
  <c r="E375" i="63" s="1"/>
  <c r="D126" i="76"/>
  <c r="D374" i="63" s="1"/>
  <c r="D375" i="63" s="1"/>
  <c r="O145" i="81" l="1"/>
  <c r="P161" i="81"/>
  <c r="P116" i="81"/>
  <c r="P119" i="81" s="1"/>
  <c r="P120" i="81" s="1"/>
  <c r="P149" i="81" s="1"/>
  <c r="P152" i="81"/>
  <c r="P125" i="81"/>
  <c r="H53" i="76"/>
  <c r="G53" i="76"/>
  <c r="G87" i="79" s="1"/>
  <c r="G83" i="79" s="1"/>
  <c r="G39" i="76" s="1"/>
  <c r="O86" i="79"/>
  <c r="L77" i="80"/>
  <c r="N85" i="79"/>
  <c r="K90" i="80"/>
  <c r="F53" i="76"/>
  <c r="F87" i="79" s="1"/>
  <c r="F83" i="79" s="1"/>
  <c r="F39" i="76" s="1"/>
  <c r="J53" i="76"/>
  <c r="I128" i="75"/>
  <c r="H127" i="75"/>
  <c r="F139" i="80" s="1"/>
  <c r="G31" i="31"/>
  <c r="H32" i="31"/>
  <c r="H81" i="78"/>
  <c r="H84" i="78" s="1"/>
  <c r="N82" i="78"/>
  <c r="H84" i="79"/>
  <c r="H87" i="79" s="1"/>
  <c r="C146" i="79"/>
  <c r="C278" i="63" s="1"/>
  <c r="C140" i="78"/>
  <c r="C274" i="63" s="1"/>
  <c r="P145" i="81" l="1"/>
  <c r="G84" i="78"/>
  <c r="G80" i="78" s="1"/>
  <c r="P86" i="79"/>
  <c r="N77" i="80" s="1"/>
  <c r="M77" i="80"/>
  <c r="O85" i="79"/>
  <c r="L90" i="80"/>
  <c r="F84" i="78"/>
  <c r="F80" i="78" s="1"/>
  <c r="F38" i="76" s="1"/>
  <c r="G38" i="76"/>
  <c r="J128" i="75"/>
  <c r="I127" i="75"/>
  <c r="G139" i="80" s="1"/>
  <c r="I32" i="31"/>
  <c r="H31" i="31"/>
  <c r="I81" i="78"/>
  <c r="I84" i="78" s="1"/>
  <c r="H80" i="78"/>
  <c r="H83" i="79"/>
  <c r="H39" i="76" s="1"/>
  <c r="I84" i="79"/>
  <c r="I87" i="79" s="1"/>
  <c r="O82" i="78"/>
  <c r="D95" i="76"/>
  <c r="M90" i="80" l="1"/>
  <c r="P85" i="79"/>
  <c r="N90" i="80" s="1"/>
  <c r="H38" i="76"/>
  <c r="K128" i="75"/>
  <c r="J127" i="75"/>
  <c r="J32" i="31"/>
  <c r="I31" i="31"/>
  <c r="J81" i="78"/>
  <c r="J84" i="78" s="1"/>
  <c r="K84" i="78" s="1"/>
  <c r="I80" i="78"/>
  <c r="I83" i="79"/>
  <c r="I39" i="76" s="1"/>
  <c r="J84" i="79"/>
  <c r="J87" i="79" s="1"/>
  <c r="K87" i="79" s="1"/>
  <c r="L87" i="79" s="1"/>
  <c r="M87" i="79" s="1"/>
  <c r="N87" i="79" s="1"/>
  <c r="O87" i="79" s="1"/>
  <c r="P87" i="79" s="1"/>
  <c r="P82" i="78"/>
  <c r="C93" i="76"/>
  <c r="C96" i="76" s="1"/>
  <c r="C95" i="76"/>
  <c r="D63" i="76"/>
  <c r="L84" i="78" l="1"/>
  <c r="I38" i="76"/>
  <c r="L128" i="75"/>
  <c r="K127" i="75"/>
  <c r="K32" i="31"/>
  <c r="J31" i="31"/>
  <c r="K81" i="78"/>
  <c r="K86" i="78" s="1"/>
  <c r="J80" i="78"/>
  <c r="J83" i="79"/>
  <c r="J39" i="76" s="1"/>
  <c r="K84" i="79"/>
  <c r="D212" i="75"/>
  <c r="D102" i="79"/>
  <c r="D100" i="78"/>
  <c r="M84" i="78" l="1"/>
  <c r="J38" i="76"/>
  <c r="M128" i="75"/>
  <c r="L127" i="75"/>
  <c r="L32" i="31"/>
  <c r="K31" i="31"/>
  <c r="L81" i="78"/>
  <c r="L86" i="78" s="1"/>
  <c r="K80" i="78"/>
  <c r="K83" i="79"/>
  <c r="K39" i="76" s="1"/>
  <c r="L84" i="79"/>
  <c r="N84" i="78" l="1"/>
  <c r="K38" i="76"/>
  <c r="N128" i="75"/>
  <c r="M127" i="75"/>
  <c r="M32" i="31"/>
  <c r="L31" i="31"/>
  <c r="M81" i="78"/>
  <c r="M86" i="78" s="1"/>
  <c r="L80" i="78"/>
  <c r="L83" i="79"/>
  <c r="L39" i="76" s="1"/>
  <c r="M84" i="79"/>
  <c r="O84" i="78" l="1"/>
  <c r="L38" i="76"/>
  <c r="O128" i="75"/>
  <c r="N127" i="75"/>
  <c r="N32" i="31"/>
  <c r="M31" i="31"/>
  <c r="N81" i="78"/>
  <c r="N86" i="78" s="1"/>
  <c r="M80" i="78"/>
  <c r="M83" i="79"/>
  <c r="M39" i="76" s="1"/>
  <c r="N84" i="79"/>
  <c r="P84" i="78" l="1"/>
  <c r="M38" i="76"/>
  <c r="P128" i="75"/>
  <c r="P127" i="75" s="1"/>
  <c r="O127" i="75"/>
  <c r="O32" i="31"/>
  <c r="N31" i="31"/>
  <c r="O81" i="78"/>
  <c r="O86" i="78" s="1"/>
  <c r="N80" i="78"/>
  <c r="N83" i="79"/>
  <c r="N39" i="76" s="1"/>
  <c r="O84" i="79"/>
  <c r="N38" i="76" l="1"/>
  <c r="P32" i="31"/>
  <c r="P31" i="31" s="1"/>
  <c r="O31" i="31"/>
  <c r="P81" i="78"/>
  <c r="O80" i="78"/>
  <c r="O83" i="79"/>
  <c r="O39" i="76" s="1"/>
  <c r="P84" i="79"/>
  <c r="P83" i="79" s="1"/>
  <c r="P39" i="76" s="1"/>
  <c r="P86" i="78" l="1"/>
  <c r="P80" i="78" s="1"/>
  <c r="P38" i="76" s="1"/>
  <c r="O38" i="76"/>
  <c r="D61" i="76"/>
  <c r="D58" i="76"/>
  <c r="C34" i="76"/>
  <c r="C41" i="76"/>
  <c r="D41" i="76" s="1"/>
  <c r="E41" i="76" s="1"/>
  <c r="F41" i="76" s="1"/>
  <c r="G41" i="76" s="1"/>
  <c r="H41" i="76" s="1"/>
  <c r="I41" i="76" s="1"/>
  <c r="J41" i="76" s="1"/>
  <c r="K41" i="76" s="1"/>
  <c r="L41" i="76" s="1"/>
  <c r="M41" i="76" s="1"/>
  <c r="N41" i="76" s="1"/>
  <c r="O41" i="76" s="1"/>
  <c r="P41" i="76" s="1"/>
  <c r="B41" i="76"/>
  <c r="C44" i="76"/>
  <c r="D44" i="76" s="1"/>
  <c r="C43" i="76"/>
  <c r="D43" i="76" s="1"/>
  <c r="C40" i="76"/>
  <c r="C206" i="63"/>
  <c r="C207" i="63" l="1"/>
  <c r="E58" i="76"/>
  <c r="D203" i="75"/>
  <c r="D9" i="63" s="1"/>
  <c r="D40" i="76"/>
  <c r="C199" i="75"/>
  <c r="C37" i="76"/>
  <c r="D207" i="63"/>
  <c r="D139" i="78" l="1"/>
  <c r="D206" i="63"/>
  <c r="F58" i="76"/>
  <c r="E203" i="75"/>
  <c r="E9" i="63" s="1"/>
  <c r="E207" i="63"/>
  <c r="D145" i="79"/>
  <c r="D277" i="63" s="1"/>
  <c r="E40" i="76"/>
  <c r="D199" i="75"/>
  <c r="D263" i="75" s="1"/>
  <c r="D281" i="63" s="1"/>
  <c r="D37" i="76"/>
  <c r="D273" i="63" l="1"/>
  <c r="D285" i="63"/>
  <c r="E206" i="63"/>
  <c r="G58" i="76"/>
  <c r="F203" i="75"/>
  <c r="F9" i="63" s="1"/>
  <c r="F206" i="63"/>
  <c r="E37" i="76"/>
  <c r="D134" i="76"/>
  <c r="D426" i="63" s="1"/>
  <c r="F40" i="76"/>
  <c r="E199" i="75"/>
  <c r="F207" i="63"/>
  <c r="G206" i="63"/>
  <c r="H58" i="76" l="1"/>
  <c r="G203" i="75"/>
  <c r="G9" i="63" s="1"/>
  <c r="G207" i="63"/>
  <c r="G40" i="76"/>
  <c r="F199" i="75"/>
  <c r="F37" i="76"/>
  <c r="H206" i="63"/>
  <c r="I58" i="76" l="1"/>
  <c r="H203" i="75"/>
  <c r="H40" i="76"/>
  <c r="G199" i="75"/>
  <c r="H207" i="63"/>
  <c r="G37" i="76"/>
  <c r="I206" i="63"/>
  <c r="H9" i="63" l="1"/>
  <c r="H90" i="81"/>
  <c r="J58" i="76"/>
  <c r="I203" i="75"/>
  <c r="I207" i="63"/>
  <c r="I40" i="76"/>
  <c r="H199" i="75"/>
  <c r="H37" i="76"/>
  <c r="J206" i="63"/>
  <c r="I9" i="63" l="1"/>
  <c r="I90" i="81"/>
  <c r="K58" i="76"/>
  <c r="J203" i="75"/>
  <c r="J40" i="76"/>
  <c r="I199" i="75"/>
  <c r="J207" i="63"/>
  <c r="I37" i="76"/>
  <c r="K206" i="63"/>
  <c r="J9" i="63" l="1"/>
  <c r="J90" i="81"/>
  <c r="L58" i="76"/>
  <c r="K203" i="75"/>
  <c r="K207" i="63"/>
  <c r="K40" i="76"/>
  <c r="J199" i="75"/>
  <c r="J37" i="76"/>
  <c r="L206" i="63"/>
  <c r="K9" i="63" l="1"/>
  <c r="K90" i="81"/>
  <c r="M58" i="76"/>
  <c r="L203" i="75"/>
  <c r="L40" i="76"/>
  <c r="K199" i="75"/>
  <c r="L207" i="63"/>
  <c r="K37" i="76"/>
  <c r="M206" i="63"/>
  <c r="L9" i="63" l="1"/>
  <c r="L90" i="81"/>
  <c r="N58" i="76"/>
  <c r="M203" i="75"/>
  <c r="L37" i="76"/>
  <c r="M207" i="63"/>
  <c r="M40" i="76"/>
  <c r="L199" i="75"/>
  <c r="N206" i="63"/>
  <c r="M9" i="63" l="1"/>
  <c r="M90" i="81"/>
  <c r="O58" i="76"/>
  <c r="N203" i="75"/>
  <c r="N40" i="76"/>
  <c r="M199" i="75"/>
  <c r="N207" i="63"/>
  <c r="M37" i="76"/>
  <c r="O206" i="63"/>
  <c r="N9" i="63" l="1"/>
  <c r="N90" i="81"/>
  <c r="P58" i="76"/>
  <c r="P203" i="75" s="1"/>
  <c r="O203" i="75"/>
  <c r="O207" i="63"/>
  <c r="O40" i="76"/>
  <c r="N199" i="75"/>
  <c r="N37" i="76"/>
  <c r="P206" i="63"/>
  <c r="O9" i="63" l="1"/>
  <c r="O90" i="81"/>
  <c r="P9" i="63"/>
  <c r="P90" i="81"/>
  <c r="P40" i="76"/>
  <c r="P199" i="75" s="1"/>
  <c r="O199" i="75"/>
  <c r="O37" i="76"/>
  <c r="P207" i="63" l="1"/>
  <c r="P37" i="76"/>
  <c r="C14" i="76" l="1"/>
  <c r="E51" i="79"/>
  <c r="D51" i="79"/>
  <c r="C99" i="76" l="1"/>
  <c r="D34" i="76" l="1"/>
  <c r="C17" i="76" l="1"/>
  <c r="C16" i="76" l="1"/>
  <c r="D16" i="76" l="1"/>
  <c r="D216" i="63" l="1"/>
  <c r="E16" i="76"/>
  <c r="E216" i="63" s="1"/>
  <c r="C94" i="76"/>
  <c r="C57" i="76" l="1"/>
  <c r="D57" i="76" l="1"/>
  <c r="C132" i="76"/>
  <c r="E57" i="76" l="1"/>
  <c r="F57" i="76" s="1"/>
  <c r="G57" i="76" s="1"/>
  <c r="H57" i="76" s="1"/>
  <c r="I57" i="76" s="1"/>
  <c r="J57" i="76" s="1"/>
  <c r="K57" i="76" s="1"/>
  <c r="L57" i="76" s="1"/>
  <c r="M57" i="76" s="1"/>
  <c r="N57" i="76" s="1"/>
  <c r="O57" i="76" s="1"/>
  <c r="P57" i="76" s="1"/>
  <c r="D132" i="76"/>
  <c r="D407" i="63" s="1"/>
  <c r="D17" i="76" l="1"/>
  <c r="D14" i="76"/>
  <c r="E14" i="76" l="1"/>
  <c r="D289" i="75" l="1"/>
  <c r="C289" i="75"/>
  <c r="D288" i="75"/>
  <c r="C288" i="75"/>
  <c r="C392" i="63" s="1"/>
  <c r="C282" i="75"/>
  <c r="D282" i="75" s="1"/>
  <c r="D278" i="75"/>
  <c r="C278" i="75"/>
  <c r="D277" i="75"/>
  <c r="C277" i="75"/>
  <c r="D275" i="75"/>
  <c r="D274" i="75"/>
  <c r="D273" i="75"/>
  <c r="D272" i="75"/>
  <c r="D385" i="63" s="1"/>
  <c r="D267" i="75"/>
  <c r="C274" i="75"/>
  <c r="C275" i="75"/>
  <c r="C273" i="75"/>
  <c r="C272" i="75"/>
  <c r="C368" i="63"/>
  <c r="C268" i="75"/>
  <c r="C385" i="63" s="1"/>
  <c r="C267" i="75"/>
  <c r="E278" i="75"/>
  <c r="F278" i="75" s="1"/>
  <c r="G278" i="75" s="1"/>
  <c r="H278" i="75" s="1"/>
  <c r="I278" i="75" s="1"/>
  <c r="J278" i="75" s="1"/>
  <c r="K278" i="75" s="1"/>
  <c r="L278" i="75" s="1"/>
  <c r="M278" i="75" s="1"/>
  <c r="N278" i="75" s="1"/>
  <c r="O278" i="75" s="1"/>
  <c r="P278" i="75" s="1"/>
  <c r="C247" i="75"/>
  <c r="C246" i="75"/>
  <c r="C249" i="75" s="1"/>
  <c r="C516" i="63" l="1"/>
  <c r="C413" i="63"/>
  <c r="D413" i="63"/>
  <c r="D392" i="63"/>
  <c r="D266" i="75"/>
  <c r="C266" i="75"/>
  <c r="D516" i="63"/>
  <c r="D214" i="75"/>
  <c r="C214" i="75"/>
  <c r="D202" i="75"/>
  <c r="E202" i="75" s="1"/>
  <c r="F202" i="75" s="1"/>
  <c r="C202" i="75"/>
  <c r="D197" i="75"/>
  <c r="E197" i="75" s="1"/>
  <c r="F197" i="75" s="1"/>
  <c r="G197" i="75" s="1"/>
  <c r="H197" i="75" s="1"/>
  <c r="I197" i="75" s="1"/>
  <c r="J197" i="75" s="1"/>
  <c r="K197" i="75" s="1"/>
  <c r="L197" i="75" s="1"/>
  <c r="M197" i="75" s="1"/>
  <c r="N197" i="75" s="1"/>
  <c r="O197" i="75" s="1"/>
  <c r="P197" i="75" s="1"/>
  <c r="D196" i="75"/>
  <c r="E196" i="75" s="1"/>
  <c r="F196" i="75" s="1"/>
  <c r="G196" i="75" s="1"/>
  <c r="H196" i="75" s="1"/>
  <c r="I196" i="75" s="1"/>
  <c r="J196" i="75" s="1"/>
  <c r="K196" i="75" s="1"/>
  <c r="L196" i="75" s="1"/>
  <c r="M196" i="75" s="1"/>
  <c r="N196" i="75" s="1"/>
  <c r="O196" i="75" s="1"/>
  <c r="P196" i="75" s="1"/>
  <c r="D195" i="75"/>
  <c r="E195" i="75" s="1"/>
  <c r="F195" i="75" s="1"/>
  <c r="G195" i="75" s="1"/>
  <c r="H195" i="75" s="1"/>
  <c r="I195" i="75" s="1"/>
  <c r="J195" i="75" s="1"/>
  <c r="K195" i="75" s="1"/>
  <c r="L195" i="75" s="1"/>
  <c r="M195" i="75" s="1"/>
  <c r="N195" i="75" s="1"/>
  <c r="O195" i="75" s="1"/>
  <c r="P195" i="75" s="1"/>
  <c r="D194" i="75"/>
  <c r="E194" i="75" s="1"/>
  <c r="F194" i="75" s="1"/>
  <c r="G194" i="75" s="1"/>
  <c r="H194" i="75" s="1"/>
  <c r="I194" i="75" s="1"/>
  <c r="J194" i="75" s="1"/>
  <c r="K194" i="75" s="1"/>
  <c r="L194" i="75" s="1"/>
  <c r="M194" i="75" s="1"/>
  <c r="N194" i="75" s="1"/>
  <c r="O194" i="75" s="1"/>
  <c r="P194" i="75" s="1"/>
  <c r="D193" i="75"/>
  <c r="E193" i="75" s="1"/>
  <c r="F193" i="75" s="1"/>
  <c r="G193" i="75" s="1"/>
  <c r="H193" i="75" s="1"/>
  <c r="I193" i="75" s="1"/>
  <c r="J193" i="75" s="1"/>
  <c r="K193" i="75" s="1"/>
  <c r="L193" i="75" s="1"/>
  <c r="M193" i="75" s="1"/>
  <c r="N193" i="75" s="1"/>
  <c r="O193" i="75" s="1"/>
  <c r="P193" i="75" s="1"/>
  <c r="D192" i="75"/>
  <c r="E192" i="75" s="1"/>
  <c r="F192" i="75" s="1"/>
  <c r="G192" i="75" s="1"/>
  <c r="H192" i="75" s="1"/>
  <c r="I192" i="75" s="1"/>
  <c r="J192" i="75" s="1"/>
  <c r="K192" i="75" s="1"/>
  <c r="L192" i="75" s="1"/>
  <c r="M192" i="75" s="1"/>
  <c r="N192" i="75" s="1"/>
  <c r="O192" i="75" s="1"/>
  <c r="P192" i="75" s="1"/>
  <c r="D191" i="75"/>
  <c r="E191" i="75" s="1"/>
  <c r="F191" i="75" s="1"/>
  <c r="G191" i="75" s="1"/>
  <c r="H191" i="75" s="1"/>
  <c r="I191" i="75" s="1"/>
  <c r="J191" i="75" s="1"/>
  <c r="K191" i="75" s="1"/>
  <c r="L191" i="75" s="1"/>
  <c r="M191" i="75" s="1"/>
  <c r="N191" i="75" s="1"/>
  <c r="O191" i="75" s="1"/>
  <c r="P191" i="75" s="1"/>
  <c r="D190" i="75"/>
  <c r="E190" i="75" s="1"/>
  <c r="F190" i="75" s="1"/>
  <c r="G190" i="75" s="1"/>
  <c r="H190" i="75" s="1"/>
  <c r="I190" i="75" s="1"/>
  <c r="J190" i="75" s="1"/>
  <c r="K190" i="75" s="1"/>
  <c r="L190" i="75" s="1"/>
  <c r="M190" i="75" s="1"/>
  <c r="N190" i="75" s="1"/>
  <c r="O190" i="75" s="1"/>
  <c r="P190" i="75" s="1"/>
  <c r="D189" i="75"/>
  <c r="E189" i="75" s="1"/>
  <c r="F189" i="75" s="1"/>
  <c r="G189" i="75" s="1"/>
  <c r="H189" i="75" s="1"/>
  <c r="I189" i="75" s="1"/>
  <c r="J189" i="75" s="1"/>
  <c r="K189" i="75" s="1"/>
  <c r="L189" i="75" s="1"/>
  <c r="M189" i="75" s="1"/>
  <c r="N189" i="75" s="1"/>
  <c r="O189" i="75" s="1"/>
  <c r="P189" i="75" s="1"/>
  <c r="D188" i="75"/>
  <c r="E188" i="75" s="1"/>
  <c r="F188" i="75" s="1"/>
  <c r="G188" i="75" s="1"/>
  <c r="H188" i="75" s="1"/>
  <c r="I188" i="75" s="1"/>
  <c r="J188" i="75" s="1"/>
  <c r="K188" i="75" s="1"/>
  <c r="L188" i="75" s="1"/>
  <c r="M188" i="75" s="1"/>
  <c r="N188" i="75" s="1"/>
  <c r="O188" i="75" s="1"/>
  <c r="P188" i="75" s="1"/>
  <c r="D187" i="75"/>
  <c r="E187" i="75" s="1"/>
  <c r="F187" i="75" s="1"/>
  <c r="G187" i="75" s="1"/>
  <c r="H187" i="75" s="1"/>
  <c r="I187" i="75" s="1"/>
  <c r="J187" i="75" s="1"/>
  <c r="K187" i="75" s="1"/>
  <c r="L187" i="75" s="1"/>
  <c r="M187" i="75" s="1"/>
  <c r="N187" i="75" s="1"/>
  <c r="O187" i="75" s="1"/>
  <c r="P187" i="75" s="1"/>
  <c r="C197" i="75"/>
  <c r="C196" i="75"/>
  <c r="C195" i="75"/>
  <c r="C194" i="75"/>
  <c r="C193" i="75"/>
  <c r="C192" i="75"/>
  <c r="C191" i="75"/>
  <c r="C190" i="75"/>
  <c r="C189" i="75"/>
  <c r="C188" i="75"/>
  <c r="C187" i="75"/>
  <c r="D186" i="75"/>
  <c r="E186" i="75" s="1"/>
  <c r="F186" i="75" s="1"/>
  <c r="G186" i="75" s="1"/>
  <c r="H186" i="75" s="1"/>
  <c r="I186" i="75" s="1"/>
  <c r="J186" i="75" s="1"/>
  <c r="K186" i="75" s="1"/>
  <c r="L186" i="75" s="1"/>
  <c r="M186" i="75" s="1"/>
  <c r="N186" i="75" s="1"/>
  <c r="O186" i="75" s="1"/>
  <c r="P186" i="75" s="1"/>
  <c r="C186" i="75"/>
  <c r="D184" i="75"/>
  <c r="E184" i="75" s="1"/>
  <c r="F184" i="75" s="1"/>
  <c r="G184" i="75" s="1"/>
  <c r="H184" i="75" s="1"/>
  <c r="I184" i="75" s="1"/>
  <c r="J184" i="75" s="1"/>
  <c r="K184" i="75" s="1"/>
  <c r="L184" i="75" s="1"/>
  <c r="M184" i="75" s="1"/>
  <c r="N184" i="75" s="1"/>
  <c r="O184" i="75" s="1"/>
  <c r="P184" i="75" s="1"/>
  <c r="C184" i="75"/>
  <c r="D185" i="75"/>
  <c r="E185" i="75" s="1"/>
  <c r="F185" i="75" s="1"/>
  <c r="G185" i="75" s="1"/>
  <c r="H185" i="75" s="1"/>
  <c r="I185" i="75" s="1"/>
  <c r="J185" i="75" s="1"/>
  <c r="K185" i="75" s="1"/>
  <c r="L185" i="75" s="1"/>
  <c r="M185" i="75" s="1"/>
  <c r="N185" i="75" s="1"/>
  <c r="O185" i="75" s="1"/>
  <c r="P185" i="75" s="1"/>
  <c r="C185" i="75"/>
  <c r="D173" i="75"/>
  <c r="C173" i="75"/>
  <c r="D146" i="75"/>
  <c r="E146" i="75" s="1"/>
  <c r="F146" i="75" s="1"/>
  <c r="G146" i="75" s="1"/>
  <c r="H146" i="75" s="1"/>
  <c r="I146" i="75" s="1"/>
  <c r="J146" i="75" s="1"/>
  <c r="K146" i="75" s="1"/>
  <c r="L146" i="75" s="1"/>
  <c r="M146" i="75" s="1"/>
  <c r="N146" i="75" s="1"/>
  <c r="O146" i="75" s="1"/>
  <c r="P146" i="75" s="1"/>
  <c r="D145" i="75"/>
  <c r="E145" i="75" s="1"/>
  <c r="F145" i="75" s="1"/>
  <c r="G145" i="75" s="1"/>
  <c r="H145" i="75" s="1"/>
  <c r="I145" i="75" s="1"/>
  <c r="J145" i="75" s="1"/>
  <c r="K145" i="75" s="1"/>
  <c r="L145" i="75" s="1"/>
  <c r="M145" i="75" s="1"/>
  <c r="N145" i="75" s="1"/>
  <c r="O145" i="75" s="1"/>
  <c r="P145" i="75" s="1"/>
  <c r="D144" i="75"/>
  <c r="E144" i="75" s="1"/>
  <c r="F144" i="75" s="1"/>
  <c r="G144" i="75" s="1"/>
  <c r="H144" i="75" s="1"/>
  <c r="I144" i="75" s="1"/>
  <c r="J144" i="75" s="1"/>
  <c r="K144" i="75" s="1"/>
  <c r="L144" i="75" s="1"/>
  <c r="M144" i="75" s="1"/>
  <c r="N144" i="75" s="1"/>
  <c r="O144" i="75" s="1"/>
  <c r="P144" i="75" s="1"/>
  <c r="D143" i="75"/>
  <c r="E143" i="75" s="1"/>
  <c r="F143" i="75" s="1"/>
  <c r="G143" i="75" s="1"/>
  <c r="H143" i="75" s="1"/>
  <c r="I143" i="75" s="1"/>
  <c r="J143" i="75" s="1"/>
  <c r="K143" i="75" s="1"/>
  <c r="L143" i="75" s="1"/>
  <c r="M143" i="75" s="1"/>
  <c r="N143" i="75" s="1"/>
  <c r="O143" i="75" s="1"/>
  <c r="P143" i="75" s="1"/>
  <c r="D142" i="75"/>
  <c r="E142" i="75" s="1"/>
  <c r="F142" i="75" s="1"/>
  <c r="G142" i="75" s="1"/>
  <c r="H142" i="75" s="1"/>
  <c r="I142" i="75" s="1"/>
  <c r="J142" i="75" s="1"/>
  <c r="K142" i="75" s="1"/>
  <c r="L142" i="75" s="1"/>
  <c r="M142" i="75" s="1"/>
  <c r="N142" i="75" s="1"/>
  <c r="O142" i="75" s="1"/>
  <c r="P142" i="75" s="1"/>
  <c r="D141" i="75"/>
  <c r="E141" i="75" s="1"/>
  <c r="F141" i="75" s="1"/>
  <c r="G141" i="75" s="1"/>
  <c r="H141" i="75" s="1"/>
  <c r="I141" i="75" s="1"/>
  <c r="J141" i="75" s="1"/>
  <c r="K141" i="75" s="1"/>
  <c r="L141" i="75" s="1"/>
  <c r="M141" i="75" s="1"/>
  <c r="N141" i="75" s="1"/>
  <c r="O141" i="75" s="1"/>
  <c r="P141" i="75" s="1"/>
  <c r="D140" i="75"/>
  <c r="E140" i="75" s="1"/>
  <c r="F140" i="75" s="1"/>
  <c r="G140" i="75" s="1"/>
  <c r="H140" i="75" s="1"/>
  <c r="I140" i="75" s="1"/>
  <c r="J140" i="75" s="1"/>
  <c r="K140" i="75" s="1"/>
  <c r="L140" i="75" s="1"/>
  <c r="M140" i="75" s="1"/>
  <c r="N140" i="75" s="1"/>
  <c r="O140" i="75" s="1"/>
  <c r="P140" i="75" s="1"/>
  <c r="D139" i="75"/>
  <c r="E139" i="75" s="1"/>
  <c r="F139" i="75" s="1"/>
  <c r="G139" i="75" s="1"/>
  <c r="H139" i="75" s="1"/>
  <c r="I139" i="75" s="1"/>
  <c r="J139" i="75" s="1"/>
  <c r="K139" i="75" s="1"/>
  <c r="L139" i="75" s="1"/>
  <c r="M139" i="75" s="1"/>
  <c r="N139" i="75" s="1"/>
  <c r="O139" i="75" s="1"/>
  <c r="P139" i="75" s="1"/>
  <c r="D138" i="75"/>
  <c r="E138" i="75" s="1"/>
  <c r="F138" i="75" s="1"/>
  <c r="G138" i="75" s="1"/>
  <c r="H138" i="75" s="1"/>
  <c r="I138" i="75" s="1"/>
  <c r="J138" i="75" s="1"/>
  <c r="K138" i="75" s="1"/>
  <c r="L138" i="75" s="1"/>
  <c r="M138" i="75" s="1"/>
  <c r="N138" i="75" s="1"/>
  <c r="O138" i="75" s="1"/>
  <c r="P138" i="75" s="1"/>
  <c r="D137" i="75"/>
  <c r="D136" i="75"/>
  <c r="D135" i="75"/>
  <c r="D133" i="75"/>
  <c r="D134" i="75"/>
  <c r="D132" i="75"/>
  <c r="D131" i="75"/>
  <c r="C146" i="75"/>
  <c r="C145" i="75"/>
  <c r="C144" i="75"/>
  <c r="C143" i="75"/>
  <c r="C142" i="75"/>
  <c r="C141" i="75"/>
  <c r="C140" i="75"/>
  <c r="C139" i="75"/>
  <c r="C138" i="75"/>
  <c r="C137" i="75"/>
  <c r="C136" i="75"/>
  <c r="C135" i="75"/>
  <c r="C133" i="75"/>
  <c r="C134" i="75"/>
  <c r="C132" i="75"/>
  <c r="C131" i="75"/>
  <c r="E94" i="75"/>
  <c r="E95" i="75"/>
  <c r="E96" i="75"/>
  <c r="E97" i="75"/>
  <c r="E93" i="75"/>
  <c r="E91" i="75"/>
  <c r="E85" i="75"/>
  <c r="E86" i="75"/>
  <c r="E87" i="75"/>
  <c r="E88" i="75"/>
  <c r="E89" i="75"/>
  <c r="E84" i="75"/>
  <c r="E81" i="75"/>
  <c r="E79" i="75"/>
  <c r="E77" i="75"/>
  <c r="E73" i="75"/>
  <c r="E68" i="75"/>
  <c r="D94" i="75"/>
  <c r="D95" i="75"/>
  <c r="D96" i="75"/>
  <c r="D97" i="75"/>
  <c r="D93" i="75"/>
  <c r="D91" i="75"/>
  <c r="D90" i="75" s="1"/>
  <c r="D85" i="75"/>
  <c r="D86" i="75"/>
  <c r="D87" i="75"/>
  <c r="D88" i="75"/>
  <c r="D89" i="75"/>
  <c r="D84" i="75"/>
  <c r="D73" i="75"/>
  <c r="C37" i="75"/>
  <c r="C94" i="75"/>
  <c r="C95" i="75"/>
  <c r="C96" i="75"/>
  <c r="C97" i="75"/>
  <c r="C93" i="75"/>
  <c r="C85" i="75"/>
  <c r="C86" i="75"/>
  <c r="C87" i="75"/>
  <c r="C88" i="75"/>
  <c r="C89" i="75"/>
  <c r="C90" i="75"/>
  <c r="C84" i="75"/>
  <c r="C81" i="75"/>
  <c r="C80" i="75" s="1"/>
  <c r="F81" i="75"/>
  <c r="F83" i="75" s="1"/>
  <c r="D43" i="75"/>
  <c r="C44" i="75"/>
  <c r="C43" i="75" s="1"/>
  <c r="E44" i="75"/>
  <c r="E43" i="75" s="1"/>
  <c r="G45" i="75"/>
  <c r="H45" i="75" s="1"/>
  <c r="I45" i="75" s="1"/>
  <c r="J45" i="75" s="1"/>
  <c r="K45" i="75" s="1"/>
  <c r="L45" i="75" s="1"/>
  <c r="M45" i="75" s="1"/>
  <c r="N45" i="75" s="1"/>
  <c r="O45" i="75" s="1"/>
  <c r="P45" i="75" s="1"/>
  <c r="C46" i="75"/>
  <c r="E46" i="75"/>
  <c r="F46" i="75" s="1"/>
  <c r="G46" i="75" s="1"/>
  <c r="H46" i="75" s="1"/>
  <c r="I46" i="75" s="1"/>
  <c r="J46" i="75" s="1"/>
  <c r="K46" i="75" s="1"/>
  <c r="L46" i="75" s="1"/>
  <c r="M46" i="75" s="1"/>
  <c r="N46" i="75" s="1"/>
  <c r="O46" i="75" s="1"/>
  <c r="P46" i="75" s="1"/>
  <c r="C47" i="75"/>
  <c r="E47" i="75"/>
  <c r="F47" i="75" s="1"/>
  <c r="G47" i="75" s="1"/>
  <c r="H47" i="75" s="1"/>
  <c r="I47" i="75" s="1"/>
  <c r="J47" i="75" s="1"/>
  <c r="K47" i="75" s="1"/>
  <c r="L47" i="75" s="1"/>
  <c r="M47" i="75" s="1"/>
  <c r="N47" i="75" s="1"/>
  <c r="O47" i="75" s="1"/>
  <c r="P47" i="75" s="1"/>
  <c r="C48" i="75"/>
  <c r="E48" i="75"/>
  <c r="F48" i="75" s="1"/>
  <c r="G48" i="75" s="1"/>
  <c r="H48" i="75" s="1"/>
  <c r="I48" i="75" s="1"/>
  <c r="J48" i="75" s="1"/>
  <c r="K48" i="75" s="1"/>
  <c r="L48" i="75" s="1"/>
  <c r="M48" i="75" s="1"/>
  <c r="N48" i="75" s="1"/>
  <c r="O48" i="75" s="1"/>
  <c r="P48" i="75" s="1"/>
  <c r="C49" i="75"/>
  <c r="E49" i="75"/>
  <c r="F49" i="75" s="1"/>
  <c r="G49" i="75" s="1"/>
  <c r="H49" i="75" s="1"/>
  <c r="I49" i="75" s="1"/>
  <c r="J49" i="75" s="1"/>
  <c r="K49" i="75" s="1"/>
  <c r="L49" i="75" s="1"/>
  <c r="M49" i="75" s="1"/>
  <c r="N49" i="75" s="1"/>
  <c r="O49" i="75" s="1"/>
  <c r="P49" i="75" s="1"/>
  <c r="C50" i="75"/>
  <c r="E50" i="75"/>
  <c r="F50" i="75" s="1"/>
  <c r="G50" i="75" s="1"/>
  <c r="H50" i="75" s="1"/>
  <c r="I50" i="75" s="1"/>
  <c r="J50" i="75" s="1"/>
  <c r="K50" i="75" s="1"/>
  <c r="L50" i="75" s="1"/>
  <c r="M50" i="75" s="1"/>
  <c r="N50" i="75" s="1"/>
  <c r="O50" i="75" s="1"/>
  <c r="P50" i="75" s="1"/>
  <c r="C51" i="75"/>
  <c r="E51" i="75"/>
  <c r="F51" i="75" s="1"/>
  <c r="G51" i="75" s="1"/>
  <c r="H51" i="75" s="1"/>
  <c r="I51" i="75" s="1"/>
  <c r="J51" i="75" s="1"/>
  <c r="K51" i="75" s="1"/>
  <c r="L51" i="75" s="1"/>
  <c r="M51" i="75" s="1"/>
  <c r="N51" i="75" s="1"/>
  <c r="O51" i="75" s="1"/>
  <c r="P51" i="75" s="1"/>
  <c r="D52" i="75"/>
  <c r="C53" i="75"/>
  <c r="C52" i="75" s="1"/>
  <c r="E53" i="75"/>
  <c r="E52" i="75" s="1"/>
  <c r="G54" i="75"/>
  <c r="H54" i="75" s="1"/>
  <c r="I54" i="75" s="1"/>
  <c r="J54" i="75" s="1"/>
  <c r="K54" i="75" s="1"/>
  <c r="L54" i="75" s="1"/>
  <c r="M54" i="75" s="1"/>
  <c r="N54" i="75" s="1"/>
  <c r="O54" i="75" s="1"/>
  <c r="P54" i="75" s="1"/>
  <c r="C55" i="75"/>
  <c r="E55" i="75"/>
  <c r="F55" i="75" s="1"/>
  <c r="G55" i="75" s="1"/>
  <c r="H55" i="75" s="1"/>
  <c r="I55" i="75" s="1"/>
  <c r="J55" i="75" s="1"/>
  <c r="K55" i="75" s="1"/>
  <c r="L55" i="75" s="1"/>
  <c r="M55" i="75" s="1"/>
  <c r="N55" i="75" s="1"/>
  <c r="O55" i="75" s="1"/>
  <c r="P55" i="75" s="1"/>
  <c r="C56" i="75"/>
  <c r="E56" i="75"/>
  <c r="F56" i="75" s="1"/>
  <c r="G56" i="75" s="1"/>
  <c r="H56" i="75" s="1"/>
  <c r="I56" i="75" s="1"/>
  <c r="J56" i="75" s="1"/>
  <c r="K56" i="75" s="1"/>
  <c r="L56" i="75" s="1"/>
  <c r="M56" i="75" s="1"/>
  <c r="N56" i="75" s="1"/>
  <c r="O56" i="75" s="1"/>
  <c r="P56" i="75" s="1"/>
  <c r="C57" i="75"/>
  <c r="E57" i="75"/>
  <c r="F57" i="75" s="1"/>
  <c r="G57" i="75" s="1"/>
  <c r="H57" i="75" s="1"/>
  <c r="I57" i="75" s="1"/>
  <c r="J57" i="75" s="1"/>
  <c r="K57" i="75" s="1"/>
  <c r="L57" i="75" s="1"/>
  <c r="M57" i="75" s="1"/>
  <c r="N57" i="75" s="1"/>
  <c r="O57" i="75" s="1"/>
  <c r="P57" i="75" s="1"/>
  <c r="C58" i="75"/>
  <c r="E58" i="75"/>
  <c r="F58" i="75" s="1"/>
  <c r="G58" i="75" s="1"/>
  <c r="H58" i="75" s="1"/>
  <c r="I58" i="75" s="1"/>
  <c r="J58" i="75" s="1"/>
  <c r="K58" i="75" s="1"/>
  <c r="L58" i="75" s="1"/>
  <c r="M58" i="75" s="1"/>
  <c r="N58" i="75" s="1"/>
  <c r="O58" i="75" s="1"/>
  <c r="P58" i="75" s="1"/>
  <c r="C59" i="75"/>
  <c r="E59" i="75"/>
  <c r="F59" i="75" s="1"/>
  <c r="G59" i="75" s="1"/>
  <c r="H59" i="75" s="1"/>
  <c r="I59" i="75" s="1"/>
  <c r="J59" i="75" s="1"/>
  <c r="K59" i="75" s="1"/>
  <c r="L59" i="75" s="1"/>
  <c r="M59" i="75" s="1"/>
  <c r="N59" i="75" s="1"/>
  <c r="O59" i="75" s="1"/>
  <c r="P59" i="75" s="1"/>
  <c r="C26" i="75"/>
  <c r="D25" i="75"/>
  <c r="E25" i="75" s="1"/>
  <c r="F25" i="75" s="1"/>
  <c r="G25" i="75" s="1"/>
  <c r="H25" i="75" s="1"/>
  <c r="I25" i="75" s="1"/>
  <c r="J25" i="75" s="1"/>
  <c r="K25" i="75" s="1"/>
  <c r="L25" i="75" s="1"/>
  <c r="M25" i="75" s="1"/>
  <c r="N25" i="75" s="1"/>
  <c r="O25" i="75" s="1"/>
  <c r="P25" i="75" s="1"/>
  <c r="D24" i="75"/>
  <c r="E24" i="75" s="1"/>
  <c r="F24" i="75" s="1"/>
  <c r="G24" i="75" s="1"/>
  <c r="H24" i="75" s="1"/>
  <c r="I24" i="75" s="1"/>
  <c r="J24" i="75" s="1"/>
  <c r="K24" i="75" s="1"/>
  <c r="L24" i="75" s="1"/>
  <c r="M24" i="75" s="1"/>
  <c r="N24" i="75" s="1"/>
  <c r="O24" i="75" s="1"/>
  <c r="P24" i="75" s="1"/>
  <c r="D23" i="75"/>
  <c r="E23" i="75" s="1"/>
  <c r="F23" i="75" s="1"/>
  <c r="G23" i="75" s="1"/>
  <c r="H23" i="75" s="1"/>
  <c r="I23" i="75" s="1"/>
  <c r="J23" i="75" s="1"/>
  <c r="K23" i="75" s="1"/>
  <c r="L23" i="75" s="1"/>
  <c r="M23" i="75" s="1"/>
  <c r="N23" i="75" s="1"/>
  <c r="O23" i="75" s="1"/>
  <c r="P23" i="75" s="1"/>
  <c r="D22" i="75"/>
  <c r="E22" i="75" s="1"/>
  <c r="F22" i="75" s="1"/>
  <c r="G22" i="75" s="1"/>
  <c r="H22" i="75" s="1"/>
  <c r="I22" i="75" s="1"/>
  <c r="J22" i="75" s="1"/>
  <c r="K22" i="75" s="1"/>
  <c r="L22" i="75" s="1"/>
  <c r="M22" i="75" s="1"/>
  <c r="N22" i="75" s="1"/>
  <c r="O22" i="75" s="1"/>
  <c r="P22" i="75" s="1"/>
  <c r="D21" i="75"/>
  <c r="E21" i="75" s="1"/>
  <c r="F21" i="75" s="1"/>
  <c r="G21" i="75" s="1"/>
  <c r="H21" i="75" s="1"/>
  <c r="I21" i="75" s="1"/>
  <c r="J21" i="75" s="1"/>
  <c r="K21" i="75" s="1"/>
  <c r="L21" i="75" s="1"/>
  <c r="M21" i="75" s="1"/>
  <c r="N21" i="75" s="1"/>
  <c r="O21" i="75" s="1"/>
  <c r="P21" i="75" s="1"/>
  <c r="D20" i="75"/>
  <c r="E20" i="75" s="1"/>
  <c r="F20" i="75" s="1"/>
  <c r="G20" i="75" s="1"/>
  <c r="H20" i="75" s="1"/>
  <c r="I20" i="75" s="1"/>
  <c r="J20" i="75" s="1"/>
  <c r="K20" i="75" s="1"/>
  <c r="L20" i="75" s="1"/>
  <c r="M20" i="75" s="1"/>
  <c r="N20" i="75" s="1"/>
  <c r="O20" i="75" s="1"/>
  <c r="P20" i="75" s="1"/>
  <c r="D19" i="75"/>
  <c r="E19" i="75" s="1"/>
  <c r="F19" i="75" s="1"/>
  <c r="G19" i="75" s="1"/>
  <c r="H19" i="75" s="1"/>
  <c r="I19" i="75" s="1"/>
  <c r="J19" i="75" s="1"/>
  <c r="K19" i="75" s="1"/>
  <c r="L19" i="75" s="1"/>
  <c r="M19" i="75" s="1"/>
  <c r="N19" i="75" s="1"/>
  <c r="O19" i="75" s="1"/>
  <c r="P19" i="75" s="1"/>
  <c r="D17" i="75"/>
  <c r="E17" i="75" s="1"/>
  <c r="F17" i="75" s="1"/>
  <c r="G17" i="75" s="1"/>
  <c r="H17" i="75" s="1"/>
  <c r="I17" i="75" s="1"/>
  <c r="J17" i="75" s="1"/>
  <c r="K17" i="75" s="1"/>
  <c r="L17" i="75" s="1"/>
  <c r="M17" i="75" s="1"/>
  <c r="N17" i="75" s="1"/>
  <c r="O17" i="75" s="1"/>
  <c r="P17" i="75" s="1"/>
  <c r="D16" i="75"/>
  <c r="D18" i="75" s="1"/>
  <c r="E15" i="75"/>
  <c r="F15" i="75" s="1"/>
  <c r="G15" i="75" s="1"/>
  <c r="H15" i="75" s="1"/>
  <c r="I15" i="75" s="1"/>
  <c r="J15" i="75" s="1"/>
  <c r="K15" i="75" s="1"/>
  <c r="L15" i="75" s="1"/>
  <c r="M15" i="75" s="1"/>
  <c r="N15" i="75" s="1"/>
  <c r="O15" i="75" s="1"/>
  <c r="P15" i="75" s="1"/>
  <c r="C15" i="75"/>
  <c r="D14" i="75"/>
  <c r="E14" i="75" s="1"/>
  <c r="F14" i="75" s="1"/>
  <c r="G14" i="75" s="1"/>
  <c r="H14" i="75" s="1"/>
  <c r="I14" i="75" s="1"/>
  <c r="J14" i="75" s="1"/>
  <c r="K14" i="75" s="1"/>
  <c r="L14" i="75" s="1"/>
  <c r="M14" i="75" s="1"/>
  <c r="N14" i="75" s="1"/>
  <c r="O14" i="75" s="1"/>
  <c r="P14" i="75" s="1"/>
  <c r="E13" i="75"/>
  <c r="F13" i="75" s="1"/>
  <c r="G13" i="75" s="1"/>
  <c r="H13" i="75" s="1"/>
  <c r="I13" i="75" s="1"/>
  <c r="J13" i="75" s="1"/>
  <c r="K13" i="75" s="1"/>
  <c r="L13" i="75" s="1"/>
  <c r="M13" i="75" s="1"/>
  <c r="N13" i="75" s="1"/>
  <c r="O13" i="75" s="1"/>
  <c r="P13" i="75" s="1"/>
  <c r="C13" i="75"/>
  <c r="H41" i="75"/>
  <c r="I41" i="75"/>
  <c r="J41" i="75"/>
  <c r="K41" i="75"/>
  <c r="L41" i="75"/>
  <c r="M41" i="75"/>
  <c r="N41" i="75"/>
  <c r="O41" i="75"/>
  <c r="P41" i="75"/>
  <c r="G41" i="75"/>
  <c r="E100" i="75"/>
  <c r="F100" i="75" s="1"/>
  <c r="D100" i="75"/>
  <c r="C100" i="75"/>
  <c r="D79" i="75"/>
  <c r="C79" i="75"/>
  <c r="D77" i="75"/>
  <c r="C77" i="75"/>
  <c r="D68" i="75"/>
  <c r="C73" i="75"/>
  <c r="C68" i="75"/>
  <c r="F38" i="75"/>
  <c r="G38" i="75"/>
  <c r="H38" i="75"/>
  <c r="I38" i="75"/>
  <c r="J38" i="75"/>
  <c r="K38" i="75"/>
  <c r="L38" i="75"/>
  <c r="M38" i="75"/>
  <c r="N38" i="75"/>
  <c r="O38" i="75"/>
  <c r="P38" i="75"/>
  <c r="F34" i="75"/>
  <c r="G34" i="75"/>
  <c r="H34" i="75"/>
  <c r="I34" i="75"/>
  <c r="J34" i="75"/>
  <c r="K34" i="75"/>
  <c r="L34" i="75"/>
  <c r="M34" i="75"/>
  <c r="N34" i="75"/>
  <c r="O34" i="75"/>
  <c r="P34" i="75"/>
  <c r="E42" i="78"/>
  <c r="F42" i="78"/>
  <c r="G42" i="78"/>
  <c r="H42" i="78"/>
  <c r="I42" i="78"/>
  <c r="J42" i="78"/>
  <c r="K42" i="78"/>
  <c r="L42" i="78"/>
  <c r="M42" i="78"/>
  <c r="N42" i="78"/>
  <c r="O42" i="78"/>
  <c r="P42" i="78"/>
  <c r="D42" i="78"/>
  <c r="C206" i="79"/>
  <c r="C205" i="79"/>
  <c r="C202" i="79"/>
  <c r="C201" i="79"/>
  <c r="C192" i="79"/>
  <c r="D170" i="79"/>
  <c r="C170" i="79"/>
  <c r="D158" i="79"/>
  <c r="C158" i="79"/>
  <c r="C164" i="79"/>
  <c r="C161" i="79"/>
  <c r="D155" i="79"/>
  <c r="C156" i="79"/>
  <c r="C155" i="79"/>
  <c r="C154" i="79"/>
  <c r="C153" i="79"/>
  <c r="C152" i="79"/>
  <c r="C363" i="63" s="1"/>
  <c r="C151" i="79"/>
  <c r="C384" i="63" s="1"/>
  <c r="C150" i="79"/>
  <c r="C132" i="79"/>
  <c r="C127" i="79"/>
  <c r="C515" i="63" l="1"/>
  <c r="C412" i="63"/>
  <c r="D515" i="63"/>
  <c r="D412" i="63"/>
  <c r="C391" i="63"/>
  <c r="D391" i="63"/>
  <c r="G202" i="75"/>
  <c r="D158" i="80"/>
  <c r="D156" i="80" s="1"/>
  <c r="D159" i="80" s="1"/>
  <c r="D81" i="75"/>
  <c r="D80" i="75" s="1"/>
  <c r="E80" i="75"/>
  <c r="D215" i="75"/>
  <c r="E132" i="75"/>
  <c r="E133" i="75"/>
  <c r="E136" i="75"/>
  <c r="E131" i="75"/>
  <c r="E134" i="75"/>
  <c r="E135" i="75"/>
  <c r="E137" i="75"/>
  <c r="F53" i="75"/>
  <c r="F52" i="75" s="1"/>
  <c r="G81" i="75"/>
  <c r="F97" i="75"/>
  <c r="G97" i="75" s="1"/>
  <c r="H97" i="75" s="1"/>
  <c r="I97" i="75" s="1"/>
  <c r="J97" i="75" s="1"/>
  <c r="K97" i="75" s="1"/>
  <c r="L97" i="75" s="1"/>
  <c r="M97" i="75" s="1"/>
  <c r="N97" i="75" s="1"/>
  <c r="O97" i="75" s="1"/>
  <c r="P97" i="75" s="1"/>
  <c r="F96" i="75"/>
  <c r="G96" i="75" s="1"/>
  <c r="H96" i="75" s="1"/>
  <c r="I96" i="75" s="1"/>
  <c r="J96" i="75" s="1"/>
  <c r="K96" i="75" s="1"/>
  <c r="L96" i="75" s="1"/>
  <c r="M96" i="75" s="1"/>
  <c r="N96" i="75" s="1"/>
  <c r="O96" i="75" s="1"/>
  <c r="P96" i="75" s="1"/>
  <c r="F95" i="75"/>
  <c r="G95" i="75" s="1"/>
  <c r="H95" i="75" s="1"/>
  <c r="I95" i="75" s="1"/>
  <c r="J95" i="75" s="1"/>
  <c r="K95" i="75" s="1"/>
  <c r="L95" i="75" s="1"/>
  <c r="M95" i="75" s="1"/>
  <c r="N95" i="75" s="1"/>
  <c r="O95" i="75" s="1"/>
  <c r="P95" i="75" s="1"/>
  <c r="F94" i="75"/>
  <c r="G94" i="75" s="1"/>
  <c r="H94" i="75" s="1"/>
  <c r="I94" i="75" s="1"/>
  <c r="J94" i="75" s="1"/>
  <c r="K94" i="75" s="1"/>
  <c r="L94" i="75" s="1"/>
  <c r="M94" i="75" s="1"/>
  <c r="N94" i="75" s="1"/>
  <c r="O94" i="75" s="1"/>
  <c r="P94" i="75" s="1"/>
  <c r="F93" i="75"/>
  <c r="G93" i="75" s="1"/>
  <c r="H93" i="75" s="1"/>
  <c r="I93" i="75" s="1"/>
  <c r="J93" i="75" s="1"/>
  <c r="K93" i="75" s="1"/>
  <c r="L93" i="75" s="1"/>
  <c r="M93" i="75" s="1"/>
  <c r="N93" i="75" s="1"/>
  <c r="O93" i="75" s="1"/>
  <c r="P93" i="75" s="1"/>
  <c r="F89" i="75"/>
  <c r="G89" i="75" s="1"/>
  <c r="H89" i="75" s="1"/>
  <c r="I89" i="75" s="1"/>
  <c r="J89" i="75" s="1"/>
  <c r="K89" i="75" s="1"/>
  <c r="L89" i="75" s="1"/>
  <c r="M89" i="75" s="1"/>
  <c r="N89" i="75" s="1"/>
  <c r="O89" i="75" s="1"/>
  <c r="P89" i="75" s="1"/>
  <c r="F88" i="75"/>
  <c r="G88" i="75" s="1"/>
  <c r="H88" i="75" s="1"/>
  <c r="I88" i="75" s="1"/>
  <c r="J88" i="75" s="1"/>
  <c r="K88" i="75" s="1"/>
  <c r="L88" i="75" s="1"/>
  <c r="M88" i="75" s="1"/>
  <c r="N88" i="75" s="1"/>
  <c r="O88" i="75" s="1"/>
  <c r="P88" i="75" s="1"/>
  <c r="F87" i="75"/>
  <c r="G87" i="75" s="1"/>
  <c r="H87" i="75" s="1"/>
  <c r="I87" i="75" s="1"/>
  <c r="J87" i="75" s="1"/>
  <c r="K87" i="75" s="1"/>
  <c r="L87" i="75" s="1"/>
  <c r="M87" i="75" s="1"/>
  <c r="N87" i="75" s="1"/>
  <c r="O87" i="75" s="1"/>
  <c r="P87" i="75" s="1"/>
  <c r="F86" i="75"/>
  <c r="G86" i="75" s="1"/>
  <c r="H86" i="75" s="1"/>
  <c r="I86" i="75" s="1"/>
  <c r="J86" i="75" s="1"/>
  <c r="K86" i="75" s="1"/>
  <c r="L86" i="75" s="1"/>
  <c r="M86" i="75" s="1"/>
  <c r="N86" i="75" s="1"/>
  <c r="O86" i="75" s="1"/>
  <c r="P86" i="75" s="1"/>
  <c r="F85" i="75"/>
  <c r="G85" i="75" s="1"/>
  <c r="H85" i="75" s="1"/>
  <c r="I85" i="75" s="1"/>
  <c r="J85" i="75" s="1"/>
  <c r="K85" i="75" s="1"/>
  <c r="L85" i="75" s="1"/>
  <c r="M85" i="75" s="1"/>
  <c r="N85" i="75" s="1"/>
  <c r="O85" i="75" s="1"/>
  <c r="P85" i="75" s="1"/>
  <c r="F84" i="75"/>
  <c r="G84" i="75" s="1"/>
  <c r="H84" i="75" s="1"/>
  <c r="I84" i="75" s="1"/>
  <c r="J84" i="75" s="1"/>
  <c r="K84" i="75" s="1"/>
  <c r="L84" i="75" s="1"/>
  <c r="M84" i="75" s="1"/>
  <c r="N84" i="75" s="1"/>
  <c r="O84" i="75" s="1"/>
  <c r="P84" i="75" s="1"/>
  <c r="F44" i="75"/>
  <c r="C19" i="75"/>
  <c r="C14" i="75"/>
  <c r="C17" i="75"/>
  <c r="C20" i="75"/>
  <c r="C21" i="75"/>
  <c r="C23" i="75"/>
  <c r="C25" i="75"/>
  <c r="E18" i="75"/>
  <c r="F18" i="75" s="1"/>
  <c r="G18" i="75" s="1"/>
  <c r="H18" i="75" s="1"/>
  <c r="I18" i="75" s="1"/>
  <c r="J18" i="75" s="1"/>
  <c r="K18" i="75" s="1"/>
  <c r="L18" i="75" s="1"/>
  <c r="M18" i="75" s="1"/>
  <c r="N18" i="75" s="1"/>
  <c r="O18" i="75" s="1"/>
  <c r="P18" i="75" s="1"/>
  <c r="C18" i="75"/>
  <c r="C16" i="75"/>
  <c r="E16" i="75"/>
  <c r="F16" i="75" s="1"/>
  <c r="G16" i="75" s="1"/>
  <c r="H16" i="75" s="1"/>
  <c r="I16" i="75" s="1"/>
  <c r="J16" i="75" s="1"/>
  <c r="K16" i="75" s="1"/>
  <c r="L16" i="75" s="1"/>
  <c r="M16" i="75" s="1"/>
  <c r="N16" i="75" s="1"/>
  <c r="O16" i="75" s="1"/>
  <c r="P16" i="75" s="1"/>
  <c r="C22" i="75"/>
  <c r="C24" i="75"/>
  <c r="H202" i="75" l="1"/>
  <c r="H89" i="81" s="1"/>
  <c r="E158" i="80"/>
  <c r="E156" i="80" s="1"/>
  <c r="G53" i="75"/>
  <c r="H53" i="75" s="1"/>
  <c r="F137" i="75"/>
  <c r="F135" i="75"/>
  <c r="F134" i="75"/>
  <c r="F136" i="75"/>
  <c r="H81" i="75"/>
  <c r="F91" i="75"/>
  <c r="E90" i="75"/>
  <c r="G52" i="75"/>
  <c r="F43" i="75"/>
  <c r="G83" i="75" s="1"/>
  <c r="G44" i="75"/>
  <c r="H130" i="81" l="1"/>
  <c r="H183" i="81"/>
  <c r="H156" i="81"/>
  <c r="I202" i="75"/>
  <c r="I89" i="81" s="1"/>
  <c r="F158" i="80"/>
  <c r="F156" i="80" s="1"/>
  <c r="G136" i="75"/>
  <c r="G134" i="75"/>
  <c r="G135" i="75"/>
  <c r="G137" i="75"/>
  <c r="I81" i="75"/>
  <c r="F90" i="75"/>
  <c r="G91" i="75"/>
  <c r="G43" i="75"/>
  <c r="H83" i="75" s="1"/>
  <c r="H44" i="75"/>
  <c r="H52" i="75"/>
  <c r="I53" i="75"/>
  <c r="I130" i="81" l="1"/>
  <c r="I156" i="81"/>
  <c r="I183" i="81"/>
  <c r="J202" i="75"/>
  <c r="J89" i="81" s="1"/>
  <c r="G158" i="80"/>
  <c r="G156" i="80" s="1"/>
  <c r="G144" i="80"/>
  <c r="H137" i="75"/>
  <c r="H135" i="75"/>
  <c r="H134" i="75"/>
  <c r="H136" i="75"/>
  <c r="J81" i="75"/>
  <c r="H91" i="75"/>
  <c r="G92" i="75"/>
  <c r="G90" i="75" s="1"/>
  <c r="I52" i="75"/>
  <c r="J53" i="75"/>
  <c r="H43" i="75"/>
  <c r="I83" i="75" s="1"/>
  <c r="I44" i="75"/>
  <c r="J130" i="81" l="1"/>
  <c r="J156" i="81"/>
  <c r="J183" i="81"/>
  <c r="K202" i="75"/>
  <c r="K89" i="81" s="1"/>
  <c r="H165" i="80"/>
  <c r="H163" i="80" s="1"/>
  <c r="H166" i="80" s="1"/>
  <c r="H158" i="80"/>
  <c r="H156" i="80" s="1"/>
  <c r="H144" i="80"/>
  <c r="I136" i="75"/>
  <c r="I134" i="75"/>
  <c r="I135" i="75"/>
  <c r="I137" i="75"/>
  <c r="K81" i="75"/>
  <c r="H92" i="75"/>
  <c r="H90" i="75" s="1"/>
  <c r="I91" i="75"/>
  <c r="I43" i="75"/>
  <c r="J83" i="75" s="1"/>
  <c r="J44" i="75"/>
  <c r="J52" i="75"/>
  <c r="K53" i="75"/>
  <c r="K130" i="81" l="1"/>
  <c r="K156" i="81"/>
  <c r="K183" i="81"/>
  <c r="L202" i="75"/>
  <c r="L89" i="81" s="1"/>
  <c r="I165" i="80"/>
  <c r="I163" i="80" s="1"/>
  <c r="I158" i="80"/>
  <c r="I156" i="80" s="1"/>
  <c r="I144" i="80"/>
  <c r="J137" i="75"/>
  <c r="J135" i="75"/>
  <c r="J134" i="75"/>
  <c r="J136" i="75"/>
  <c r="J91" i="75"/>
  <c r="I92" i="75"/>
  <c r="I90" i="75" s="1"/>
  <c r="L81" i="75"/>
  <c r="K52" i="75"/>
  <c r="L53" i="75"/>
  <c r="J43" i="75"/>
  <c r="K83" i="75" s="1"/>
  <c r="K44" i="75"/>
  <c r="L130" i="81" l="1"/>
  <c r="L156" i="81"/>
  <c r="L183" i="81"/>
  <c r="M202" i="75"/>
  <c r="M89" i="81" s="1"/>
  <c r="J165" i="80"/>
  <c r="J163" i="80" s="1"/>
  <c r="J158" i="80"/>
  <c r="J156" i="80" s="1"/>
  <c r="J144" i="80"/>
  <c r="K136" i="75"/>
  <c r="K134" i="75"/>
  <c r="K135" i="75"/>
  <c r="K137" i="75"/>
  <c r="J92" i="75"/>
  <c r="J90" i="75" s="1"/>
  <c r="K91" i="75"/>
  <c r="M81" i="75"/>
  <c r="L52" i="75"/>
  <c r="M53" i="75"/>
  <c r="K43" i="75"/>
  <c r="L83" i="75" s="1"/>
  <c r="L44" i="75"/>
  <c r="M130" i="81" l="1"/>
  <c r="M183" i="81"/>
  <c r="M156" i="81"/>
  <c r="N202" i="75"/>
  <c r="N89" i="81" s="1"/>
  <c r="K165" i="80"/>
  <c r="K163" i="80" s="1"/>
  <c r="K158" i="80"/>
  <c r="K156" i="80" s="1"/>
  <c r="K144" i="80"/>
  <c r="L137" i="75"/>
  <c r="L135" i="75"/>
  <c r="L134" i="75"/>
  <c r="L136" i="75"/>
  <c r="L91" i="75"/>
  <c r="K92" i="75"/>
  <c r="K90" i="75" s="1"/>
  <c r="N81" i="75"/>
  <c r="M52" i="75"/>
  <c r="N53" i="75"/>
  <c r="L43" i="75"/>
  <c r="M83" i="75" s="1"/>
  <c r="M44" i="75"/>
  <c r="N130" i="81" l="1"/>
  <c r="N156" i="81"/>
  <c r="N183" i="81"/>
  <c r="O202" i="75"/>
  <c r="O89" i="81" s="1"/>
  <c r="L165" i="80"/>
  <c r="L163" i="80" s="1"/>
  <c r="L158" i="80"/>
  <c r="L156" i="80" s="1"/>
  <c r="L144" i="80"/>
  <c r="M136" i="75"/>
  <c r="M134" i="75"/>
  <c r="M135" i="75"/>
  <c r="M137" i="75"/>
  <c r="O81" i="75"/>
  <c r="L92" i="75"/>
  <c r="L90" i="75" s="1"/>
  <c r="M91" i="75"/>
  <c r="M43" i="75"/>
  <c r="N83" i="75" s="1"/>
  <c r="N44" i="75"/>
  <c r="N52" i="75"/>
  <c r="O53" i="75"/>
  <c r="O130" i="81" l="1"/>
  <c r="O156" i="81"/>
  <c r="O183" i="81"/>
  <c r="P202" i="75"/>
  <c r="P89" i="81" s="1"/>
  <c r="M165" i="80"/>
  <c r="M163" i="80" s="1"/>
  <c r="M158" i="80"/>
  <c r="M156" i="80" s="1"/>
  <c r="M144" i="80"/>
  <c r="N137" i="75"/>
  <c r="N135" i="75"/>
  <c r="N134" i="75"/>
  <c r="N136" i="75"/>
  <c r="P81" i="75"/>
  <c r="N91" i="75"/>
  <c r="M92" i="75"/>
  <c r="M90" i="75" s="1"/>
  <c r="O52" i="75"/>
  <c r="P53" i="75"/>
  <c r="P52" i="75" s="1"/>
  <c r="N43" i="75"/>
  <c r="O83" i="75" s="1"/>
  <c r="O44" i="75"/>
  <c r="P130" i="81" l="1"/>
  <c r="P183" i="81"/>
  <c r="P156" i="81"/>
  <c r="N158" i="80"/>
  <c r="N156" i="80" s="1"/>
  <c r="N165" i="80"/>
  <c r="N163" i="80" s="1"/>
  <c r="N144" i="80"/>
  <c r="O136" i="75"/>
  <c r="O134" i="75"/>
  <c r="O135" i="75"/>
  <c r="O137" i="75"/>
  <c r="N92" i="75"/>
  <c r="N90" i="75" s="1"/>
  <c r="O91" i="75"/>
  <c r="O43" i="75"/>
  <c r="P83" i="75" s="1"/>
  <c r="P44" i="75"/>
  <c r="P43" i="75" s="1"/>
  <c r="P137" i="75" l="1"/>
  <c r="P135" i="75"/>
  <c r="P134" i="75"/>
  <c r="P136" i="75"/>
  <c r="P91" i="75"/>
  <c r="O92" i="75"/>
  <c r="O90" i="75" s="1"/>
  <c r="P92" i="75" l="1"/>
  <c r="P90" i="75" s="1"/>
  <c r="C126" i="79" l="1"/>
  <c r="C129" i="79" s="1"/>
  <c r="D90" i="79"/>
  <c r="C92" i="79"/>
  <c r="C90" i="79"/>
  <c r="C77" i="79" l="1"/>
  <c r="E63" i="79"/>
  <c r="E333" i="63" s="1"/>
  <c r="D63" i="79"/>
  <c r="D333" i="63" s="1"/>
  <c r="C65" i="79"/>
  <c r="C334" i="63" s="1"/>
  <c r="C63" i="79"/>
  <c r="C333" i="63" s="1"/>
  <c r="C57" i="79"/>
  <c r="D54" i="79"/>
  <c r="C54" i="79"/>
  <c r="C51" i="79"/>
  <c r="C45" i="79"/>
  <c r="C35" i="79" l="1"/>
  <c r="D18" i="79"/>
  <c r="D17" i="79" s="1"/>
  <c r="D16" i="79"/>
  <c r="D65" i="79" l="1"/>
  <c r="D334" i="63" s="1"/>
  <c r="F65" i="79"/>
  <c r="F334" i="63" s="1"/>
  <c r="G65" i="79"/>
  <c r="G334" i="63" s="1"/>
  <c r="H65" i="79"/>
  <c r="F111" i="80" s="1"/>
  <c r="H334" i="63" l="1"/>
  <c r="E65" i="79"/>
  <c r="E334" i="63" s="1"/>
  <c r="C24" i="79" l="1"/>
  <c r="C16" i="79"/>
  <c r="C18" i="79" l="1"/>
  <c r="C17" i="79" s="1"/>
  <c r="C104" i="79" l="1"/>
  <c r="D104" i="79" l="1"/>
  <c r="E104" i="79" l="1"/>
  <c r="D152" i="79" l="1"/>
  <c r="D363" i="63" s="1"/>
  <c r="C6" i="79" l="1"/>
  <c r="B236" i="79" l="1"/>
  <c r="B235" i="79"/>
  <c r="C203" i="79"/>
  <c r="C200" i="79" s="1"/>
  <c r="P166" i="79"/>
  <c r="O166" i="79"/>
  <c r="N166" i="79"/>
  <c r="M166" i="79"/>
  <c r="L166" i="79"/>
  <c r="K166" i="79"/>
  <c r="J166" i="79"/>
  <c r="I166" i="79"/>
  <c r="H166" i="79"/>
  <c r="G166" i="79"/>
  <c r="F166" i="79"/>
  <c r="E166" i="79"/>
  <c r="D166" i="79"/>
  <c r="C166" i="79"/>
  <c r="D164" i="79"/>
  <c r="E164" i="79" s="1"/>
  <c r="F164" i="79" s="1"/>
  <c r="G164" i="79" s="1"/>
  <c r="H164" i="79" s="1"/>
  <c r="I164" i="79" s="1"/>
  <c r="J164" i="79" s="1"/>
  <c r="K164" i="79" s="1"/>
  <c r="L164" i="79" s="1"/>
  <c r="M164" i="79" s="1"/>
  <c r="N164" i="79" s="1"/>
  <c r="O164" i="79" s="1"/>
  <c r="P164" i="79" s="1"/>
  <c r="R163" i="79"/>
  <c r="D163" i="79" s="1"/>
  <c r="D364" i="63" s="1"/>
  <c r="D365" i="63" s="1"/>
  <c r="D161" i="79"/>
  <c r="E161" i="79" s="1"/>
  <c r="F161" i="79" s="1"/>
  <c r="G161" i="79" s="1"/>
  <c r="H161" i="79" s="1"/>
  <c r="I161" i="79" s="1"/>
  <c r="J161" i="79" s="1"/>
  <c r="K161" i="79" s="1"/>
  <c r="L161" i="79" s="1"/>
  <c r="M161" i="79" s="1"/>
  <c r="N161" i="79" s="1"/>
  <c r="O161" i="79" s="1"/>
  <c r="P161" i="79" s="1"/>
  <c r="B155" i="79"/>
  <c r="B160" i="79" s="1"/>
  <c r="C162" i="79"/>
  <c r="C522" i="63" s="1"/>
  <c r="C137" i="79"/>
  <c r="D125" i="79"/>
  <c r="E125" i="79" s="1"/>
  <c r="F125" i="79" s="1"/>
  <c r="G125" i="79" s="1"/>
  <c r="H125" i="79" s="1"/>
  <c r="I125" i="79" s="1"/>
  <c r="J125" i="79" s="1"/>
  <c r="K125" i="79" s="1"/>
  <c r="L125" i="79" s="1"/>
  <c r="M125" i="79" s="1"/>
  <c r="N125" i="79" s="1"/>
  <c r="O125" i="79" s="1"/>
  <c r="P125" i="79" s="1"/>
  <c r="H174" i="79"/>
  <c r="F174" i="79"/>
  <c r="D174" i="79"/>
  <c r="D106" i="79"/>
  <c r="F105" i="79"/>
  <c r="G105" i="79" s="1"/>
  <c r="H105" i="79" s="1"/>
  <c r="I105" i="79" s="1"/>
  <c r="J105" i="79" s="1"/>
  <c r="K105" i="79" s="1"/>
  <c r="L105" i="79" s="1"/>
  <c r="M105" i="79" s="1"/>
  <c r="N105" i="79" s="1"/>
  <c r="O105" i="79" s="1"/>
  <c r="P105" i="79" s="1"/>
  <c r="D100" i="79"/>
  <c r="C100" i="79"/>
  <c r="D96" i="79"/>
  <c r="C96" i="79"/>
  <c r="C196" i="79"/>
  <c r="E91" i="79"/>
  <c r="F91" i="79" s="1"/>
  <c r="G91" i="79" s="1"/>
  <c r="H91" i="79" s="1"/>
  <c r="H90" i="79"/>
  <c r="I90" i="79" s="1"/>
  <c r="J90" i="79" s="1"/>
  <c r="D77" i="79"/>
  <c r="E77" i="79" s="1"/>
  <c r="F77" i="79" s="1"/>
  <c r="G77" i="79" s="1"/>
  <c r="H77" i="79" s="1"/>
  <c r="I77" i="79" s="1"/>
  <c r="J77" i="79" s="1"/>
  <c r="K77" i="79" s="1"/>
  <c r="L77" i="79" s="1"/>
  <c r="M77" i="79" s="1"/>
  <c r="N77" i="79" s="1"/>
  <c r="O77" i="79" s="1"/>
  <c r="P77" i="79" s="1"/>
  <c r="C64" i="79"/>
  <c r="E54" i="79"/>
  <c r="C50" i="79"/>
  <c r="D35" i="79"/>
  <c r="D24" i="79"/>
  <c r="E24" i="79" s="1"/>
  <c r="F24" i="79" s="1"/>
  <c r="G24" i="79" s="1"/>
  <c r="H24" i="79" s="1"/>
  <c r="I24" i="79" s="1"/>
  <c r="J24" i="79" s="1"/>
  <c r="K24" i="79" s="1"/>
  <c r="L24" i="79" s="1"/>
  <c r="M24" i="79" s="1"/>
  <c r="N24" i="79" s="1"/>
  <c r="O24" i="79" s="1"/>
  <c r="P24" i="79" s="1"/>
  <c r="E18" i="79"/>
  <c r="E17" i="79" s="1"/>
  <c r="D238" i="63"/>
  <c r="E16" i="79"/>
  <c r="D15" i="79"/>
  <c r="C15" i="79"/>
  <c r="P14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R9" i="79"/>
  <c r="C9" i="79" s="1"/>
  <c r="C13" i="79" s="1"/>
  <c r="C12" i="79" s="1"/>
  <c r="D6" i="79"/>
  <c r="E6" i="79" s="1"/>
  <c r="C5" i="79"/>
  <c r="C184" i="63" s="1"/>
  <c r="P4" i="79"/>
  <c r="O4" i="79"/>
  <c r="N4" i="79"/>
  <c r="M4" i="79"/>
  <c r="L4" i="79"/>
  <c r="K4" i="79"/>
  <c r="J4" i="79"/>
  <c r="I4" i="79"/>
  <c r="H4" i="79"/>
  <c r="G4" i="79"/>
  <c r="F4" i="79"/>
  <c r="E4" i="79"/>
  <c r="D4" i="79"/>
  <c r="C4" i="79"/>
  <c r="B4" i="79"/>
  <c r="A4" i="79"/>
  <c r="D202" i="79" l="1"/>
  <c r="D201" i="79"/>
  <c r="D206" i="79"/>
  <c r="D128" i="79"/>
  <c r="H128" i="79"/>
  <c r="F128" i="79"/>
  <c r="C163" i="79"/>
  <c r="C364" i="63" s="1"/>
  <c r="C365" i="63" s="1"/>
  <c r="C142" i="79"/>
  <c r="C186" i="63"/>
  <c r="C237" i="63"/>
  <c r="D237" i="63"/>
  <c r="D186" i="63"/>
  <c r="C169" i="79"/>
  <c r="C238" i="63"/>
  <c r="F51" i="79"/>
  <c r="E90" i="79"/>
  <c r="F90" i="79" s="1"/>
  <c r="G90" i="79" s="1"/>
  <c r="D5" i="79"/>
  <c r="D64" i="79"/>
  <c r="D61" i="79" s="1"/>
  <c r="D66" i="79"/>
  <c r="D101" i="79"/>
  <c r="F104" i="79"/>
  <c r="G104" i="79" s="1"/>
  <c r="H104" i="79" s="1"/>
  <c r="I104" i="79" s="1"/>
  <c r="G131" i="80" s="1"/>
  <c r="E64" i="79"/>
  <c r="D169" i="79"/>
  <c r="C49" i="79"/>
  <c r="C141" i="63" s="1"/>
  <c r="C66" i="79"/>
  <c r="C62" i="79" s="1"/>
  <c r="F66" i="79"/>
  <c r="D105" i="79"/>
  <c r="C149" i="79"/>
  <c r="C183" i="79" s="1"/>
  <c r="C165" i="79"/>
  <c r="C8" i="79"/>
  <c r="C11" i="79" s="1"/>
  <c r="E35" i="79"/>
  <c r="F35" i="79" s="1"/>
  <c r="G35" i="79" s="1"/>
  <c r="H35" i="79" s="1"/>
  <c r="I35" i="79" s="1"/>
  <c r="J35" i="79" s="1"/>
  <c r="K35" i="79" s="1"/>
  <c r="L35" i="79" s="1"/>
  <c r="M35" i="79" s="1"/>
  <c r="N35" i="79" s="1"/>
  <c r="O35" i="79" s="1"/>
  <c r="P35" i="79" s="1"/>
  <c r="F16" i="79"/>
  <c r="E9" i="79"/>
  <c r="E13" i="79" s="1"/>
  <c r="E15" i="79"/>
  <c r="F18" i="79"/>
  <c r="F17" i="79" s="1"/>
  <c r="D101" i="80" s="1"/>
  <c r="E238" i="63"/>
  <c r="D196" i="79"/>
  <c r="D93" i="79"/>
  <c r="D205" i="79" s="1"/>
  <c r="D97" i="79"/>
  <c r="D107" i="79"/>
  <c r="E106" i="79"/>
  <c r="E5" i="79"/>
  <c r="E184" i="63" s="1"/>
  <c r="F6" i="79"/>
  <c r="D9" i="79"/>
  <c r="C26" i="79"/>
  <c r="C27" i="79"/>
  <c r="C187" i="63" s="1"/>
  <c r="F54" i="79"/>
  <c r="C61" i="79"/>
  <c r="E66" i="79"/>
  <c r="D142" i="79"/>
  <c r="K91" i="79"/>
  <c r="L91" i="79" s="1"/>
  <c r="M91" i="79" s="1"/>
  <c r="N91" i="79" s="1"/>
  <c r="O91" i="79" s="1"/>
  <c r="P91" i="79" s="1"/>
  <c r="I91" i="79"/>
  <c r="C174" i="79"/>
  <c r="C175" i="79" s="1"/>
  <c r="C178" i="79" s="1"/>
  <c r="C179" i="79" s="1"/>
  <c r="C128" i="79"/>
  <c r="D127" i="79" s="1"/>
  <c r="E174" i="79"/>
  <c r="E128" i="79"/>
  <c r="G174" i="79"/>
  <c r="G128" i="79"/>
  <c r="I174" i="79"/>
  <c r="I128" i="79"/>
  <c r="D26" i="79"/>
  <c r="D27" i="79"/>
  <c r="D187" i="63" s="1"/>
  <c r="D91" i="79"/>
  <c r="J91" i="79"/>
  <c r="E105" i="79"/>
  <c r="D146" i="79"/>
  <c r="D278" i="63" s="1"/>
  <c r="D405" i="63" l="1"/>
  <c r="D187" i="79"/>
  <c r="C405" i="63"/>
  <c r="C187" i="79"/>
  <c r="E103" i="79"/>
  <c r="E159" i="79"/>
  <c r="J104" i="79"/>
  <c r="H131" i="80" s="1"/>
  <c r="G113" i="80"/>
  <c r="E202" i="79"/>
  <c r="E206" i="79"/>
  <c r="E201" i="79"/>
  <c r="G51" i="79"/>
  <c r="H51" i="79" s="1"/>
  <c r="E237" i="63"/>
  <c r="E186" i="63"/>
  <c r="C143" i="79"/>
  <c r="B11" i="77" s="1"/>
  <c r="C185" i="63"/>
  <c r="C190" i="63" s="1"/>
  <c r="C157" i="79"/>
  <c r="C419" i="63"/>
  <c r="D184" i="63"/>
  <c r="E146" i="79"/>
  <c r="E278" i="63" s="1"/>
  <c r="C80" i="79"/>
  <c r="C195" i="79"/>
  <c r="C56" i="79"/>
  <c r="C55" i="79"/>
  <c r="E12" i="79"/>
  <c r="C60" i="79"/>
  <c r="C79" i="79"/>
  <c r="C78" i="79" s="1"/>
  <c r="D13" i="79"/>
  <c r="D8" i="79"/>
  <c r="D185" i="63" s="1"/>
  <c r="D190" i="63" s="1"/>
  <c r="E93" i="79"/>
  <c r="E205" i="79" s="1"/>
  <c r="E26" i="79"/>
  <c r="E61" i="79"/>
  <c r="E27" i="79"/>
  <c r="E187" i="63" s="1"/>
  <c r="F15" i="79"/>
  <c r="G16" i="79"/>
  <c r="F9" i="79"/>
  <c r="F13" i="79" s="1"/>
  <c r="E170" i="79"/>
  <c r="E152" i="79"/>
  <c r="E363" i="63" s="1"/>
  <c r="D175" i="79"/>
  <c r="D178" i="79" s="1"/>
  <c r="D179" i="79" s="1"/>
  <c r="E107" i="79"/>
  <c r="K90" i="79"/>
  <c r="L90" i="79" s="1"/>
  <c r="M90" i="79" s="1"/>
  <c r="N90" i="79" s="1"/>
  <c r="O90" i="79" s="1"/>
  <c r="P90" i="79" s="1"/>
  <c r="D129" i="79"/>
  <c r="C130" i="79"/>
  <c r="E127" i="79"/>
  <c r="D126" i="79"/>
  <c r="D79" i="79"/>
  <c r="G66" i="79"/>
  <c r="G54" i="79"/>
  <c r="G6" i="79"/>
  <c r="F5" i="79"/>
  <c r="F184" i="63" s="1"/>
  <c r="E158" i="79"/>
  <c r="E155" i="79"/>
  <c r="E412" i="63" s="1"/>
  <c r="F106" i="79"/>
  <c r="F238" i="63"/>
  <c r="G18" i="79"/>
  <c r="G17" i="79" s="1"/>
  <c r="E101" i="80" s="1"/>
  <c r="E8" i="79"/>
  <c r="E185" i="63" s="1"/>
  <c r="E190" i="63" s="1"/>
  <c r="C131" i="79"/>
  <c r="C81" i="79"/>
  <c r="C197" i="79" s="1"/>
  <c r="C188" i="79" s="1"/>
  <c r="E391" i="63" l="1"/>
  <c r="F159" i="79"/>
  <c r="G106" i="79"/>
  <c r="F103" i="79"/>
  <c r="K104" i="79"/>
  <c r="I131" i="80" s="1"/>
  <c r="H113" i="80"/>
  <c r="H88" i="80"/>
  <c r="F201" i="79"/>
  <c r="G201" i="79" s="1"/>
  <c r="F202" i="79"/>
  <c r="G202" i="79" s="1"/>
  <c r="F206" i="79"/>
  <c r="G206" i="79" s="1"/>
  <c r="C239" i="63"/>
  <c r="F70" i="79"/>
  <c r="G63" i="79" s="1"/>
  <c r="F67" i="79"/>
  <c r="F146" i="79"/>
  <c r="F237" i="63"/>
  <c r="F186" i="63"/>
  <c r="C9" i="76"/>
  <c r="C142" i="63"/>
  <c r="F155" i="79"/>
  <c r="F412" i="63" s="1"/>
  <c r="E515" i="63"/>
  <c r="C168" i="79"/>
  <c r="C336" i="63" s="1"/>
  <c r="C335" i="63"/>
  <c r="C58" i="79"/>
  <c r="C144" i="79"/>
  <c r="C257" i="63" s="1"/>
  <c r="E143" i="79"/>
  <c r="E11" i="79"/>
  <c r="F26" i="79"/>
  <c r="F158" i="79"/>
  <c r="H6" i="79"/>
  <c r="G5" i="79"/>
  <c r="G184" i="63" s="1"/>
  <c r="H54" i="79"/>
  <c r="D165" i="79"/>
  <c r="D419" i="63" s="1"/>
  <c r="D130" i="79"/>
  <c r="E129" i="79"/>
  <c r="F152" i="79"/>
  <c r="F363" i="63" s="1"/>
  <c r="E163" i="79"/>
  <c r="E364" i="63" s="1"/>
  <c r="E365" i="63" s="1"/>
  <c r="F8" i="79"/>
  <c r="F185" i="63" s="1"/>
  <c r="F190" i="63" s="1"/>
  <c r="F27" i="79"/>
  <c r="F93" i="79"/>
  <c r="G93" i="79" s="1"/>
  <c r="H93" i="79" s="1"/>
  <c r="I93" i="79" s="1"/>
  <c r="J93" i="79" s="1"/>
  <c r="K93" i="79" s="1"/>
  <c r="L93" i="79" s="1"/>
  <c r="M93" i="79" s="1"/>
  <c r="N93" i="79" s="1"/>
  <c r="O93" i="79" s="1"/>
  <c r="P93" i="79" s="1"/>
  <c r="E92" i="79"/>
  <c r="D12" i="79"/>
  <c r="D131" i="79"/>
  <c r="D132" i="79" s="1"/>
  <c r="F107" i="79"/>
  <c r="G107" i="79" s="1"/>
  <c r="H18" i="79"/>
  <c r="H17" i="79" s="1"/>
  <c r="F125" i="80" s="1"/>
  <c r="G125" i="80" s="1"/>
  <c r="G238" i="63"/>
  <c r="F12" i="79"/>
  <c r="H66" i="79"/>
  <c r="F127" i="79"/>
  <c r="E126" i="79"/>
  <c r="F170" i="79"/>
  <c r="F391" i="63" s="1"/>
  <c r="H16" i="79"/>
  <c r="G9" i="79"/>
  <c r="G15" i="79"/>
  <c r="E79" i="79"/>
  <c r="I51" i="79"/>
  <c r="D203" i="79"/>
  <c r="D200" i="79" s="1"/>
  <c r="D207" i="79" s="1"/>
  <c r="D208" i="79" s="1"/>
  <c r="D143" i="79"/>
  <c r="D11" i="79"/>
  <c r="C167" i="79"/>
  <c r="C148" i="79" s="1"/>
  <c r="C437" i="63" s="1"/>
  <c r="C398" i="63" s="1"/>
  <c r="C194" i="79"/>
  <c r="C193" i="79"/>
  <c r="G159" i="79" l="1"/>
  <c r="G146" i="79"/>
  <c r="G278" i="63" s="1"/>
  <c r="F278" i="63"/>
  <c r="L104" i="79"/>
  <c r="J131" i="80" s="1"/>
  <c r="I113" i="80"/>
  <c r="I88" i="80"/>
  <c r="H106" i="79"/>
  <c r="H206" i="79" s="1"/>
  <c r="G103" i="79"/>
  <c r="H146" i="79"/>
  <c r="H278" i="63" s="1"/>
  <c r="F187" i="63"/>
  <c r="D102" i="80"/>
  <c r="H63" i="79"/>
  <c r="F129" i="80" s="1"/>
  <c r="F205" i="79"/>
  <c r="G205" i="79" s="1"/>
  <c r="H205" i="79" s="1"/>
  <c r="I205" i="79" s="1"/>
  <c r="J205" i="79" s="1"/>
  <c r="K205" i="79" s="1"/>
  <c r="L205" i="79" s="1"/>
  <c r="M205" i="79" s="1"/>
  <c r="N205" i="79" s="1"/>
  <c r="O205" i="79" s="1"/>
  <c r="P205" i="79" s="1"/>
  <c r="C186" i="79"/>
  <c r="C185" i="79" s="1"/>
  <c r="F63" i="79"/>
  <c r="F333" i="63" s="1"/>
  <c r="H333" i="63"/>
  <c r="H64" i="79"/>
  <c r="S74" i="79" s="1"/>
  <c r="G333" i="63"/>
  <c r="G64" i="79"/>
  <c r="G61" i="79" s="1"/>
  <c r="D239" i="63"/>
  <c r="C11" i="77"/>
  <c r="D162" i="79"/>
  <c r="G237" i="63"/>
  <c r="G186" i="63"/>
  <c r="G155" i="79"/>
  <c r="G412" i="63" s="1"/>
  <c r="F515" i="63"/>
  <c r="E131" i="79"/>
  <c r="E132" i="79" s="1"/>
  <c r="C191" i="79"/>
  <c r="B21" i="77" s="1"/>
  <c r="C184" i="79"/>
  <c r="E203" i="79"/>
  <c r="E200" i="79" s="1"/>
  <c r="G8" i="79"/>
  <c r="G185" i="63" s="1"/>
  <c r="G190" i="63" s="1"/>
  <c r="G170" i="79"/>
  <c r="G26" i="79"/>
  <c r="F143" i="79"/>
  <c r="F11" i="79"/>
  <c r="F163" i="79"/>
  <c r="F364" i="63" s="1"/>
  <c r="F365" i="63" s="1"/>
  <c r="G152" i="79"/>
  <c r="G363" i="63" s="1"/>
  <c r="I6" i="79"/>
  <c r="H5" i="79"/>
  <c r="H184" i="63" s="1"/>
  <c r="G158" i="79"/>
  <c r="D137" i="79"/>
  <c r="J51" i="79"/>
  <c r="G27" i="79"/>
  <c r="H15" i="79"/>
  <c r="I69" i="79" s="1"/>
  <c r="I16" i="79"/>
  <c r="H9" i="79"/>
  <c r="E165" i="79"/>
  <c r="E419" i="63" s="1"/>
  <c r="F126" i="79"/>
  <c r="G127" i="79"/>
  <c r="H238" i="63"/>
  <c r="I18" i="79"/>
  <c r="I17" i="79" s="1"/>
  <c r="E196" i="79"/>
  <c r="F92" i="79"/>
  <c r="E169" i="79"/>
  <c r="E142" i="79"/>
  <c r="F129" i="79"/>
  <c r="E130" i="79"/>
  <c r="I54" i="79"/>
  <c r="G13" i="79"/>
  <c r="E405" i="63" l="1"/>
  <c r="E187" i="79"/>
  <c r="G391" i="63"/>
  <c r="H159" i="79"/>
  <c r="H201" i="79"/>
  <c r="C182" i="79"/>
  <c r="C189" i="79" s="1"/>
  <c r="C190" i="79" s="1"/>
  <c r="B49" i="77" s="1"/>
  <c r="H107" i="79"/>
  <c r="H202" i="79"/>
  <c r="M104" i="79"/>
  <c r="K131" i="80" s="1"/>
  <c r="J113" i="80"/>
  <c r="J88" i="80"/>
  <c r="I206" i="79"/>
  <c r="G187" i="63"/>
  <c r="E102" i="80"/>
  <c r="I106" i="79"/>
  <c r="I201" i="79" s="1"/>
  <c r="H103" i="79"/>
  <c r="I146" i="79"/>
  <c r="I278" i="63" s="1"/>
  <c r="F64" i="79"/>
  <c r="F61" i="79" s="1"/>
  <c r="F79" i="79" s="1"/>
  <c r="H237" i="63"/>
  <c r="H186" i="63"/>
  <c r="E162" i="79"/>
  <c r="E522" i="63" s="1"/>
  <c r="H155" i="79"/>
  <c r="H412" i="63" s="1"/>
  <c r="G515" i="63"/>
  <c r="D157" i="79"/>
  <c r="D522" i="63"/>
  <c r="E239" i="63"/>
  <c r="D11" i="77"/>
  <c r="B6" i="77"/>
  <c r="B16" i="77" s="1"/>
  <c r="E137" i="79"/>
  <c r="F131" i="79"/>
  <c r="F132" i="79" s="1"/>
  <c r="G12" i="79"/>
  <c r="F130" i="79"/>
  <c r="G129" i="79"/>
  <c r="H26" i="79"/>
  <c r="F165" i="79"/>
  <c r="F419" i="63" s="1"/>
  <c r="J16" i="79"/>
  <c r="I9" i="79"/>
  <c r="I13" i="79" s="1"/>
  <c r="I15" i="79"/>
  <c r="G79" i="79"/>
  <c r="K51" i="79"/>
  <c r="H158" i="79"/>
  <c r="J6" i="79"/>
  <c r="I5" i="79"/>
  <c r="I184" i="63" s="1"/>
  <c r="H152" i="79"/>
  <c r="H363" i="63" s="1"/>
  <c r="G163" i="79"/>
  <c r="G364" i="63" s="1"/>
  <c r="G365" i="63" s="1"/>
  <c r="C94" i="79"/>
  <c r="J54" i="79"/>
  <c r="F196" i="79"/>
  <c r="G92" i="79"/>
  <c r="E103" i="80" s="1"/>
  <c r="F169" i="79"/>
  <c r="F142" i="79"/>
  <c r="J18" i="79"/>
  <c r="J17" i="79" s="1"/>
  <c r="I238" i="63"/>
  <c r="H127" i="79"/>
  <c r="G126" i="79"/>
  <c r="H8" i="79"/>
  <c r="H185" i="63" s="1"/>
  <c r="H190" i="63" s="1"/>
  <c r="H61" i="79"/>
  <c r="H27" i="79"/>
  <c r="H170" i="79"/>
  <c r="H391" i="63" s="1"/>
  <c r="G143" i="79"/>
  <c r="G11" i="79"/>
  <c r="F203" i="79"/>
  <c r="F200" i="79" s="1"/>
  <c r="C98" i="79"/>
  <c r="C198" i="79"/>
  <c r="C199" i="79" s="1"/>
  <c r="H13" i="79"/>
  <c r="F405" i="63" l="1"/>
  <c r="F187" i="79"/>
  <c r="I202" i="79"/>
  <c r="I159" i="79"/>
  <c r="H187" i="63"/>
  <c r="F126" i="80"/>
  <c r="G126" i="80" s="1"/>
  <c r="J106" i="79"/>
  <c r="J202" i="79" s="1"/>
  <c r="G70" i="80"/>
  <c r="I103" i="79"/>
  <c r="N104" i="79"/>
  <c r="L131" i="80" s="1"/>
  <c r="K113" i="80"/>
  <c r="K88" i="80"/>
  <c r="J146" i="79"/>
  <c r="J278" i="63" s="1"/>
  <c r="E100" i="80"/>
  <c r="E104" i="80" s="1"/>
  <c r="E157" i="79"/>
  <c r="I107" i="79"/>
  <c r="J201" i="79"/>
  <c r="I71" i="79"/>
  <c r="I237" i="63"/>
  <c r="I186" i="63"/>
  <c r="I155" i="79"/>
  <c r="I412" i="63" s="1"/>
  <c r="H515" i="63"/>
  <c r="F162" i="79"/>
  <c r="F522" i="63" s="1"/>
  <c r="E11" i="77"/>
  <c r="F239" i="63"/>
  <c r="F137" i="79"/>
  <c r="H12" i="79"/>
  <c r="G203" i="79"/>
  <c r="G200" i="79" s="1"/>
  <c r="I170" i="79"/>
  <c r="H79" i="79"/>
  <c r="I72" i="79" s="1"/>
  <c r="G129" i="80" s="1"/>
  <c r="G130" i="80" s="1"/>
  <c r="G165" i="79"/>
  <c r="G419" i="63" s="1"/>
  <c r="H126" i="79"/>
  <c r="I127" i="79"/>
  <c r="J238" i="63"/>
  <c r="K18" i="79"/>
  <c r="K17" i="79" s="1"/>
  <c r="K54" i="79"/>
  <c r="I12" i="79"/>
  <c r="L51" i="79"/>
  <c r="I27" i="79"/>
  <c r="I187" i="63" s="1"/>
  <c r="J15" i="79"/>
  <c r="J68" i="79" s="1"/>
  <c r="J67" i="79" s="1"/>
  <c r="K16" i="79"/>
  <c r="J9" i="79"/>
  <c r="J13" i="79" s="1"/>
  <c r="H129" i="79"/>
  <c r="G130" i="79"/>
  <c r="H143" i="79"/>
  <c r="H11" i="79"/>
  <c r="I26" i="79"/>
  <c r="G196" i="79"/>
  <c r="H92" i="79"/>
  <c r="F103" i="80" s="1"/>
  <c r="F100" i="80" s="1"/>
  <c r="G142" i="79"/>
  <c r="G169" i="79"/>
  <c r="H163" i="79"/>
  <c r="H364" i="63" s="1"/>
  <c r="H365" i="63" s="1"/>
  <c r="I152" i="79"/>
  <c r="I363" i="63" s="1"/>
  <c r="K6" i="79"/>
  <c r="J5" i="79"/>
  <c r="J184" i="63" s="1"/>
  <c r="I158" i="79"/>
  <c r="I8" i="79"/>
  <c r="I185" i="63" s="1"/>
  <c r="I190" i="63" s="1"/>
  <c r="G131" i="79"/>
  <c r="G132" i="79" s="1"/>
  <c r="G187" i="79" l="1"/>
  <c r="G405" i="63"/>
  <c r="I391" i="63"/>
  <c r="J159" i="79"/>
  <c r="J107" i="79"/>
  <c r="J128" i="80"/>
  <c r="K128" i="80"/>
  <c r="H128" i="80"/>
  <c r="L128" i="80"/>
  <c r="I128" i="80"/>
  <c r="G128" i="80"/>
  <c r="I67" i="79"/>
  <c r="I63" i="79" s="1"/>
  <c r="G86" i="80" s="1"/>
  <c r="J206" i="79"/>
  <c r="K106" i="79"/>
  <c r="K202" i="79" s="1"/>
  <c r="J103" i="79"/>
  <c r="K146" i="79"/>
  <c r="K278" i="63" s="1"/>
  <c r="O104" i="79"/>
  <c r="M131" i="80" s="1"/>
  <c r="M128" i="80" s="1"/>
  <c r="L113" i="80"/>
  <c r="L88" i="80"/>
  <c r="H70" i="80"/>
  <c r="J63" i="79"/>
  <c r="K63" i="79" s="1"/>
  <c r="I333" i="63"/>
  <c r="G162" i="79"/>
  <c r="J155" i="79"/>
  <c r="J412" i="63" s="1"/>
  <c r="I515" i="63"/>
  <c r="J237" i="63"/>
  <c r="J186" i="63"/>
  <c r="F157" i="79"/>
  <c r="F11" i="77"/>
  <c r="G239" i="63"/>
  <c r="I143" i="79"/>
  <c r="I11" i="79"/>
  <c r="J158" i="79"/>
  <c r="L6" i="79"/>
  <c r="K5" i="79"/>
  <c r="K184" i="63" s="1"/>
  <c r="J152" i="79"/>
  <c r="J363" i="63" s="1"/>
  <c r="I163" i="79"/>
  <c r="I364" i="63" s="1"/>
  <c r="I365" i="63" s="1"/>
  <c r="H196" i="79"/>
  <c r="I92" i="79"/>
  <c r="H142" i="79"/>
  <c r="H169" i="79"/>
  <c r="J8" i="79"/>
  <c r="J185" i="63" s="1"/>
  <c r="J190" i="63" s="1"/>
  <c r="J27" i="79"/>
  <c r="J187" i="63" s="1"/>
  <c r="J26" i="79"/>
  <c r="H165" i="79"/>
  <c r="H419" i="63" s="1"/>
  <c r="J170" i="79"/>
  <c r="J391" i="63" s="1"/>
  <c r="H203" i="79"/>
  <c r="H200" i="79" s="1"/>
  <c r="F71" i="80" s="1"/>
  <c r="G137" i="79"/>
  <c r="J12" i="79"/>
  <c r="H130" i="79"/>
  <c r="I129" i="79"/>
  <c r="L16" i="79"/>
  <c r="K9" i="79"/>
  <c r="K15" i="79"/>
  <c r="M51" i="79"/>
  <c r="L54" i="79"/>
  <c r="L18" i="79"/>
  <c r="L17" i="79" s="1"/>
  <c r="K238" i="63"/>
  <c r="J127" i="79"/>
  <c r="I126" i="79"/>
  <c r="H131" i="79"/>
  <c r="H132" i="79" s="1"/>
  <c r="H187" i="79" l="1"/>
  <c r="H405" i="63"/>
  <c r="K159" i="79"/>
  <c r="I64" i="79"/>
  <c r="I61" i="79" s="1"/>
  <c r="I79" i="79" s="1"/>
  <c r="G87" i="80" s="1"/>
  <c r="H87" i="80" s="1"/>
  <c r="K107" i="79"/>
  <c r="K206" i="79"/>
  <c r="J122" i="79"/>
  <c r="G103" i="80"/>
  <c r="G100" i="80" s="1"/>
  <c r="G127" i="80"/>
  <c r="G124" i="80" s="1"/>
  <c r="K201" i="79"/>
  <c r="G71" i="80"/>
  <c r="F68" i="80"/>
  <c r="F72" i="80" s="1"/>
  <c r="I70" i="80"/>
  <c r="L106" i="79"/>
  <c r="L107" i="79" s="1"/>
  <c r="K103" i="79"/>
  <c r="L201" i="79"/>
  <c r="P104" i="79"/>
  <c r="N131" i="80" s="1"/>
  <c r="N128" i="80" s="1"/>
  <c r="M113" i="80"/>
  <c r="M88" i="80"/>
  <c r="M85" i="80" s="1"/>
  <c r="J333" i="63"/>
  <c r="H86" i="80"/>
  <c r="I85" i="80"/>
  <c r="L85" i="80"/>
  <c r="H85" i="80"/>
  <c r="K85" i="80"/>
  <c r="J85" i="80"/>
  <c r="J64" i="79"/>
  <c r="J61" i="79" s="1"/>
  <c r="J79" i="79" s="1"/>
  <c r="K333" i="63"/>
  <c r="K64" i="79"/>
  <c r="K61" i="79" s="1"/>
  <c r="L63" i="79"/>
  <c r="H162" i="79"/>
  <c r="H522" i="63" s="1"/>
  <c r="K237" i="63"/>
  <c r="K186" i="63"/>
  <c r="K155" i="79"/>
  <c r="K412" i="63" s="1"/>
  <c r="J515" i="63"/>
  <c r="G157" i="79"/>
  <c r="G522" i="63"/>
  <c r="H239" i="63"/>
  <c r="G11" i="77"/>
  <c r="I131" i="79"/>
  <c r="I132" i="79" s="1"/>
  <c r="K26" i="79"/>
  <c r="K27" i="79"/>
  <c r="K187" i="63" s="1"/>
  <c r="L15" i="79"/>
  <c r="M16" i="79"/>
  <c r="L9" i="79"/>
  <c r="L13" i="79" s="1"/>
  <c r="I203" i="79"/>
  <c r="I200" i="79" s="1"/>
  <c r="K170" i="79"/>
  <c r="J163" i="79"/>
  <c r="J364" i="63" s="1"/>
  <c r="J365" i="63" s="1"/>
  <c r="K152" i="79"/>
  <c r="K363" i="63" s="1"/>
  <c r="M6" i="79"/>
  <c r="L5" i="79"/>
  <c r="L184" i="63" s="1"/>
  <c r="K158" i="79"/>
  <c r="H137" i="79"/>
  <c r="I165" i="79"/>
  <c r="I419" i="63" s="1"/>
  <c r="J126" i="79"/>
  <c r="L238" i="63"/>
  <c r="M18" i="79"/>
  <c r="M17" i="79" s="1"/>
  <c r="M54" i="79"/>
  <c r="N51" i="79"/>
  <c r="K8" i="79"/>
  <c r="K185" i="63" s="1"/>
  <c r="K190" i="63" s="1"/>
  <c r="J129" i="79"/>
  <c r="I130" i="79"/>
  <c r="J143" i="79"/>
  <c r="J11" i="79"/>
  <c r="I196" i="79"/>
  <c r="J92" i="79"/>
  <c r="I142" i="79"/>
  <c r="I169" i="79"/>
  <c r="K13" i="79"/>
  <c r="I187" i="79" l="1"/>
  <c r="I405" i="63"/>
  <c r="L159" i="79"/>
  <c r="K391" i="63"/>
  <c r="L146" i="79"/>
  <c r="L278" i="63" s="1"/>
  <c r="J110" i="79"/>
  <c r="J128" i="79" s="1"/>
  <c r="K127" i="79" s="1"/>
  <c r="K126" i="79" s="1"/>
  <c r="L122" i="79" s="1"/>
  <c r="L67" i="63" s="1"/>
  <c r="L55" i="63" s="1"/>
  <c r="J67" i="63"/>
  <c r="J55" i="63" s="1"/>
  <c r="J174" i="79"/>
  <c r="K122" i="79"/>
  <c r="G132" i="80"/>
  <c r="G133" i="80"/>
  <c r="L202" i="79"/>
  <c r="L206" i="79"/>
  <c r="H103" i="80"/>
  <c r="H100" i="80" s="1"/>
  <c r="H127" i="80"/>
  <c r="H124" i="80" s="1"/>
  <c r="H132" i="80" s="1"/>
  <c r="M106" i="79"/>
  <c r="M146" i="79" s="1"/>
  <c r="M278" i="63" s="1"/>
  <c r="L103" i="79"/>
  <c r="J70" i="80"/>
  <c r="H71" i="80"/>
  <c r="G68" i="80"/>
  <c r="N113" i="80"/>
  <c r="N88" i="80"/>
  <c r="N85" i="80" s="1"/>
  <c r="M201" i="79"/>
  <c r="H157" i="79"/>
  <c r="L333" i="63"/>
  <c r="L64" i="79"/>
  <c r="L61" i="79" s="1"/>
  <c r="M63" i="79"/>
  <c r="L237" i="63"/>
  <c r="L186" i="63"/>
  <c r="I162" i="79"/>
  <c r="I522" i="63" s="1"/>
  <c r="L155" i="79"/>
  <c r="L412" i="63" s="1"/>
  <c r="K515" i="63"/>
  <c r="H11" i="77"/>
  <c r="I239" i="63"/>
  <c r="I137" i="79"/>
  <c r="L12" i="79"/>
  <c r="J130" i="79"/>
  <c r="K129" i="79"/>
  <c r="K143" i="79"/>
  <c r="K11" i="79"/>
  <c r="L26" i="79"/>
  <c r="J165" i="79"/>
  <c r="J419" i="63" s="1"/>
  <c r="L170" i="79"/>
  <c r="J203" i="79"/>
  <c r="J200" i="79" s="1"/>
  <c r="H92" i="80" s="1"/>
  <c r="H79" i="80" s="1"/>
  <c r="N16" i="79"/>
  <c r="M9" i="79"/>
  <c r="M13" i="79" s="1"/>
  <c r="M15" i="79"/>
  <c r="K79" i="79"/>
  <c r="K12" i="79"/>
  <c r="J196" i="79"/>
  <c r="K92" i="79"/>
  <c r="J142" i="79"/>
  <c r="J169" i="79"/>
  <c r="O51" i="79"/>
  <c r="N54" i="79"/>
  <c r="N18" i="79"/>
  <c r="N17" i="79" s="1"/>
  <c r="M238" i="63"/>
  <c r="L158" i="79"/>
  <c r="N6" i="79"/>
  <c r="M5" i="79"/>
  <c r="M184" i="63" s="1"/>
  <c r="L152" i="79"/>
  <c r="L363" i="63" s="1"/>
  <c r="K163" i="79"/>
  <c r="K364" i="63" s="1"/>
  <c r="K365" i="63" s="1"/>
  <c r="L8" i="79"/>
  <c r="L185" i="63" s="1"/>
  <c r="L190" i="63" s="1"/>
  <c r="L27" i="79"/>
  <c r="L187" i="63" s="1"/>
  <c r="J405" i="63" l="1"/>
  <c r="J187" i="79"/>
  <c r="L391" i="63"/>
  <c r="M107" i="79"/>
  <c r="M159" i="79"/>
  <c r="M202" i="79"/>
  <c r="M206" i="79"/>
  <c r="K110" i="79"/>
  <c r="K128" i="79" s="1"/>
  <c r="K67" i="63"/>
  <c r="K55" i="63" s="1"/>
  <c r="J131" i="79"/>
  <c r="J132" i="79" s="1"/>
  <c r="J162" i="79" s="1"/>
  <c r="L110" i="79"/>
  <c r="I103" i="80"/>
  <c r="I100" i="80" s="1"/>
  <c r="I127" i="80"/>
  <c r="I124" i="80" s="1"/>
  <c r="I132" i="80" s="1"/>
  <c r="I71" i="80"/>
  <c r="H68" i="80"/>
  <c r="K70" i="80"/>
  <c r="N106" i="79"/>
  <c r="N146" i="79" s="1"/>
  <c r="N278" i="63" s="1"/>
  <c r="M103" i="79"/>
  <c r="N202" i="79"/>
  <c r="M333" i="63"/>
  <c r="M64" i="79"/>
  <c r="M61" i="79" s="1"/>
  <c r="N63" i="79"/>
  <c r="M237" i="63"/>
  <c r="M186" i="63"/>
  <c r="M155" i="79"/>
  <c r="M412" i="63" s="1"/>
  <c r="L515" i="63"/>
  <c r="I157" i="79"/>
  <c r="I11" i="77"/>
  <c r="J239" i="63"/>
  <c r="M12" i="79"/>
  <c r="L79" i="79"/>
  <c r="M26" i="79"/>
  <c r="K196" i="79"/>
  <c r="L92" i="79"/>
  <c r="K142" i="79"/>
  <c r="K169" i="79"/>
  <c r="M27" i="79"/>
  <c r="M187" i="63" s="1"/>
  <c r="N15" i="79"/>
  <c r="O16" i="79"/>
  <c r="N9" i="79"/>
  <c r="L129" i="79"/>
  <c r="K130" i="79"/>
  <c r="L143" i="79"/>
  <c r="L11" i="79"/>
  <c r="L163" i="79"/>
  <c r="L364" i="63" s="1"/>
  <c r="L365" i="63" s="1"/>
  <c r="M152" i="79"/>
  <c r="M363" i="63" s="1"/>
  <c r="N13" i="79"/>
  <c r="O6" i="79"/>
  <c r="N5" i="79"/>
  <c r="N184" i="63" s="1"/>
  <c r="M158" i="79"/>
  <c r="K165" i="79"/>
  <c r="K419" i="63" s="1"/>
  <c r="N238" i="63"/>
  <c r="O18" i="79"/>
  <c r="O17" i="79" s="1"/>
  <c r="O54" i="79"/>
  <c r="P51" i="79"/>
  <c r="M8" i="79"/>
  <c r="M185" i="63" s="1"/>
  <c r="M190" i="63" s="1"/>
  <c r="K203" i="79"/>
  <c r="K200" i="79" s="1"/>
  <c r="I92" i="80" s="1"/>
  <c r="I79" i="80" s="1"/>
  <c r="M170" i="79"/>
  <c r="M391" i="63" s="1"/>
  <c r="K405" i="63" l="1"/>
  <c r="K187" i="79"/>
  <c r="N159" i="79"/>
  <c r="N107" i="79"/>
  <c r="K174" i="79"/>
  <c r="J522" i="63"/>
  <c r="J157" i="79"/>
  <c r="L127" i="79"/>
  <c r="L126" i="79" s="1"/>
  <c r="L165" i="79" s="1"/>
  <c r="L419" i="63" s="1"/>
  <c r="K131" i="79"/>
  <c r="K132" i="79" s="1"/>
  <c r="K162" i="79" s="1"/>
  <c r="K522" i="63" s="1"/>
  <c r="J137" i="79"/>
  <c r="N206" i="79"/>
  <c r="M122" i="79"/>
  <c r="L174" i="79"/>
  <c r="L128" i="79"/>
  <c r="M127" i="79" s="1"/>
  <c r="M126" i="79" s="1"/>
  <c r="N122" i="79" s="1"/>
  <c r="J103" i="80"/>
  <c r="J100" i="80" s="1"/>
  <c r="J127" i="80"/>
  <c r="J124" i="80" s="1"/>
  <c r="J132" i="80" s="1"/>
  <c r="N201" i="79"/>
  <c r="O106" i="79"/>
  <c r="O107" i="79" s="1"/>
  <c r="N103" i="79"/>
  <c r="L70" i="80"/>
  <c r="J71" i="80"/>
  <c r="I68" i="80"/>
  <c r="N333" i="63"/>
  <c r="N64" i="79"/>
  <c r="O63" i="79"/>
  <c r="K157" i="79"/>
  <c r="N237" i="63"/>
  <c r="N186" i="63"/>
  <c r="N155" i="79"/>
  <c r="N412" i="63" s="1"/>
  <c r="M515" i="63"/>
  <c r="J11" i="77"/>
  <c r="K239" i="63"/>
  <c r="N170" i="79"/>
  <c r="L203" i="79"/>
  <c r="L200" i="79" s="1"/>
  <c r="J92" i="80" s="1"/>
  <c r="J79" i="80" s="1"/>
  <c r="M143" i="79"/>
  <c r="M11" i="79"/>
  <c r="N26" i="79"/>
  <c r="N12" i="79"/>
  <c r="M129" i="79"/>
  <c r="N8" i="79"/>
  <c r="N185" i="63" s="1"/>
  <c r="N190" i="63" s="1"/>
  <c r="N61" i="79"/>
  <c r="N27" i="79"/>
  <c r="N187" i="63" s="1"/>
  <c r="P54" i="79"/>
  <c r="P18" i="79"/>
  <c r="O238" i="63"/>
  <c r="N158" i="79"/>
  <c r="P6" i="79"/>
  <c r="O5" i="79"/>
  <c r="O184" i="63" s="1"/>
  <c r="N152" i="79"/>
  <c r="N363" i="63" s="1"/>
  <c r="M163" i="79"/>
  <c r="M364" i="63" s="1"/>
  <c r="M365" i="63" s="1"/>
  <c r="P16" i="79"/>
  <c r="O9" i="79"/>
  <c r="O15" i="79"/>
  <c r="M79" i="79"/>
  <c r="L196" i="79"/>
  <c r="M92" i="79"/>
  <c r="L142" i="79"/>
  <c r="L169" i="79"/>
  <c r="L405" i="63" l="1"/>
  <c r="L187" i="79"/>
  <c r="O146" i="79"/>
  <c r="O278" i="63" s="1"/>
  <c r="L130" i="79"/>
  <c r="O206" i="79"/>
  <c r="O159" i="79"/>
  <c r="N391" i="63"/>
  <c r="O202" i="79"/>
  <c r="O201" i="79"/>
  <c r="K137" i="79"/>
  <c r="N110" i="79"/>
  <c r="N174" i="79" s="1"/>
  <c r="N67" i="63"/>
  <c r="N55" i="63" s="1"/>
  <c r="M110" i="79"/>
  <c r="M174" i="79" s="1"/>
  <c r="M67" i="63"/>
  <c r="M55" i="63" s="1"/>
  <c r="M128" i="79"/>
  <c r="N127" i="79" s="1"/>
  <c r="N126" i="79" s="1"/>
  <c r="O122" i="79" s="1"/>
  <c r="L131" i="79"/>
  <c r="L132" i="79" s="1"/>
  <c r="L137" i="79" s="1"/>
  <c r="N128" i="79"/>
  <c r="K103" i="80"/>
  <c r="K100" i="80" s="1"/>
  <c r="K127" i="80"/>
  <c r="K124" i="80" s="1"/>
  <c r="K132" i="80" s="1"/>
  <c r="K71" i="80"/>
  <c r="J68" i="80"/>
  <c r="M70" i="80"/>
  <c r="P106" i="79"/>
  <c r="P103" i="79" s="1"/>
  <c r="O103" i="79"/>
  <c r="P202" i="79"/>
  <c r="O333" i="63"/>
  <c r="P63" i="79"/>
  <c r="O64" i="79"/>
  <c r="P17" i="79"/>
  <c r="P238" i="63" s="1"/>
  <c r="O237" i="63"/>
  <c r="O186" i="63"/>
  <c r="O155" i="79"/>
  <c r="O412" i="63" s="1"/>
  <c r="N515" i="63"/>
  <c r="L162" i="79"/>
  <c r="L522" i="63" s="1"/>
  <c r="L239" i="63"/>
  <c r="K11" i="77"/>
  <c r="O8" i="79"/>
  <c r="O185" i="63" s="1"/>
  <c r="O190" i="63" s="1"/>
  <c r="O26" i="79"/>
  <c r="N79" i="79"/>
  <c r="M203" i="79"/>
  <c r="M200" i="79" s="1"/>
  <c r="K92" i="80" s="1"/>
  <c r="K79" i="80" s="1"/>
  <c r="O170" i="79"/>
  <c r="O13" i="79"/>
  <c r="M196" i="79"/>
  <c r="N92" i="79"/>
  <c r="M169" i="79"/>
  <c r="M142" i="79"/>
  <c r="O61" i="79"/>
  <c r="O27" i="79"/>
  <c r="O187" i="63" s="1"/>
  <c r="P15" i="79"/>
  <c r="P9" i="79"/>
  <c r="P13" i="79" s="1"/>
  <c r="N163" i="79"/>
  <c r="N364" i="63" s="1"/>
  <c r="N365" i="63" s="1"/>
  <c r="O152" i="79"/>
  <c r="O363" i="63" s="1"/>
  <c r="P5" i="79"/>
  <c r="P184" i="63" s="1"/>
  <c r="O158" i="79"/>
  <c r="M165" i="79"/>
  <c r="M419" i="63" s="1"/>
  <c r="N143" i="79"/>
  <c r="N11" i="79"/>
  <c r="N129" i="79"/>
  <c r="M130" i="79"/>
  <c r="M187" i="79" l="1"/>
  <c r="M405" i="63"/>
  <c r="O127" i="79"/>
  <c r="O391" i="63"/>
  <c r="P201" i="79"/>
  <c r="P159" i="79"/>
  <c r="M131" i="79"/>
  <c r="M132" i="79" s="1"/>
  <c r="M162" i="79" s="1"/>
  <c r="M522" i="63" s="1"/>
  <c r="P146" i="79"/>
  <c r="P278" i="63" s="1"/>
  <c r="O110" i="79"/>
  <c r="O128" i="79" s="1"/>
  <c r="P127" i="79" s="1"/>
  <c r="O67" i="63"/>
  <c r="O55" i="63" s="1"/>
  <c r="M137" i="79"/>
  <c r="L103" i="80"/>
  <c r="L100" i="80" s="1"/>
  <c r="L127" i="80"/>
  <c r="L124" i="80" s="1"/>
  <c r="L132" i="80" s="1"/>
  <c r="P206" i="79"/>
  <c r="P107" i="79"/>
  <c r="N70" i="80"/>
  <c r="L71" i="80"/>
  <c r="K68" i="80"/>
  <c r="P26" i="79"/>
  <c r="P64" i="79"/>
  <c r="P61" i="79" s="1"/>
  <c r="P333" i="63"/>
  <c r="N131" i="79"/>
  <c r="N132" i="79" s="1"/>
  <c r="P155" i="79"/>
  <c r="O515" i="63"/>
  <c r="L157" i="79"/>
  <c r="N162" i="79"/>
  <c r="N522" i="63" s="1"/>
  <c r="M157" i="79"/>
  <c r="P237" i="63"/>
  <c r="P186" i="63"/>
  <c r="L11" i="77"/>
  <c r="M239" i="63"/>
  <c r="N130" i="79"/>
  <c r="O129" i="79"/>
  <c r="N165" i="79"/>
  <c r="N419" i="63" s="1"/>
  <c r="P152" i="79"/>
  <c r="P363" i="63" s="1"/>
  <c r="O163" i="79"/>
  <c r="O364" i="63" s="1"/>
  <c r="O365" i="63" s="1"/>
  <c r="P8" i="79"/>
  <c r="P185" i="63" s="1"/>
  <c r="P190" i="63" s="1"/>
  <c r="O79" i="79"/>
  <c r="N196" i="79"/>
  <c r="O92" i="79"/>
  <c r="N142" i="79"/>
  <c r="N169" i="79"/>
  <c r="O12" i="79"/>
  <c r="P170" i="79"/>
  <c r="N203" i="79"/>
  <c r="N200" i="79" s="1"/>
  <c r="L92" i="80" s="1"/>
  <c r="L79" i="80" s="1"/>
  <c r="O143" i="79"/>
  <c r="O11" i="79"/>
  <c r="O126" i="79"/>
  <c r="P122" i="79" s="1"/>
  <c r="P158" i="79"/>
  <c r="P12" i="79"/>
  <c r="P27" i="79"/>
  <c r="P187" i="63" s="1"/>
  <c r="N187" i="79" l="1"/>
  <c r="N405" i="63"/>
  <c r="P515" i="63"/>
  <c r="P412" i="63"/>
  <c r="P391" i="63"/>
  <c r="O174" i="79"/>
  <c r="P110" i="79"/>
  <c r="P128" i="79" s="1"/>
  <c r="P67" i="63"/>
  <c r="P55" i="63" s="1"/>
  <c r="P174" i="79"/>
  <c r="M103" i="80"/>
  <c r="M100" i="80" s="1"/>
  <c r="M127" i="80"/>
  <c r="M124" i="80" s="1"/>
  <c r="M132" i="80" s="1"/>
  <c r="M71" i="80"/>
  <c r="L68" i="80"/>
  <c r="N137" i="79"/>
  <c r="P163" i="79"/>
  <c r="P364" i="63" s="1"/>
  <c r="P365" i="63" s="1"/>
  <c r="N157" i="79"/>
  <c r="M11" i="77"/>
  <c r="N239" i="63"/>
  <c r="O131" i="79"/>
  <c r="O132" i="79" s="1"/>
  <c r="O137" i="79" s="1"/>
  <c r="P79" i="79"/>
  <c r="O165" i="79"/>
  <c r="O419" i="63" s="1"/>
  <c r="P126" i="79"/>
  <c r="O196" i="79"/>
  <c r="P92" i="79"/>
  <c r="O142" i="79"/>
  <c r="O169" i="79"/>
  <c r="P203" i="79"/>
  <c r="O203" i="79"/>
  <c r="O200" i="79" s="1"/>
  <c r="M92" i="80" s="1"/>
  <c r="M79" i="80" s="1"/>
  <c r="P143" i="79"/>
  <c r="P11" i="79"/>
  <c r="P129" i="79"/>
  <c r="P130" i="79" s="1"/>
  <c r="O130" i="79"/>
  <c r="O187" i="79" l="1"/>
  <c r="O405" i="63"/>
  <c r="N103" i="80"/>
  <c r="N100" i="80" s="1"/>
  <c r="N127" i="80"/>
  <c r="N124" i="80" s="1"/>
  <c r="N132" i="80" s="1"/>
  <c r="N71" i="80"/>
  <c r="N68" i="80" s="1"/>
  <c r="M68" i="80"/>
  <c r="P200" i="79"/>
  <c r="N92" i="80" s="1"/>
  <c r="N79" i="80" s="1"/>
  <c r="O162" i="79"/>
  <c r="O522" i="63" s="1"/>
  <c r="N11" i="77"/>
  <c r="O239" i="63"/>
  <c r="P196" i="79"/>
  <c r="P169" i="79"/>
  <c r="P142" i="79"/>
  <c r="P165" i="79"/>
  <c r="P419" i="63" s="1"/>
  <c r="P131" i="79"/>
  <c r="P132" i="79" s="1"/>
  <c r="P405" i="63" l="1"/>
  <c r="P187" i="79"/>
  <c r="P162" i="79"/>
  <c r="P522" i="63" s="1"/>
  <c r="O157" i="79"/>
  <c r="P239" i="63"/>
  <c r="O11" i="77"/>
  <c r="P137" i="79"/>
  <c r="P157" i="79" l="1"/>
  <c r="C196" i="78"/>
  <c r="C195" i="78"/>
  <c r="C200" i="78"/>
  <c r="C199" i="78"/>
  <c r="C186" i="78"/>
  <c r="C158" i="78"/>
  <c r="R157" i="78"/>
  <c r="C155" i="78"/>
  <c r="D152" i="78"/>
  <c r="C152" i="78"/>
  <c r="D149" i="78"/>
  <c r="D146" i="78"/>
  <c r="D358" i="63" s="1"/>
  <c r="C150" i="78"/>
  <c r="C149" i="78"/>
  <c r="C148" i="78"/>
  <c r="C147" i="78"/>
  <c r="D383" i="63" s="1"/>
  <c r="C146" i="78"/>
  <c r="C358" i="63" s="1"/>
  <c r="C145" i="78"/>
  <c r="C383" i="63" s="1"/>
  <c r="C144" i="78"/>
  <c r="C126" i="78"/>
  <c r="C121" i="78"/>
  <c r="C120" i="78"/>
  <c r="C123" i="78" s="1"/>
  <c r="C514" i="63" l="1"/>
  <c r="E411" i="63"/>
  <c r="G411" i="63"/>
  <c r="I411" i="63"/>
  <c r="K411" i="63"/>
  <c r="M411" i="63"/>
  <c r="O411" i="63"/>
  <c r="C411" i="63"/>
  <c r="F411" i="63"/>
  <c r="J411" i="63"/>
  <c r="N411" i="63"/>
  <c r="D411" i="63"/>
  <c r="H411" i="63"/>
  <c r="L411" i="63"/>
  <c r="P411" i="63"/>
  <c r="D514" i="63"/>
  <c r="C164" i="78"/>
  <c r="C390" i="63" s="1"/>
  <c r="D88" i="78"/>
  <c r="E102" i="78"/>
  <c r="D102" i="78"/>
  <c r="C102" i="78"/>
  <c r="C90" i="78"/>
  <c r="C88" i="78"/>
  <c r="E64" i="78"/>
  <c r="D64" i="78"/>
  <c r="D327" i="63" s="1"/>
  <c r="D62" i="78"/>
  <c r="D326" i="63" s="1"/>
  <c r="C64" i="78"/>
  <c r="C327" i="63" s="1"/>
  <c r="C62" i="78"/>
  <c r="C326" i="63" s="1"/>
  <c r="C56" i="78"/>
  <c r="D53" i="78"/>
  <c r="C53" i="78"/>
  <c r="D50" i="78"/>
  <c r="C50" i="78"/>
  <c r="C44" i="78"/>
  <c r="C40" i="80" l="1"/>
  <c r="E327" i="63"/>
  <c r="C41" i="78"/>
  <c r="D52" i="78" s="1"/>
  <c r="C30" i="78"/>
  <c r="D18" i="78"/>
  <c r="D16" i="78"/>
  <c r="B229" i="78" l="1"/>
  <c r="B228" i="78"/>
  <c r="C197" i="78"/>
  <c r="D160" i="78"/>
  <c r="C160" i="78"/>
  <c r="D158" i="78"/>
  <c r="D155" i="78"/>
  <c r="B149" i="78"/>
  <c r="B154" i="78" s="1"/>
  <c r="D157" i="78"/>
  <c r="D359" i="63" s="1"/>
  <c r="D360" i="63" s="1"/>
  <c r="C157" i="78"/>
  <c r="C359" i="63" s="1"/>
  <c r="C360" i="63" s="1"/>
  <c r="C143" i="78"/>
  <c r="C156" i="78"/>
  <c r="C521" i="63" s="1"/>
  <c r="C159" i="78"/>
  <c r="C418" i="63" s="1"/>
  <c r="D119" i="78"/>
  <c r="E119" i="78" s="1"/>
  <c r="F119" i="78" s="1"/>
  <c r="G119" i="78" s="1"/>
  <c r="H119" i="78" s="1"/>
  <c r="I119" i="78" s="1"/>
  <c r="J119" i="78" s="1"/>
  <c r="K119" i="78" s="1"/>
  <c r="L119" i="78" s="1"/>
  <c r="M119" i="78" s="1"/>
  <c r="N119" i="78" s="1"/>
  <c r="O119" i="78" s="1"/>
  <c r="P119" i="78" s="1"/>
  <c r="I168" i="78"/>
  <c r="H168" i="78"/>
  <c r="G168" i="78"/>
  <c r="F168" i="78"/>
  <c r="E168" i="78"/>
  <c r="D168" i="78"/>
  <c r="C168" i="78"/>
  <c r="C169" i="78" s="1"/>
  <c r="C172" i="78" s="1"/>
  <c r="C173" i="78" s="1"/>
  <c r="D104" i="78"/>
  <c r="D196" i="78" s="1"/>
  <c r="F103" i="78"/>
  <c r="G103" i="78" s="1"/>
  <c r="H103" i="78" s="1"/>
  <c r="I103" i="78" s="1"/>
  <c r="J103" i="78" s="1"/>
  <c r="K103" i="78" s="1"/>
  <c r="L103" i="78" s="1"/>
  <c r="M103" i="78" s="1"/>
  <c r="N103" i="78" s="1"/>
  <c r="O103" i="78" s="1"/>
  <c r="P103" i="78" s="1"/>
  <c r="D98" i="78"/>
  <c r="C98" i="78"/>
  <c r="D94" i="78"/>
  <c r="C94" i="78"/>
  <c r="D90" i="78"/>
  <c r="E89" i="78"/>
  <c r="F89" i="78" s="1"/>
  <c r="G89" i="78" s="1"/>
  <c r="H88" i="78"/>
  <c r="I88" i="78" s="1"/>
  <c r="J88" i="78" s="1"/>
  <c r="D41" i="78"/>
  <c r="D30" i="78"/>
  <c r="C29" i="78"/>
  <c r="C190" i="78"/>
  <c r="E18" i="78"/>
  <c r="F18" i="78" s="1"/>
  <c r="D17" i="78"/>
  <c r="E16" i="78"/>
  <c r="F16" i="78" s="1"/>
  <c r="D15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R9" i="78"/>
  <c r="D6" i="78"/>
  <c r="C5" i="78"/>
  <c r="C175" i="63" s="1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4" i="78"/>
  <c r="A4" i="78"/>
  <c r="C123" i="31"/>
  <c r="C198" i="31"/>
  <c r="C199" i="31"/>
  <c r="C188" i="31"/>
  <c r="E166" i="31"/>
  <c r="D166" i="31"/>
  <c r="C166" i="31"/>
  <c r="D233" i="63" l="1"/>
  <c r="D182" i="78"/>
  <c r="D191" i="78"/>
  <c r="D200" i="78"/>
  <c r="D195" i="78"/>
  <c r="D136" i="78"/>
  <c r="D232" i="63"/>
  <c r="D177" i="63"/>
  <c r="D99" i="78"/>
  <c r="D105" i="78"/>
  <c r="D9" i="78"/>
  <c r="D13" i="78" s="1"/>
  <c r="D89" i="78"/>
  <c r="D91" i="78"/>
  <c r="D199" i="78" s="1"/>
  <c r="E104" i="78"/>
  <c r="E101" i="78" s="1"/>
  <c r="E9" i="78"/>
  <c r="E15" i="78"/>
  <c r="C40" i="78"/>
  <c r="D44" i="78"/>
  <c r="C151" i="78"/>
  <c r="D49" i="78"/>
  <c r="D169" i="78"/>
  <c r="D172" i="78" s="1"/>
  <c r="D173" i="78" s="1"/>
  <c r="D5" i="78"/>
  <c r="D175" i="63" s="1"/>
  <c r="F15" i="78"/>
  <c r="G16" i="78"/>
  <c r="F9" i="78"/>
  <c r="G18" i="78"/>
  <c r="D29" i="78"/>
  <c r="D40" i="78"/>
  <c r="E41" i="78"/>
  <c r="E30" i="78"/>
  <c r="J89" i="78"/>
  <c r="H89" i="78"/>
  <c r="I89" i="78"/>
  <c r="K89" i="78"/>
  <c r="L89" i="78" s="1"/>
  <c r="M89" i="78" s="1"/>
  <c r="N89" i="78" s="1"/>
  <c r="O89" i="78" s="1"/>
  <c r="P89" i="78" s="1"/>
  <c r="C31" i="78"/>
  <c r="D31" i="78" s="1"/>
  <c r="E31" i="78" s="1"/>
  <c r="F31" i="78" s="1"/>
  <c r="G31" i="78" s="1"/>
  <c r="H31" i="78" s="1"/>
  <c r="I31" i="78" s="1"/>
  <c r="J31" i="78" s="1"/>
  <c r="K31" i="78" s="1"/>
  <c r="L31" i="78" s="1"/>
  <c r="M31" i="78" s="1"/>
  <c r="N31" i="78" s="1"/>
  <c r="O31" i="78" s="1"/>
  <c r="P31" i="78" s="1"/>
  <c r="E50" i="78"/>
  <c r="E52" i="78" s="1"/>
  <c r="E53" i="78"/>
  <c r="E88" i="78"/>
  <c r="F88" i="78" s="1"/>
  <c r="G88" i="78" s="1"/>
  <c r="E6" i="78"/>
  <c r="D95" i="78"/>
  <c r="C122" i="78"/>
  <c r="E122" i="78"/>
  <c r="C48" i="80" s="1"/>
  <c r="G122" i="78"/>
  <c r="E48" i="80" s="1"/>
  <c r="I122" i="78"/>
  <c r="G48" i="80" s="1"/>
  <c r="C131" i="78"/>
  <c r="C177" i="78"/>
  <c r="D122" i="78"/>
  <c r="F122" i="78"/>
  <c r="D48" i="80" s="1"/>
  <c r="H122" i="78"/>
  <c r="F48" i="80" s="1"/>
  <c r="D140" i="78"/>
  <c r="D274" i="63" s="1"/>
  <c r="E200" i="78" l="1"/>
  <c r="E195" i="78"/>
  <c r="F232" i="63"/>
  <c r="F177" i="63"/>
  <c r="E232" i="63"/>
  <c r="E177" i="63"/>
  <c r="F41" i="78"/>
  <c r="E40" i="78"/>
  <c r="F104" i="78"/>
  <c r="F101" i="78" s="1"/>
  <c r="D48" i="78"/>
  <c r="D132" i="63" s="1"/>
  <c r="E91" i="78"/>
  <c r="E199" i="78" s="1"/>
  <c r="E44" i="78"/>
  <c r="F44" i="78" s="1"/>
  <c r="D8" i="78"/>
  <c r="D176" i="63" s="1"/>
  <c r="D181" i="63" s="1"/>
  <c r="E105" i="78"/>
  <c r="D12" i="78"/>
  <c r="C39" i="78"/>
  <c r="C131" i="63" s="1"/>
  <c r="E8" i="78"/>
  <c r="C125" i="78"/>
  <c r="E140" i="78"/>
  <c r="E274" i="63" s="1"/>
  <c r="F53" i="78"/>
  <c r="F50" i="78"/>
  <c r="F52" i="78" s="1"/>
  <c r="F30" i="78"/>
  <c r="D39" i="78"/>
  <c r="D131" i="63" s="1"/>
  <c r="H16" i="78"/>
  <c r="G9" i="78"/>
  <c r="G15" i="78"/>
  <c r="D121" i="78"/>
  <c r="K88" i="78"/>
  <c r="L88" i="78" s="1"/>
  <c r="M88" i="78" s="1"/>
  <c r="N88" i="78" s="1"/>
  <c r="O88" i="78" s="1"/>
  <c r="P88" i="78" s="1"/>
  <c r="D123" i="78"/>
  <c r="C124" i="78"/>
  <c r="C194" i="78"/>
  <c r="D190" i="78"/>
  <c r="E13" i="78"/>
  <c r="F6" i="78"/>
  <c r="E5" i="78"/>
  <c r="E175" i="63" s="1"/>
  <c r="E29" i="78"/>
  <c r="H18" i="78"/>
  <c r="F8" i="78"/>
  <c r="F176" i="63" s="1"/>
  <c r="F200" i="78" l="1"/>
  <c r="F195" i="78"/>
  <c r="G232" i="63"/>
  <c r="G177" i="63"/>
  <c r="E137" i="78"/>
  <c r="E176" i="63"/>
  <c r="E181" i="63" s="1"/>
  <c r="G41" i="78"/>
  <c r="F40" i="78"/>
  <c r="F105" i="78"/>
  <c r="G104" i="78"/>
  <c r="D197" i="78"/>
  <c r="D194" i="78" s="1"/>
  <c r="F91" i="78"/>
  <c r="G91" i="78" s="1"/>
  <c r="H91" i="78" s="1"/>
  <c r="I91" i="78" s="1"/>
  <c r="J91" i="78" s="1"/>
  <c r="K91" i="78" s="1"/>
  <c r="L91" i="78" s="1"/>
  <c r="M91" i="78" s="1"/>
  <c r="N91" i="78" s="1"/>
  <c r="O91" i="78" s="1"/>
  <c r="P91" i="78" s="1"/>
  <c r="E90" i="78"/>
  <c r="E190" i="78" s="1"/>
  <c r="D137" i="78"/>
  <c r="D11" i="78"/>
  <c r="F137" i="78"/>
  <c r="I18" i="78"/>
  <c r="G44" i="78"/>
  <c r="E11" i="78"/>
  <c r="E12" i="78"/>
  <c r="D120" i="78"/>
  <c r="E123" i="78" s="1"/>
  <c r="E121" i="78"/>
  <c r="G8" i="78"/>
  <c r="G176" i="63" s="1"/>
  <c r="E39" i="78"/>
  <c r="E131" i="63" s="1"/>
  <c r="G30" i="78"/>
  <c r="G50" i="78"/>
  <c r="G52" i="78" s="1"/>
  <c r="G53" i="78"/>
  <c r="F29" i="78"/>
  <c r="F13" i="78"/>
  <c r="G6" i="78"/>
  <c r="F5" i="78"/>
  <c r="F175" i="63" s="1"/>
  <c r="F181" i="63" s="1"/>
  <c r="D124" i="78"/>
  <c r="H15" i="78"/>
  <c r="I16" i="78"/>
  <c r="H9" i="78"/>
  <c r="F140" i="78"/>
  <c r="F274" i="63" s="1"/>
  <c r="E49" i="78"/>
  <c r="C41" i="80" s="1"/>
  <c r="H104" i="78" l="1"/>
  <c r="G101" i="78"/>
  <c r="G195" i="78"/>
  <c r="H195" i="78" s="1"/>
  <c r="G200" i="78"/>
  <c r="H200" i="78" s="1"/>
  <c r="F199" i="78"/>
  <c r="G199" i="78" s="1"/>
  <c r="H199" i="78" s="1"/>
  <c r="I199" i="78" s="1"/>
  <c r="J199" i="78" s="1"/>
  <c r="K199" i="78" s="1"/>
  <c r="L199" i="78" s="1"/>
  <c r="M199" i="78" s="1"/>
  <c r="N199" i="78" s="1"/>
  <c r="O199" i="78" s="1"/>
  <c r="P199" i="78" s="1"/>
  <c r="H232" i="63"/>
  <c r="H177" i="63"/>
  <c r="D234" i="63"/>
  <c r="C10" i="77"/>
  <c r="H41" i="78"/>
  <c r="G40" i="78"/>
  <c r="G105" i="78"/>
  <c r="H105" i="78" s="1"/>
  <c r="E48" i="78"/>
  <c r="E132" i="63" s="1"/>
  <c r="E197" i="78"/>
  <c r="E136" i="78"/>
  <c r="F90" i="78"/>
  <c r="G140" i="78"/>
  <c r="G274" i="63" s="1"/>
  <c r="H8" i="78"/>
  <c r="H176" i="63" s="1"/>
  <c r="G13" i="78"/>
  <c r="H6" i="78"/>
  <c r="G5" i="78"/>
  <c r="G175" i="63" s="1"/>
  <c r="G181" i="63" s="1"/>
  <c r="G29" i="78"/>
  <c r="H30" i="78"/>
  <c r="F39" i="78"/>
  <c r="F131" i="63" s="1"/>
  <c r="G137" i="78"/>
  <c r="D159" i="78"/>
  <c r="D418" i="63" s="1"/>
  <c r="J16" i="78"/>
  <c r="I9" i="78"/>
  <c r="I15" i="78"/>
  <c r="E124" i="78"/>
  <c r="F12" i="78"/>
  <c r="H53" i="78"/>
  <c r="H50" i="78"/>
  <c r="H52" i="78" s="1"/>
  <c r="F121" i="78"/>
  <c r="E120" i="78"/>
  <c r="E125" i="78" s="1"/>
  <c r="E126" i="78" s="1"/>
  <c r="H44" i="78"/>
  <c r="J18" i="78"/>
  <c r="D125" i="78"/>
  <c r="D126" i="78" s="1"/>
  <c r="D156" i="78" s="1"/>
  <c r="F11" i="78"/>
  <c r="F190" i="78" l="1"/>
  <c r="D60" i="80"/>
  <c r="G11" i="78"/>
  <c r="I104" i="78"/>
  <c r="I200" i="78" s="1"/>
  <c r="H101" i="78"/>
  <c r="F290" i="80" s="1"/>
  <c r="I195" i="78"/>
  <c r="D521" i="63"/>
  <c r="I232" i="63"/>
  <c r="I177" i="63"/>
  <c r="E234" i="63"/>
  <c r="D10" i="77"/>
  <c r="I41" i="78"/>
  <c r="H40" i="78"/>
  <c r="D151" i="78"/>
  <c r="F197" i="78"/>
  <c r="G90" i="78"/>
  <c r="F136" i="78"/>
  <c r="E131" i="78"/>
  <c r="F120" i="78"/>
  <c r="G121" i="78"/>
  <c r="I50" i="78"/>
  <c r="I52" i="78" s="1"/>
  <c r="I8" i="78"/>
  <c r="I176" i="63" s="1"/>
  <c r="G39" i="78"/>
  <c r="G131" i="63" s="1"/>
  <c r="I30" i="78"/>
  <c r="H29" i="78"/>
  <c r="H13" i="78"/>
  <c r="I6" i="78"/>
  <c r="H5" i="78"/>
  <c r="H175" i="63" s="1"/>
  <c r="H181" i="63" s="1"/>
  <c r="H140" i="78"/>
  <c r="H274" i="63" s="1"/>
  <c r="F123" i="78"/>
  <c r="D131" i="78"/>
  <c r="K18" i="78"/>
  <c r="I44" i="78"/>
  <c r="I53" i="78"/>
  <c r="J15" i="78"/>
  <c r="K16" i="78"/>
  <c r="J9" i="78"/>
  <c r="G12" i="78"/>
  <c r="H137" i="78"/>
  <c r="H11" i="78"/>
  <c r="G190" i="78" l="1"/>
  <c r="E60" i="80"/>
  <c r="J104" i="78"/>
  <c r="I101" i="78"/>
  <c r="G290" i="80" s="1"/>
  <c r="J200" i="78"/>
  <c r="J195" i="78"/>
  <c r="I105" i="78"/>
  <c r="J105" i="78" s="1"/>
  <c r="F234" i="63"/>
  <c r="E10" i="77"/>
  <c r="J232" i="63"/>
  <c r="J177" i="63"/>
  <c r="J41" i="78"/>
  <c r="I40" i="78"/>
  <c r="H90" i="78"/>
  <c r="F60" i="80" s="1"/>
  <c r="G136" i="78"/>
  <c r="G197" i="78"/>
  <c r="J8" i="78"/>
  <c r="J176" i="63" s="1"/>
  <c r="J44" i="78"/>
  <c r="L18" i="78"/>
  <c r="F124" i="78"/>
  <c r="G123" i="78"/>
  <c r="I140" i="78"/>
  <c r="I274" i="63" s="1"/>
  <c r="H12" i="78"/>
  <c r="I137" i="78"/>
  <c r="J50" i="78"/>
  <c r="J52" i="78" s="1"/>
  <c r="H121" i="78"/>
  <c r="G120" i="78"/>
  <c r="F125" i="78"/>
  <c r="F126" i="78" s="1"/>
  <c r="L16" i="78"/>
  <c r="K9" i="78"/>
  <c r="K15" i="78"/>
  <c r="J53" i="78"/>
  <c r="I13" i="78"/>
  <c r="J6" i="78"/>
  <c r="I5" i="78"/>
  <c r="I175" i="63" s="1"/>
  <c r="I181" i="63" s="1"/>
  <c r="I29" i="78"/>
  <c r="J30" i="78"/>
  <c r="H39" i="78"/>
  <c r="H131" i="63" s="1"/>
  <c r="H190" i="78" l="1"/>
  <c r="F52" i="80"/>
  <c r="K104" i="78"/>
  <c r="K105" i="78" s="1"/>
  <c r="J101" i="78"/>
  <c r="H290" i="80" s="1"/>
  <c r="K195" i="78"/>
  <c r="K200" i="78"/>
  <c r="F131" i="78"/>
  <c r="K232" i="63"/>
  <c r="K177" i="63"/>
  <c r="G234" i="63"/>
  <c r="F10" i="77"/>
  <c r="G125" i="78"/>
  <c r="G126" i="78" s="1"/>
  <c r="G131" i="78" s="1"/>
  <c r="K41" i="78"/>
  <c r="J40" i="78"/>
  <c r="H197" i="78"/>
  <c r="I90" i="78"/>
  <c r="G60" i="80" s="1"/>
  <c r="H136" i="78"/>
  <c r="I39" i="78"/>
  <c r="I131" i="63" s="1"/>
  <c r="K30" i="78"/>
  <c r="J29" i="78"/>
  <c r="J13" i="78"/>
  <c r="K6" i="78"/>
  <c r="J5" i="78"/>
  <c r="J175" i="63" s="1"/>
  <c r="J181" i="63" s="1"/>
  <c r="K53" i="78"/>
  <c r="K8" i="78"/>
  <c r="K176" i="63" s="1"/>
  <c r="M18" i="78"/>
  <c r="K44" i="78"/>
  <c r="I12" i="78"/>
  <c r="L15" i="78"/>
  <c r="M16" i="78"/>
  <c r="L9" i="78"/>
  <c r="H120" i="78"/>
  <c r="I121" i="78"/>
  <c r="K50" i="78"/>
  <c r="K52" i="78" s="1"/>
  <c r="J140" i="78"/>
  <c r="J274" i="63" s="1"/>
  <c r="H123" i="78"/>
  <c r="G124" i="78"/>
  <c r="J137" i="78"/>
  <c r="I11" i="78"/>
  <c r="I190" i="78" l="1"/>
  <c r="G52" i="80"/>
  <c r="L104" i="78"/>
  <c r="L200" i="78" s="1"/>
  <c r="K101" i="78"/>
  <c r="I290" i="80" s="1"/>
  <c r="L105" i="78"/>
  <c r="L195" i="78"/>
  <c r="J11" i="78"/>
  <c r="L232" i="63"/>
  <c r="L177" i="63"/>
  <c r="H234" i="63"/>
  <c r="G10" i="77"/>
  <c r="L41" i="78"/>
  <c r="K40" i="78"/>
  <c r="J90" i="78"/>
  <c r="H60" i="80" s="1"/>
  <c r="I136" i="78"/>
  <c r="I197" i="78"/>
  <c r="K140" i="78"/>
  <c r="K274" i="63" s="1"/>
  <c r="L50" i="78"/>
  <c r="L52" i="78" s="1"/>
  <c r="L8" i="78"/>
  <c r="L176" i="63" s="1"/>
  <c r="L44" i="78"/>
  <c r="N18" i="78"/>
  <c r="K137" i="78"/>
  <c r="K13" i="78"/>
  <c r="L6" i="78"/>
  <c r="K5" i="78"/>
  <c r="K175" i="63" s="1"/>
  <c r="K181" i="63" s="1"/>
  <c r="K29" i="78"/>
  <c r="L30" i="78"/>
  <c r="J39" i="78"/>
  <c r="J131" i="63" s="1"/>
  <c r="H124" i="78"/>
  <c r="I123" i="78"/>
  <c r="J121" i="78"/>
  <c r="I120" i="78"/>
  <c r="N16" i="78"/>
  <c r="M9" i="78"/>
  <c r="M15" i="78"/>
  <c r="L53" i="78"/>
  <c r="J12" i="78"/>
  <c r="H125" i="78"/>
  <c r="H126" i="78" s="1"/>
  <c r="J116" i="78" l="1"/>
  <c r="J190" i="78"/>
  <c r="H52" i="80"/>
  <c r="M104" i="78"/>
  <c r="M195" i="78" s="1"/>
  <c r="L101" i="78"/>
  <c r="J290" i="80" s="1"/>
  <c r="M200" i="78"/>
  <c r="I234" i="63"/>
  <c r="H10" i="77"/>
  <c r="M232" i="63"/>
  <c r="M177" i="63"/>
  <c r="M41" i="78"/>
  <c r="L40" i="78"/>
  <c r="J197" i="78"/>
  <c r="K90" i="78"/>
  <c r="K190" i="78" s="1"/>
  <c r="J136" i="78"/>
  <c r="M53" i="78"/>
  <c r="N15" i="78"/>
  <c r="O16" i="78"/>
  <c r="N9" i="78"/>
  <c r="J120" i="78"/>
  <c r="K12" i="78"/>
  <c r="L140" i="78"/>
  <c r="L274" i="63" s="1"/>
  <c r="H131" i="78"/>
  <c r="M8" i="78"/>
  <c r="M176" i="63" s="1"/>
  <c r="J123" i="78"/>
  <c r="I124" i="78"/>
  <c r="K39" i="78"/>
  <c r="K131" i="63" s="1"/>
  <c r="M30" i="78"/>
  <c r="L29" i="78"/>
  <c r="L13" i="78"/>
  <c r="M6" i="78"/>
  <c r="L5" i="78"/>
  <c r="L175" i="63" s="1"/>
  <c r="L181" i="63" s="1"/>
  <c r="O18" i="78"/>
  <c r="M44" i="78"/>
  <c r="L137" i="78"/>
  <c r="L11" i="78"/>
  <c r="M50" i="78"/>
  <c r="M52" i="78" s="1"/>
  <c r="I125" i="78"/>
  <c r="I126" i="78" s="1"/>
  <c r="K11" i="78"/>
  <c r="M105" i="78" l="1"/>
  <c r="J108" i="78"/>
  <c r="J122" i="78" s="1"/>
  <c r="J53" i="63"/>
  <c r="J45" i="63" s="1"/>
  <c r="J168" i="78"/>
  <c r="K116" i="78"/>
  <c r="I52" i="80"/>
  <c r="I60" i="80"/>
  <c r="N104" i="78"/>
  <c r="N200" i="78" s="1"/>
  <c r="M101" i="78"/>
  <c r="K290" i="80" s="1"/>
  <c r="N195" i="78"/>
  <c r="N232" i="63"/>
  <c r="N177" i="63"/>
  <c r="J234" i="63"/>
  <c r="I10" i="77"/>
  <c r="N41" i="78"/>
  <c r="M40" i="78"/>
  <c r="L90" i="78"/>
  <c r="J60" i="80" s="1"/>
  <c r="K136" i="78"/>
  <c r="K197" i="78"/>
  <c r="N50" i="78"/>
  <c r="N52" i="78" s="1"/>
  <c r="N44" i="78"/>
  <c r="P18" i="78"/>
  <c r="L12" i="78"/>
  <c r="N8" i="78"/>
  <c r="N176" i="63" s="1"/>
  <c r="I131" i="78"/>
  <c r="M13" i="78"/>
  <c r="N6" i="78"/>
  <c r="M5" i="78"/>
  <c r="M175" i="63" s="1"/>
  <c r="M181" i="63" s="1"/>
  <c r="M29" i="78"/>
  <c r="N30" i="78"/>
  <c r="L39" i="78"/>
  <c r="L131" i="63" s="1"/>
  <c r="J124" i="78"/>
  <c r="K123" i="78"/>
  <c r="M137" i="78"/>
  <c r="M140" i="78"/>
  <c r="M274" i="63" s="1"/>
  <c r="P16" i="78"/>
  <c r="O9" i="78"/>
  <c r="O15" i="78"/>
  <c r="N53" i="78"/>
  <c r="K121" i="78" l="1"/>
  <c r="K120" i="78" s="1"/>
  <c r="J125" i="78"/>
  <c r="J126" i="78" s="1"/>
  <c r="K108" i="78"/>
  <c r="K53" i="63"/>
  <c r="K45" i="63" s="1"/>
  <c r="K168" i="78"/>
  <c r="K122" i="78"/>
  <c r="L121" i="78" s="1"/>
  <c r="L120" i="78" s="1"/>
  <c r="L116" i="78"/>
  <c r="L190" i="78"/>
  <c r="J52" i="80"/>
  <c r="O104" i="78"/>
  <c r="O195" i="78" s="1"/>
  <c r="N101" i="78"/>
  <c r="L290" i="80" s="1"/>
  <c r="O200" i="78"/>
  <c r="N105" i="78"/>
  <c r="O232" i="63"/>
  <c r="O177" i="63"/>
  <c r="K234" i="63"/>
  <c r="J10" i="77"/>
  <c r="O41" i="78"/>
  <c r="N40" i="78"/>
  <c r="L197" i="78"/>
  <c r="M90" i="78"/>
  <c r="K60" i="80" s="1"/>
  <c r="L136" i="78"/>
  <c r="O53" i="78"/>
  <c r="O8" i="78"/>
  <c r="O176" i="63" s="1"/>
  <c r="M12" i="78"/>
  <c r="J131" i="78"/>
  <c r="P15" i="78"/>
  <c r="P9" i="78"/>
  <c r="N140" i="78"/>
  <c r="N274" i="63" s="1"/>
  <c r="L123" i="78"/>
  <c r="K124" i="78"/>
  <c r="M39" i="78"/>
  <c r="M131" i="63" s="1"/>
  <c r="O30" i="78"/>
  <c r="N29" i="78"/>
  <c r="N13" i="78"/>
  <c r="O6" i="78"/>
  <c r="N5" i="78"/>
  <c r="N175" i="63" s="1"/>
  <c r="N181" i="63" s="1"/>
  <c r="N137" i="78"/>
  <c r="N11" i="78"/>
  <c r="O44" i="78"/>
  <c r="O50" i="78"/>
  <c r="O52" i="78" s="1"/>
  <c r="M11" i="78"/>
  <c r="O105" i="78" l="1"/>
  <c r="L108" i="78"/>
  <c r="L168" i="78" s="1"/>
  <c r="L53" i="63"/>
  <c r="L45" i="63" s="1"/>
  <c r="K125" i="78"/>
  <c r="K126" i="78" s="1"/>
  <c r="K131" i="78" s="1"/>
  <c r="M116" i="78"/>
  <c r="M190" i="78"/>
  <c r="K52" i="80"/>
  <c r="P104" i="78"/>
  <c r="P101" i="78" s="1"/>
  <c r="O101" i="78"/>
  <c r="M290" i="80" s="1"/>
  <c r="P105" i="78"/>
  <c r="P232" i="63"/>
  <c r="P177" i="63"/>
  <c r="L234" i="63"/>
  <c r="K10" i="77"/>
  <c r="P41" i="78"/>
  <c r="P40" i="78" s="1"/>
  <c r="O40" i="78"/>
  <c r="N90" i="78"/>
  <c r="L60" i="80" s="1"/>
  <c r="M136" i="78"/>
  <c r="M197" i="78"/>
  <c r="O13" i="78"/>
  <c r="P6" i="78"/>
  <c r="O5" i="78"/>
  <c r="O175" i="63" s="1"/>
  <c r="O181" i="63" s="1"/>
  <c r="P29" i="78"/>
  <c r="O29" i="78"/>
  <c r="P30" i="78"/>
  <c r="N39" i="78"/>
  <c r="N131" i="63" s="1"/>
  <c r="L124" i="78"/>
  <c r="M123" i="78"/>
  <c r="O140" i="78"/>
  <c r="O274" i="63" s="1"/>
  <c r="P8" i="78"/>
  <c r="P176" i="63" s="1"/>
  <c r="P53" i="78"/>
  <c r="P50" i="78"/>
  <c r="P52" i="78" s="1"/>
  <c r="P44" i="78"/>
  <c r="N12" i="78"/>
  <c r="O137" i="78"/>
  <c r="L122" i="78" l="1"/>
  <c r="M121" i="78" s="1"/>
  <c r="M120" i="78" s="1"/>
  <c r="N116" i="78" s="1"/>
  <c r="N108" i="78" s="1"/>
  <c r="N168" i="78" s="1"/>
  <c r="P195" i="78"/>
  <c r="N290" i="80"/>
  <c r="M108" i="78"/>
  <c r="M168" i="78" s="1"/>
  <c r="M53" i="63"/>
  <c r="M45" i="63" s="1"/>
  <c r="N53" i="63"/>
  <c r="N45" i="63" s="1"/>
  <c r="L125" i="78"/>
  <c r="L126" i="78" s="1"/>
  <c r="L131" i="78" s="1"/>
  <c r="P200" i="78"/>
  <c r="N190" i="78"/>
  <c r="L52" i="80"/>
  <c r="M234" i="63"/>
  <c r="L10" i="77"/>
  <c r="N197" i="78"/>
  <c r="O90" i="78"/>
  <c r="M60" i="80" s="1"/>
  <c r="N136" i="78"/>
  <c r="P137" i="78"/>
  <c r="P140" i="78"/>
  <c r="P274" i="63" s="1"/>
  <c r="N123" i="78"/>
  <c r="M124" i="78"/>
  <c r="O39" i="78"/>
  <c r="O131" i="63" s="1"/>
  <c r="P13" i="78"/>
  <c r="P5" i="78"/>
  <c r="P175" i="63" s="1"/>
  <c r="P181" i="63" s="1"/>
  <c r="O11" i="78"/>
  <c r="O12" i="78"/>
  <c r="N122" i="78" l="1"/>
  <c r="M122" i="78"/>
  <c r="O190" i="78"/>
  <c r="M52" i="80"/>
  <c r="N234" i="63"/>
  <c r="M10" i="77"/>
  <c r="P90" i="78"/>
  <c r="O136" i="78"/>
  <c r="P197" i="78"/>
  <c r="O197" i="78"/>
  <c r="P12" i="78"/>
  <c r="P11" i="78"/>
  <c r="P39" i="78"/>
  <c r="P131" i="63" s="1"/>
  <c r="N121" i="78" l="1"/>
  <c r="M125" i="78"/>
  <c r="M126" i="78" s="1"/>
  <c r="M131" i="78" s="1"/>
  <c r="N52" i="80"/>
  <c r="N60" i="80"/>
  <c r="N10" i="77"/>
  <c r="O234" i="63"/>
  <c r="P136" i="78"/>
  <c r="P190" i="78"/>
  <c r="N120" i="78" l="1"/>
  <c r="N125" i="78" s="1"/>
  <c r="N126" i="78" s="1"/>
  <c r="O121" i="78"/>
  <c r="N124" i="78"/>
  <c r="P234" i="63"/>
  <c r="O10" i="77"/>
  <c r="O120" i="78" l="1"/>
  <c r="O116" i="78"/>
  <c r="O123" i="78"/>
  <c r="N131" i="78"/>
  <c r="O124" i="78" l="1"/>
  <c r="P123" i="78"/>
  <c r="O108" i="78"/>
  <c r="O53" i="63"/>
  <c r="O45" i="63" s="1"/>
  <c r="P116" i="78"/>
  <c r="C74" i="78"/>
  <c r="D74" i="78" s="1"/>
  <c r="P108" i="78" l="1"/>
  <c r="P53" i="63"/>
  <c r="P45" i="63" s="1"/>
  <c r="O122" i="78"/>
  <c r="O168" i="78"/>
  <c r="E74" i="78"/>
  <c r="D63" i="78"/>
  <c r="D60" i="78" s="1"/>
  <c r="D65" i="78"/>
  <c r="D61" i="78" s="1"/>
  <c r="P121" i="78" l="1"/>
  <c r="O125" i="78"/>
  <c r="O126" i="78" s="1"/>
  <c r="O131" i="78" s="1"/>
  <c r="P168" i="78"/>
  <c r="P122" i="78"/>
  <c r="F74" i="78"/>
  <c r="E65" i="78"/>
  <c r="E61" i="78" s="1"/>
  <c r="D76" i="78"/>
  <c r="C23" i="78"/>
  <c r="D23" i="78" s="1"/>
  <c r="C16" i="78"/>
  <c r="P120" i="78" l="1"/>
  <c r="P125" i="78" s="1"/>
  <c r="P126" i="78" s="1"/>
  <c r="P124" i="78"/>
  <c r="G74" i="78"/>
  <c r="C15" i="78"/>
  <c r="C9" i="78"/>
  <c r="E23" i="78"/>
  <c r="D163" i="78"/>
  <c r="D404" i="63" s="1"/>
  <c r="D26" i="78"/>
  <c r="D178" i="63" s="1"/>
  <c r="D25" i="78"/>
  <c r="P131" i="78" l="1"/>
  <c r="D181" i="78"/>
  <c r="R21" i="78"/>
  <c r="C177" i="63"/>
  <c r="C232" i="63"/>
  <c r="F23" i="78"/>
  <c r="C136" i="78"/>
  <c r="H74" i="78"/>
  <c r="C13" i="78"/>
  <c r="C8" i="78"/>
  <c r="C176" i="63" s="1"/>
  <c r="C181" i="63" s="1"/>
  <c r="E21" i="78" l="1"/>
  <c r="E17" i="78" s="1"/>
  <c r="C58" i="80" s="1"/>
  <c r="D58" i="80" s="1"/>
  <c r="F21" i="78"/>
  <c r="F17" i="78" s="1"/>
  <c r="F26" i="78" s="1"/>
  <c r="F178" i="63" s="1"/>
  <c r="H21" i="78"/>
  <c r="H17" i="78" s="1"/>
  <c r="F50" i="80" s="1"/>
  <c r="G21" i="78"/>
  <c r="G17" i="78" s="1"/>
  <c r="I21" i="78"/>
  <c r="I17" i="78" s="1"/>
  <c r="I233" i="63" s="1"/>
  <c r="J21" i="78"/>
  <c r="J17" i="78" s="1"/>
  <c r="J233" i="63" s="1"/>
  <c r="K21" i="78"/>
  <c r="K17" i="78" s="1"/>
  <c r="K233" i="63" s="1"/>
  <c r="L21" i="78"/>
  <c r="L17" i="78" s="1"/>
  <c r="L233" i="63" s="1"/>
  <c r="M21" i="78"/>
  <c r="M17" i="78" s="1"/>
  <c r="M233" i="63" s="1"/>
  <c r="N21" i="78"/>
  <c r="N17" i="78" s="1"/>
  <c r="N233" i="63" s="1"/>
  <c r="O21" i="78"/>
  <c r="O17" i="78" s="1"/>
  <c r="O233" i="63" s="1"/>
  <c r="P21" i="78"/>
  <c r="P17" i="78" s="1"/>
  <c r="P233" i="63" s="1"/>
  <c r="I74" i="78"/>
  <c r="G23" i="78"/>
  <c r="C137" i="78"/>
  <c r="C234" i="63" s="1"/>
  <c r="C11" i="78"/>
  <c r="C12" i="78"/>
  <c r="F233" i="63" l="1"/>
  <c r="F68" i="78"/>
  <c r="F66" i="78" s="1"/>
  <c r="G233" i="63"/>
  <c r="E50" i="80"/>
  <c r="G163" i="78"/>
  <c r="H67" i="78"/>
  <c r="H66" i="78" s="1"/>
  <c r="H233" i="63"/>
  <c r="E233" i="63"/>
  <c r="E66" i="78"/>
  <c r="E163" i="78"/>
  <c r="E25" i="78"/>
  <c r="E26" i="78"/>
  <c r="F25" i="78"/>
  <c r="F163" i="78"/>
  <c r="B10" i="77"/>
  <c r="H23" i="78"/>
  <c r="H163" i="78" s="1"/>
  <c r="G25" i="78"/>
  <c r="G26" i="78"/>
  <c r="J74" i="78"/>
  <c r="H181" i="78" l="1"/>
  <c r="H404" i="63"/>
  <c r="F181" i="78"/>
  <c r="F404" i="63"/>
  <c r="E404" i="63"/>
  <c r="E181" i="78"/>
  <c r="G181" i="78"/>
  <c r="G404" i="63"/>
  <c r="E178" i="63"/>
  <c r="C59" i="80"/>
  <c r="D59" i="80" s="1"/>
  <c r="G178" i="63"/>
  <c r="E51" i="80"/>
  <c r="K74" i="78"/>
  <c r="I23" i="78"/>
  <c r="I163" i="78" s="1"/>
  <c r="H26" i="78"/>
  <c r="H25" i="78"/>
  <c r="I181" i="78" l="1"/>
  <c r="I404" i="63"/>
  <c r="M57" i="80"/>
  <c r="N57" i="80"/>
  <c r="H178" i="63"/>
  <c r="F51" i="80"/>
  <c r="J23" i="78"/>
  <c r="J163" i="78" s="1"/>
  <c r="I25" i="78"/>
  <c r="I26" i="78"/>
  <c r="I178" i="63" s="1"/>
  <c r="L74" i="78"/>
  <c r="J181" i="78" l="1"/>
  <c r="J404" i="63"/>
  <c r="G49" i="80"/>
  <c r="F49" i="80"/>
  <c r="F53" i="80" s="1"/>
  <c r="K49" i="80"/>
  <c r="H49" i="80"/>
  <c r="L49" i="80"/>
  <c r="J49" i="80"/>
  <c r="M49" i="80"/>
  <c r="N49" i="80"/>
  <c r="I49" i="80"/>
  <c r="M74" i="78"/>
  <c r="K23" i="78"/>
  <c r="K163" i="78" s="1"/>
  <c r="J26" i="78"/>
  <c r="J178" i="63" s="1"/>
  <c r="J25" i="78"/>
  <c r="K181" i="78" l="1"/>
  <c r="K404" i="63"/>
  <c r="L23" i="78"/>
  <c r="L163" i="78" s="1"/>
  <c r="K26" i="78"/>
  <c r="K178" i="63" s="1"/>
  <c r="K25" i="78"/>
  <c r="N74" i="78"/>
  <c r="L181" i="78" l="1"/>
  <c r="L404" i="63"/>
  <c r="O74" i="78"/>
  <c r="M23" i="78"/>
  <c r="M163" i="78" s="1"/>
  <c r="L26" i="78"/>
  <c r="L178" i="63" s="1"/>
  <c r="L25" i="78"/>
  <c r="M181" i="78" l="1"/>
  <c r="M404" i="63"/>
  <c r="N23" i="78"/>
  <c r="N163" i="78" s="1"/>
  <c r="M26" i="78"/>
  <c r="M178" i="63" s="1"/>
  <c r="M25" i="78"/>
  <c r="P74" i="78"/>
  <c r="N181" i="78" l="1"/>
  <c r="N404" i="63"/>
  <c r="O23" i="78"/>
  <c r="O163" i="78" s="1"/>
  <c r="N26" i="78"/>
  <c r="N178" i="63" s="1"/>
  <c r="N25" i="78"/>
  <c r="O181" i="78" l="1"/>
  <c r="O404" i="63"/>
  <c r="P23" i="78"/>
  <c r="P163" i="78" s="1"/>
  <c r="O25" i="78"/>
  <c r="O26" i="78"/>
  <c r="O178" i="63" s="1"/>
  <c r="P181" i="78" l="1"/>
  <c r="P404" i="63"/>
  <c r="P25" i="78"/>
  <c r="P26" i="78"/>
  <c r="P178" i="63" s="1"/>
  <c r="C18" i="78" l="1"/>
  <c r="C17" i="78" l="1"/>
  <c r="C233" i="63" s="1"/>
  <c r="C25" i="78" l="1"/>
  <c r="C26" i="78"/>
  <c r="C178" i="63" s="1"/>
  <c r="C163" i="78"/>
  <c r="C181" i="78" s="1"/>
  <c r="D55" i="78"/>
  <c r="D54" i="78"/>
  <c r="D77" i="78"/>
  <c r="D75" i="78" s="1"/>
  <c r="D78" i="78" s="1"/>
  <c r="D59" i="78"/>
  <c r="D328" i="63" s="1"/>
  <c r="C404" i="63" l="1"/>
  <c r="D8" i="76"/>
  <c r="D133" i="63"/>
  <c r="D138" i="78"/>
  <c r="E55" i="78"/>
  <c r="E54" i="78"/>
  <c r="E77" i="78"/>
  <c r="D253" i="63" l="1"/>
  <c r="C27" i="77"/>
  <c r="F71" i="78"/>
  <c r="F70" i="78" s="1"/>
  <c r="F64" i="78" s="1"/>
  <c r="E8" i="76"/>
  <c r="E133" i="63"/>
  <c r="D40" i="80" l="1"/>
  <c r="D41" i="80" s="1"/>
  <c r="F327" i="63"/>
  <c r="G64" i="78"/>
  <c r="F65" i="78"/>
  <c r="C49" i="78"/>
  <c r="G327" i="63" l="1"/>
  <c r="H64" i="78"/>
  <c r="G65" i="78"/>
  <c r="C48" i="78"/>
  <c r="C132" i="63" s="1"/>
  <c r="H327" i="63" l="1"/>
  <c r="I64" i="78"/>
  <c r="H65" i="78"/>
  <c r="C55" i="78"/>
  <c r="C54" i="78"/>
  <c r="I327" i="63" l="1"/>
  <c r="J64" i="78"/>
  <c r="I65" i="78"/>
  <c r="C8" i="76"/>
  <c r="C133" i="63"/>
  <c r="C138" i="78"/>
  <c r="C253" i="63" s="1"/>
  <c r="C57" i="78"/>
  <c r="D56" i="78"/>
  <c r="J327" i="63" l="1"/>
  <c r="K64" i="78"/>
  <c r="J65" i="78"/>
  <c r="D57" i="78"/>
  <c r="E56" i="78"/>
  <c r="E57" i="78" s="1"/>
  <c r="K327" i="63" l="1"/>
  <c r="L64" i="78"/>
  <c r="K65" i="78"/>
  <c r="C65" i="78"/>
  <c r="C61" i="78" s="1"/>
  <c r="C63" i="78"/>
  <c r="C60" i="78" s="1"/>
  <c r="L327" i="63" l="1"/>
  <c r="M64" i="78"/>
  <c r="L65" i="78"/>
  <c r="C76" i="78"/>
  <c r="C59" i="78"/>
  <c r="C328" i="63" s="1"/>
  <c r="C77" i="78"/>
  <c r="M327" i="63" l="1"/>
  <c r="N64" i="78"/>
  <c r="M65" i="78"/>
  <c r="C75" i="78"/>
  <c r="C78" i="78" s="1"/>
  <c r="D177" i="78" s="1"/>
  <c r="N327" i="63" l="1"/>
  <c r="O64" i="78"/>
  <c r="N65" i="78"/>
  <c r="C187" i="78"/>
  <c r="C178" i="78" s="1"/>
  <c r="D178" i="78" s="1"/>
  <c r="D187" i="78" l="1"/>
  <c r="O327" i="63"/>
  <c r="P64" i="78"/>
  <c r="O65" i="78"/>
  <c r="C189" i="78"/>
  <c r="C162" i="78"/>
  <c r="C329" i="63" s="1"/>
  <c r="P327" i="63" l="1"/>
  <c r="P65" i="78"/>
  <c r="C180" i="78"/>
  <c r="C179" i="78" s="1"/>
  <c r="C176" i="78" s="1"/>
  <c r="B5" i="77" l="1"/>
  <c r="B15" i="77" s="1"/>
  <c r="C92" i="78"/>
  <c r="C183" i="78"/>
  <c r="C184" i="78" s="1"/>
  <c r="B48" i="77" s="1"/>
  <c r="D103" i="78" l="1"/>
  <c r="D189" i="78"/>
  <c r="D162" i="78"/>
  <c r="D329" i="63" s="1"/>
  <c r="D201" i="78" l="1"/>
  <c r="D202" i="78" s="1"/>
  <c r="D135" i="78"/>
  <c r="D180" i="78"/>
  <c r="F102" i="78" l="1"/>
  <c r="E103" i="78"/>
  <c r="E189" i="78"/>
  <c r="G102" i="78" l="1"/>
  <c r="D42" i="80"/>
  <c r="D39" i="80" s="1"/>
  <c r="D43" i="80" s="1"/>
  <c r="D154" i="31"/>
  <c r="C160" i="31"/>
  <c r="D160" i="31" s="1"/>
  <c r="R159" i="31"/>
  <c r="C157" i="31"/>
  <c r="D157" i="31" s="1"/>
  <c r="C154" i="31"/>
  <c r="D151" i="31"/>
  <c r="D410" i="63" s="1"/>
  <c r="D415" i="63" s="1"/>
  <c r="D471" i="63" s="1"/>
  <c r="D18" i="82" s="1"/>
  <c r="D148" i="31"/>
  <c r="D353" i="63" s="1"/>
  <c r="C389" i="63" l="1"/>
  <c r="D389" i="63"/>
  <c r="E389" i="63"/>
  <c r="D378" i="63"/>
  <c r="H102" i="78"/>
  <c r="E42" i="80"/>
  <c r="E39" i="80" s="1"/>
  <c r="C281" i="75"/>
  <c r="C369" i="63" s="1"/>
  <c r="C370" i="63" s="1"/>
  <c r="D281" i="75"/>
  <c r="D369" i="63" s="1"/>
  <c r="D370" i="63" s="1"/>
  <c r="D159" i="31"/>
  <c r="D354" i="63" s="1"/>
  <c r="D379" i="63" l="1"/>
  <c r="D380" i="63" s="1"/>
  <c r="D466" i="63" s="1"/>
  <c r="D12" i="82" s="1"/>
  <c r="D355" i="63"/>
  <c r="I102" i="78"/>
  <c r="F42" i="80"/>
  <c r="F39" i="80" s="1"/>
  <c r="C152" i="31"/>
  <c r="C151" i="31"/>
  <c r="C410" i="63" s="1"/>
  <c r="C415" i="63" s="1"/>
  <c r="C150" i="31"/>
  <c r="C149" i="31"/>
  <c r="C148" i="31"/>
  <c r="C147" i="31"/>
  <c r="C382" i="63" s="1"/>
  <c r="C146" i="31"/>
  <c r="C142" i="31"/>
  <c r="J102" i="78" l="1"/>
  <c r="G42" i="80"/>
  <c r="G39" i="80" s="1"/>
  <c r="C159" i="31"/>
  <c r="C353" i="63"/>
  <c r="C378" i="63" s="1"/>
  <c r="C197" i="31"/>
  <c r="K102" i="78" l="1"/>
  <c r="H42" i="80"/>
  <c r="H39" i="80" s="1"/>
  <c r="C196" i="31"/>
  <c r="C203" i="31" s="1"/>
  <c r="L102" i="78" l="1"/>
  <c r="I42" i="80"/>
  <c r="I39" i="80" s="1"/>
  <c r="C128" i="31"/>
  <c r="M102" i="78" l="1"/>
  <c r="J42" i="80"/>
  <c r="J39" i="80" s="1"/>
  <c r="D108" i="31"/>
  <c r="F105" i="31"/>
  <c r="F8" i="63" s="1"/>
  <c r="C102" i="31"/>
  <c r="C61" i="76" s="1"/>
  <c r="D62" i="76" s="1"/>
  <c r="N102" i="78" l="1"/>
  <c r="K42" i="80"/>
  <c r="K39" i="80" s="1"/>
  <c r="D216" i="75"/>
  <c r="E269" i="75" s="1"/>
  <c r="E368" i="63" s="1"/>
  <c r="D6" i="63"/>
  <c r="D65" i="76"/>
  <c r="E115" i="76" s="1"/>
  <c r="E386" i="63" s="1"/>
  <c r="G105" i="31"/>
  <c r="G8" i="63" s="1"/>
  <c r="F215" i="75"/>
  <c r="D198" i="31"/>
  <c r="D197" i="31"/>
  <c r="D142" i="31"/>
  <c r="D270" i="63" s="1"/>
  <c r="D286" i="63" s="1"/>
  <c r="D103" i="31"/>
  <c r="D7" i="63" s="1"/>
  <c r="E108" i="31"/>
  <c r="E155" i="31" s="1"/>
  <c r="D109" i="31"/>
  <c r="D313" i="63" l="1"/>
  <c r="D8" i="82"/>
  <c r="O102" i="78"/>
  <c r="L42" i="80"/>
  <c r="L39" i="80" s="1"/>
  <c r="E267" i="75"/>
  <c r="E288" i="75"/>
  <c r="E275" i="75"/>
  <c r="E273" i="75"/>
  <c r="E277" i="75"/>
  <c r="D217" i="75"/>
  <c r="E272" i="75"/>
  <c r="E268" i="75"/>
  <c r="E385" i="63" s="1"/>
  <c r="E274" i="75"/>
  <c r="E142" i="31"/>
  <c r="E270" i="63" s="1"/>
  <c r="E286" i="63" s="1"/>
  <c r="E8" i="82" s="1"/>
  <c r="E6" i="63"/>
  <c r="E65" i="76"/>
  <c r="E64" i="76" s="1"/>
  <c r="F166" i="31"/>
  <c r="F389" i="63" s="1"/>
  <c r="E216" i="75"/>
  <c r="F269" i="75" s="1"/>
  <c r="F368" i="63" s="1"/>
  <c r="H105" i="31"/>
  <c r="H8" i="63" s="1"/>
  <c r="G215" i="75"/>
  <c r="E198" i="31"/>
  <c r="E197" i="31"/>
  <c r="D199" i="31"/>
  <c r="D196" i="31" s="1"/>
  <c r="D203" i="31" s="1"/>
  <c r="E154" i="31"/>
  <c r="E151" i="31"/>
  <c r="E410" i="63" s="1"/>
  <c r="E148" i="31"/>
  <c r="E353" i="63" s="1"/>
  <c r="F108" i="31"/>
  <c r="F155" i="31" s="1"/>
  <c r="E109" i="31"/>
  <c r="E516" i="63" l="1"/>
  <c r="E413" i="63"/>
  <c r="E415" i="63" s="1"/>
  <c r="E471" i="63" s="1"/>
  <c r="E18" i="82" s="1"/>
  <c r="E392" i="63"/>
  <c r="P102" i="78"/>
  <c r="N42" i="80" s="1"/>
  <c r="N39" i="80" s="1"/>
  <c r="M42" i="80"/>
  <c r="M39" i="80" s="1"/>
  <c r="F267" i="75"/>
  <c r="E281" i="75"/>
  <c r="E369" i="63" s="1"/>
  <c r="E370" i="63" s="1"/>
  <c r="F6" i="63"/>
  <c r="F65" i="76"/>
  <c r="F64" i="76" s="1"/>
  <c r="E159" i="31"/>
  <c r="E354" i="63" s="1"/>
  <c r="F119" i="76"/>
  <c r="F414" i="63" s="1"/>
  <c r="F117" i="76"/>
  <c r="F114" i="76"/>
  <c r="F118" i="76"/>
  <c r="F122" i="76"/>
  <c r="F115" i="76"/>
  <c r="F386" i="63" s="1"/>
  <c r="F120" i="76"/>
  <c r="F116" i="76"/>
  <c r="F373" i="63" s="1"/>
  <c r="F274" i="75"/>
  <c r="F273" i="75"/>
  <c r="F272" i="75"/>
  <c r="F275" i="75"/>
  <c r="G108" i="31"/>
  <c r="G155" i="31" s="1"/>
  <c r="F216" i="75"/>
  <c r="I105" i="31"/>
  <c r="I8" i="63" s="1"/>
  <c r="H215" i="75"/>
  <c r="F277" i="75"/>
  <c r="F268" i="75"/>
  <c r="F385" i="63" s="1"/>
  <c r="E217" i="75"/>
  <c r="F288" i="75"/>
  <c r="F198" i="31"/>
  <c r="F197" i="31"/>
  <c r="E199" i="31"/>
  <c r="E196" i="31" s="1"/>
  <c r="E203" i="31" s="1"/>
  <c r="F109" i="31"/>
  <c r="G166" i="31"/>
  <c r="G389" i="63" s="1"/>
  <c r="F154" i="31"/>
  <c r="F142" i="31"/>
  <c r="F270" i="63" s="1"/>
  <c r="F286" i="63" s="1"/>
  <c r="F8" i="82" s="1"/>
  <c r="F148" i="31"/>
  <c r="F353" i="63" s="1"/>
  <c r="F151" i="31"/>
  <c r="F410" i="63" s="1"/>
  <c r="F516" i="63" l="1"/>
  <c r="F413" i="63"/>
  <c r="F415" i="63" s="1"/>
  <c r="F471" i="63" s="1"/>
  <c r="F18" i="82" s="1"/>
  <c r="F392" i="63"/>
  <c r="G118" i="76"/>
  <c r="G117" i="76"/>
  <c r="E355" i="63"/>
  <c r="G267" i="75"/>
  <c r="F266" i="75"/>
  <c r="E266" i="75"/>
  <c r="G275" i="75"/>
  <c r="G151" i="31"/>
  <c r="G410" i="63" s="1"/>
  <c r="G198" i="31"/>
  <c r="G120" i="76"/>
  <c r="G122" i="76"/>
  <c r="G114" i="76"/>
  <c r="G119" i="76"/>
  <c r="G414" i="63" s="1"/>
  <c r="H166" i="31"/>
  <c r="H389" i="63" s="1"/>
  <c r="G6" i="63"/>
  <c r="G65" i="76"/>
  <c r="G116" i="76"/>
  <c r="G373" i="63" s="1"/>
  <c r="F126" i="76"/>
  <c r="F374" i="63" s="1"/>
  <c r="F375" i="63" s="1"/>
  <c r="G115" i="76"/>
  <c r="G386" i="63" s="1"/>
  <c r="G288" i="75"/>
  <c r="G268" i="75"/>
  <c r="G272" i="75"/>
  <c r="F217" i="75"/>
  <c r="G277" i="75"/>
  <c r="G273" i="75"/>
  <c r="G274" i="75"/>
  <c r="J105" i="31"/>
  <c r="J8" i="63" s="1"/>
  <c r="I215" i="75"/>
  <c r="H108" i="31"/>
  <c r="G216" i="75"/>
  <c r="G154" i="31"/>
  <c r="G109" i="31"/>
  <c r="G197" i="31"/>
  <c r="G142" i="31"/>
  <c r="G270" i="63" s="1"/>
  <c r="G286" i="63" s="1"/>
  <c r="G8" i="82" s="1"/>
  <c r="F199" i="31"/>
  <c r="F196" i="31" s="1"/>
  <c r="F203" i="31" s="1"/>
  <c r="G148" i="31"/>
  <c r="G353" i="63" s="1"/>
  <c r="F159" i="31"/>
  <c r="F354" i="63" s="1"/>
  <c r="G516" i="63" l="1"/>
  <c r="G413" i="63"/>
  <c r="G392" i="63"/>
  <c r="G415" i="63"/>
  <c r="G471" i="63" s="1"/>
  <c r="G18" i="82" s="1"/>
  <c r="G385" i="63"/>
  <c r="H151" i="31"/>
  <c r="H410" i="63" s="1"/>
  <c r="H155" i="31"/>
  <c r="F355" i="63"/>
  <c r="H267" i="75"/>
  <c r="G270" i="75"/>
  <c r="H122" i="76"/>
  <c r="G64" i="76"/>
  <c r="F281" i="75"/>
  <c r="F369" i="63" s="1"/>
  <c r="F370" i="63" s="1"/>
  <c r="H273" i="75"/>
  <c r="H272" i="75"/>
  <c r="H198" i="31"/>
  <c r="H288" i="75"/>
  <c r="H109" i="31"/>
  <c r="H118" i="76"/>
  <c r="H115" i="76"/>
  <c r="H386" i="63" s="1"/>
  <c r="H116" i="76"/>
  <c r="H373" i="63" s="1"/>
  <c r="G126" i="76"/>
  <c r="G374" i="63" s="1"/>
  <c r="G375" i="63" s="1"/>
  <c r="H117" i="76"/>
  <c r="H114" i="76"/>
  <c r="H120" i="76"/>
  <c r="H6" i="63"/>
  <c r="H65" i="76"/>
  <c r="H119" i="76"/>
  <c r="H414" i="63" s="1"/>
  <c r="H275" i="75"/>
  <c r="H268" i="75"/>
  <c r="H385" i="63" s="1"/>
  <c r="G217" i="75"/>
  <c r="H274" i="75"/>
  <c r="H277" i="75"/>
  <c r="I108" i="31"/>
  <c r="I151" i="31" s="1"/>
  <c r="I410" i="63" s="1"/>
  <c r="H216" i="75"/>
  <c r="I267" i="75" s="1"/>
  <c r="K105" i="31"/>
  <c r="K8" i="63" s="1"/>
  <c r="J215" i="75"/>
  <c r="H197" i="31"/>
  <c r="H154" i="31"/>
  <c r="I166" i="31"/>
  <c r="I389" i="63" s="1"/>
  <c r="H142" i="31"/>
  <c r="H270" i="63" s="1"/>
  <c r="H286" i="63" s="1"/>
  <c r="H8" i="82" s="1"/>
  <c r="G199" i="31"/>
  <c r="G196" i="31" s="1"/>
  <c r="G203" i="31" s="1"/>
  <c r="H148" i="31"/>
  <c r="H353" i="63" s="1"/>
  <c r="G159" i="31"/>
  <c r="G354" i="63" s="1"/>
  <c r="H516" i="63" l="1"/>
  <c r="H413" i="63"/>
  <c r="H415" i="63" s="1"/>
  <c r="H471" i="63" s="1"/>
  <c r="H18" i="82" s="1"/>
  <c r="I155" i="31"/>
  <c r="H392" i="63"/>
  <c r="G355" i="63"/>
  <c r="G269" i="75"/>
  <c r="E190" i="80"/>
  <c r="E192" i="80" s="1"/>
  <c r="I122" i="76"/>
  <c r="H64" i="76"/>
  <c r="I109" i="31"/>
  <c r="I154" i="31"/>
  <c r="I118" i="76"/>
  <c r="I6" i="63"/>
  <c r="I65" i="76"/>
  <c r="I268" i="75"/>
  <c r="I274" i="75"/>
  <c r="I288" i="75"/>
  <c r="H217" i="75"/>
  <c r="I119" i="76"/>
  <c r="I414" i="63" s="1"/>
  <c r="I114" i="76"/>
  <c r="J114" i="76" s="1"/>
  <c r="I116" i="76"/>
  <c r="I373" i="63" s="1"/>
  <c r="H126" i="76"/>
  <c r="H374" i="63" s="1"/>
  <c r="H375" i="63" s="1"/>
  <c r="I115" i="76"/>
  <c r="I120" i="76"/>
  <c r="I117" i="76"/>
  <c r="I273" i="75"/>
  <c r="I272" i="75"/>
  <c r="I277" i="75"/>
  <c r="I275" i="75"/>
  <c r="L105" i="31"/>
  <c r="L8" i="63" s="1"/>
  <c r="K215" i="75"/>
  <c r="J108" i="31"/>
  <c r="J155" i="31" s="1"/>
  <c r="I216" i="75"/>
  <c r="J267" i="75" s="1"/>
  <c r="J166" i="31"/>
  <c r="J389" i="63" s="1"/>
  <c r="I197" i="31"/>
  <c r="I198" i="31"/>
  <c r="I142" i="31"/>
  <c r="I270" i="63" s="1"/>
  <c r="I286" i="63" s="1"/>
  <c r="I8" i="82" s="1"/>
  <c r="H199" i="31"/>
  <c r="H196" i="31" s="1"/>
  <c r="H203" i="31" s="1"/>
  <c r="I148" i="31"/>
  <c r="I353" i="63" s="1"/>
  <c r="H159" i="31"/>
  <c r="H354" i="63" s="1"/>
  <c r="I516" i="63" l="1"/>
  <c r="I413" i="63"/>
  <c r="I415" i="63" s="1"/>
  <c r="I471" i="63" s="1"/>
  <c r="I18" i="82" s="1"/>
  <c r="I386" i="63"/>
  <c r="I385" i="63"/>
  <c r="I392" i="63"/>
  <c r="H269" i="75"/>
  <c r="G368" i="63"/>
  <c r="H355" i="63"/>
  <c r="G281" i="75"/>
  <c r="G369" i="63" s="1"/>
  <c r="G266" i="75"/>
  <c r="J122" i="76"/>
  <c r="I64" i="76"/>
  <c r="H281" i="75"/>
  <c r="H369" i="63" s="1"/>
  <c r="J268" i="75"/>
  <c r="J118" i="76"/>
  <c r="J120" i="76"/>
  <c r="J274" i="75"/>
  <c r="J117" i="76"/>
  <c r="J119" i="76"/>
  <c r="J414" i="63" s="1"/>
  <c r="J115" i="76"/>
  <c r="J386" i="63" s="1"/>
  <c r="J116" i="76"/>
  <c r="J373" i="63" s="1"/>
  <c r="I126" i="76"/>
  <c r="I374" i="63" s="1"/>
  <c r="I375" i="63" s="1"/>
  <c r="J277" i="75"/>
  <c r="J273" i="75"/>
  <c r="J6" i="63"/>
  <c r="J65" i="76"/>
  <c r="J288" i="75"/>
  <c r="I217" i="75"/>
  <c r="J275" i="75"/>
  <c r="J272" i="75"/>
  <c r="K108" i="31"/>
  <c r="K155" i="31" s="1"/>
  <c r="J216" i="75"/>
  <c r="K267" i="75" s="1"/>
  <c r="M105" i="31"/>
  <c r="M8" i="63" s="1"/>
  <c r="L215" i="75"/>
  <c r="J198" i="31"/>
  <c r="J197" i="31"/>
  <c r="K166" i="31"/>
  <c r="K389" i="63" s="1"/>
  <c r="J109" i="31"/>
  <c r="J151" i="31"/>
  <c r="J410" i="63" s="1"/>
  <c r="J154" i="31"/>
  <c r="J142" i="31"/>
  <c r="J270" i="63" s="1"/>
  <c r="J286" i="63" s="1"/>
  <c r="J8" i="82" s="1"/>
  <c r="I199" i="31"/>
  <c r="I196" i="31" s="1"/>
  <c r="I203" i="31" s="1"/>
  <c r="J148" i="31"/>
  <c r="J353" i="63" s="1"/>
  <c r="I159" i="31"/>
  <c r="I354" i="63" s="1"/>
  <c r="I355" i="63" s="1"/>
  <c r="J385" i="63" l="1"/>
  <c r="J516" i="63"/>
  <c r="J413" i="63"/>
  <c r="J415" i="63" s="1"/>
  <c r="J471" i="63" s="1"/>
  <c r="J18" i="82" s="1"/>
  <c r="J392" i="63"/>
  <c r="G370" i="63"/>
  <c r="I269" i="75"/>
  <c r="I281" i="75" s="1"/>
  <c r="I369" i="63" s="1"/>
  <c r="H368" i="63"/>
  <c r="H370" i="63" s="1"/>
  <c r="H266" i="75"/>
  <c r="K122" i="76"/>
  <c r="J64" i="76"/>
  <c r="I266" i="75"/>
  <c r="K268" i="75"/>
  <c r="K151" i="31"/>
  <c r="K410" i="63" s="1"/>
  <c r="K272" i="75"/>
  <c r="K114" i="76"/>
  <c r="K118" i="76"/>
  <c r="K275" i="75"/>
  <c r="K120" i="76"/>
  <c r="L166" i="31"/>
  <c r="L389" i="63" s="1"/>
  <c r="K198" i="31"/>
  <c r="K119" i="76"/>
  <c r="K414" i="63" s="1"/>
  <c r="K117" i="76"/>
  <c r="K6" i="63"/>
  <c r="K65" i="76"/>
  <c r="K116" i="76"/>
  <c r="K373" i="63" s="1"/>
  <c r="J126" i="76"/>
  <c r="J374" i="63" s="1"/>
  <c r="J375" i="63" s="1"/>
  <c r="K115" i="76"/>
  <c r="K386" i="63" s="1"/>
  <c r="K288" i="75"/>
  <c r="J217" i="75"/>
  <c r="K277" i="75"/>
  <c r="K273" i="75"/>
  <c r="K274" i="75"/>
  <c r="N105" i="31"/>
  <c r="N8" i="63" s="1"/>
  <c r="M215" i="75"/>
  <c r="L108" i="31"/>
  <c r="L155" i="31" s="1"/>
  <c r="K216" i="75"/>
  <c r="L267" i="75" s="1"/>
  <c r="K154" i="31"/>
  <c r="K109" i="31"/>
  <c r="K197" i="31"/>
  <c r="K142" i="31"/>
  <c r="K270" i="63" s="1"/>
  <c r="K286" i="63" s="1"/>
  <c r="K8" i="82" s="1"/>
  <c r="J199" i="31"/>
  <c r="J196" i="31" s="1"/>
  <c r="J203" i="31" s="1"/>
  <c r="K148" i="31"/>
  <c r="K353" i="63" s="1"/>
  <c r="J159" i="31"/>
  <c r="J354" i="63" s="1"/>
  <c r="J355" i="63" s="1"/>
  <c r="D97" i="31"/>
  <c r="E92" i="31"/>
  <c r="E11" i="63" s="1"/>
  <c r="D93" i="31"/>
  <c r="D91" i="31"/>
  <c r="C97" i="31"/>
  <c r="K516" i="63" l="1"/>
  <c r="K413" i="63"/>
  <c r="K415" i="63" s="1"/>
  <c r="K471" i="63" s="1"/>
  <c r="K18" i="82" s="1"/>
  <c r="K385" i="63"/>
  <c r="K392" i="63"/>
  <c r="I368" i="63"/>
  <c r="I370" i="63" s="1"/>
  <c r="J269" i="75"/>
  <c r="J266" i="75" s="1"/>
  <c r="L114" i="76"/>
  <c r="K64" i="76"/>
  <c r="L198" i="31"/>
  <c r="L151" i="31"/>
  <c r="L410" i="63" s="1"/>
  <c r="L275" i="75"/>
  <c r="L273" i="75"/>
  <c r="L288" i="75"/>
  <c r="L118" i="76"/>
  <c r="L115" i="76"/>
  <c r="K126" i="76"/>
  <c r="K374" i="63" s="1"/>
  <c r="K375" i="63" s="1"/>
  <c r="L116" i="76"/>
  <c r="L373" i="63" s="1"/>
  <c r="L109" i="31"/>
  <c r="L120" i="76"/>
  <c r="L119" i="76"/>
  <c r="L414" i="63" s="1"/>
  <c r="L122" i="76"/>
  <c r="L6" i="63"/>
  <c r="L65" i="76"/>
  <c r="L117" i="76"/>
  <c r="K217" i="75"/>
  <c r="L272" i="75"/>
  <c r="L268" i="75"/>
  <c r="L274" i="75"/>
  <c r="L413" i="63" s="1"/>
  <c r="L277" i="75"/>
  <c r="M108" i="31"/>
  <c r="M151" i="31" s="1"/>
  <c r="M410" i="63" s="1"/>
  <c r="L216" i="75"/>
  <c r="M267" i="75" s="1"/>
  <c r="O105" i="31"/>
  <c r="O8" i="63" s="1"/>
  <c r="N215" i="75"/>
  <c r="L197" i="31"/>
  <c r="L154" i="31"/>
  <c r="M166" i="31"/>
  <c r="M389" i="63" s="1"/>
  <c r="L142" i="31"/>
  <c r="L270" i="63" s="1"/>
  <c r="L286" i="63" s="1"/>
  <c r="L8" i="82" s="1"/>
  <c r="K199" i="31"/>
  <c r="K196" i="31" s="1"/>
  <c r="K203" i="31" s="1"/>
  <c r="L148" i="31"/>
  <c r="L353" i="63" s="1"/>
  <c r="K159" i="31"/>
  <c r="K354" i="63" s="1"/>
  <c r="D98" i="31"/>
  <c r="L385" i="63" l="1"/>
  <c r="L386" i="63"/>
  <c r="L415" i="63"/>
  <c r="L471" i="63" s="1"/>
  <c r="L18" i="82" s="1"/>
  <c r="L392" i="63"/>
  <c r="M155" i="31"/>
  <c r="J368" i="63"/>
  <c r="K269" i="75"/>
  <c r="K266" i="75" s="1"/>
  <c r="K355" i="63"/>
  <c r="K281" i="75"/>
  <c r="K369" i="63" s="1"/>
  <c r="J281" i="75"/>
  <c r="J369" i="63" s="1"/>
  <c r="M114" i="76"/>
  <c r="L64" i="76"/>
  <c r="M109" i="31"/>
  <c r="M118" i="76"/>
  <c r="M154" i="31"/>
  <c r="M117" i="76"/>
  <c r="M119" i="76"/>
  <c r="M414" i="63" s="1"/>
  <c r="M6" i="63"/>
  <c r="M65" i="76"/>
  <c r="M116" i="76"/>
  <c r="M373" i="63" s="1"/>
  <c r="L126" i="76"/>
  <c r="L374" i="63" s="1"/>
  <c r="L375" i="63" s="1"/>
  <c r="M122" i="76"/>
  <c r="M120" i="76"/>
  <c r="M115" i="76"/>
  <c r="M386" i="63" s="1"/>
  <c r="L217" i="75"/>
  <c r="M274" i="75"/>
  <c r="L516" i="63"/>
  <c r="M268" i="75"/>
  <c r="M288" i="75"/>
  <c r="M273" i="75"/>
  <c r="M272" i="75"/>
  <c r="M277" i="75"/>
  <c r="M275" i="75"/>
  <c r="P105" i="31"/>
  <c r="O215" i="75"/>
  <c r="N108" i="31"/>
  <c r="M216" i="75"/>
  <c r="N267" i="75" s="1"/>
  <c r="N166" i="31"/>
  <c r="N389" i="63" s="1"/>
  <c r="M197" i="31"/>
  <c r="M198" i="31"/>
  <c r="M142" i="31"/>
  <c r="M270" i="63" s="1"/>
  <c r="M286" i="63" s="1"/>
  <c r="M8" i="82" s="1"/>
  <c r="L199" i="31"/>
  <c r="L196" i="31" s="1"/>
  <c r="L203" i="31" s="1"/>
  <c r="M148" i="31"/>
  <c r="M353" i="63" s="1"/>
  <c r="L159" i="31"/>
  <c r="L354" i="63" s="1"/>
  <c r="L355" i="63" s="1"/>
  <c r="M385" i="63" l="1"/>
  <c r="M516" i="63"/>
  <c r="M413" i="63"/>
  <c r="M415" i="63" s="1"/>
  <c r="M471" i="63" s="1"/>
  <c r="M18" i="82" s="1"/>
  <c r="N155" i="31"/>
  <c r="M392" i="63"/>
  <c r="K368" i="63"/>
  <c r="K370" i="63" s="1"/>
  <c r="L269" i="75"/>
  <c r="J370" i="63"/>
  <c r="N114" i="76"/>
  <c r="M64" i="76"/>
  <c r="N119" i="76"/>
  <c r="N414" i="63" s="1"/>
  <c r="N122" i="76"/>
  <c r="L266" i="75"/>
  <c r="N118" i="76"/>
  <c r="N120" i="76"/>
  <c r="N117" i="76"/>
  <c r="N274" i="75"/>
  <c r="N268" i="75"/>
  <c r="N115" i="76"/>
  <c r="N386" i="63" s="1"/>
  <c r="N6" i="63"/>
  <c r="N65" i="76"/>
  <c r="P215" i="75"/>
  <c r="P8" i="63"/>
  <c r="N116" i="76"/>
  <c r="N373" i="63" s="1"/>
  <c r="M126" i="76"/>
  <c r="M374" i="63" s="1"/>
  <c r="M375" i="63" s="1"/>
  <c r="N273" i="75"/>
  <c r="N277" i="75"/>
  <c r="N288" i="75"/>
  <c r="M217" i="75"/>
  <c r="N275" i="75"/>
  <c r="N272" i="75"/>
  <c r="O108" i="31"/>
  <c r="N216" i="75"/>
  <c r="O267" i="75" s="1"/>
  <c r="N198" i="31"/>
  <c r="N197" i="31"/>
  <c r="O166" i="31"/>
  <c r="O389" i="63" s="1"/>
  <c r="N109" i="31"/>
  <c r="N151" i="31"/>
  <c r="N410" i="63" s="1"/>
  <c r="N154" i="31"/>
  <c r="N142" i="31"/>
  <c r="N270" i="63" s="1"/>
  <c r="N286" i="63" s="1"/>
  <c r="N8" i="82" s="1"/>
  <c r="M199" i="31"/>
  <c r="M196" i="31" s="1"/>
  <c r="M203" i="31" s="1"/>
  <c r="N148" i="31"/>
  <c r="N353" i="63" s="1"/>
  <c r="M159" i="31"/>
  <c r="M354" i="63" s="1"/>
  <c r="N385" i="63" l="1"/>
  <c r="N516" i="63"/>
  <c r="N413" i="63"/>
  <c r="N415" i="63" s="1"/>
  <c r="N471" i="63" s="1"/>
  <c r="N18" i="82" s="1"/>
  <c r="N392" i="63"/>
  <c r="O155" i="31"/>
  <c r="M355" i="63"/>
  <c r="L368" i="63"/>
  <c r="M269" i="75"/>
  <c r="L281" i="75"/>
  <c r="L369" i="63" s="1"/>
  <c r="O114" i="76"/>
  <c r="N64" i="76"/>
  <c r="O288" i="75"/>
  <c r="O122" i="76"/>
  <c r="O151" i="31"/>
  <c r="O410" i="63" s="1"/>
  <c r="O198" i="31"/>
  <c r="O117" i="76"/>
  <c r="O275" i="75"/>
  <c r="O120" i="76"/>
  <c r="O118" i="76"/>
  <c r="O119" i="76"/>
  <c r="O414" i="63" s="1"/>
  <c r="P166" i="31"/>
  <c r="P389" i="63" s="1"/>
  <c r="O6" i="63"/>
  <c r="O65" i="76"/>
  <c r="N126" i="76"/>
  <c r="N374" i="63" s="1"/>
  <c r="N375" i="63" s="1"/>
  <c r="O116" i="76"/>
  <c r="O373" i="63" s="1"/>
  <c r="O115" i="76"/>
  <c r="O386" i="63" s="1"/>
  <c r="O268" i="75"/>
  <c r="O272" i="75"/>
  <c r="N217" i="75"/>
  <c r="O277" i="75"/>
  <c r="O273" i="75"/>
  <c r="O274" i="75"/>
  <c r="P108" i="31"/>
  <c r="O216" i="75"/>
  <c r="P267" i="75" s="1"/>
  <c r="O154" i="31"/>
  <c r="P154" i="31" s="1"/>
  <c r="O109" i="31"/>
  <c r="O197" i="31"/>
  <c r="P197" i="31" s="1"/>
  <c r="O142" i="31"/>
  <c r="O270" i="63" s="1"/>
  <c r="O286" i="63" s="1"/>
  <c r="O8" i="82" s="1"/>
  <c r="N199" i="31"/>
  <c r="N196" i="31" s="1"/>
  <c r="N203" i="31" s="1"/>
  <c r="O148" i="31"/>
  <c r="O353" i="63" s="1"/>
  <c r="N159" i="31"/>
  <c r="N354" i="63" s="1"/>
  <c r="O385" i="63" l="1"/>
  <c r="O516" i="63"/>
  <c r="O413" i="63"/>
  <c r="O415" i="63" s="1"/>
  <c r="O471" i="63" s="1"/>
  <c r="O18" i="82" s="1"/>
  <c r="P155" i="31"/>
  <c r="O392" i="63"/>
  <c r="M368" i="63"/>
  <c r="N269" i="75"/>
  <c r="N266" i="75" s="1"/>
  <c r="N355" i="63"/>
  <c r="L370" i="63"/>
  <c r="M266" i="75"/>
  <c r="M281" i="75"/>
  <c r="M369" i="63" s="1"/>
  <c r="P122" i="76"/>
  <c r="O64" i="76"/>
  <c r="P151" i="31"/>
  <c r="P410" i="63" s="1"/>
  <c r="P273" i="75"/>
  <c r="P268" i="75"/>
  <c r="P385" i="63" s="1"/>
  <c r="P272" i="75"/>
  <c r="P120" i="76"/>
  <c r="P216" i="75"/>
  <c r="P6" i="63"/>
  <c r="P65" i="76"/>
  <c r="P64" i="76" s="1"/>
  <c r="O217" i="75"/>
  <c r="P117" i="76"/>
  <c r="P118" i="76"/>
  <c r="P114" i="76"/>
  <c r="P115" i="76"/>
  <c r="P386" i="63" s="1"/>
  <c r="P116" i="76"/>
  <c r="O126" i="76"/>
  <c r="O374" i="63" s="1"/>
  <c r="O375" i="63" s="1"/>
  <c r="P119" i="76"/>
  <c r="P414" i="63" s="1"/>
  <c r="P275" i="75"/>
  <c r="P288" i="75"/>
  <c r="P274" i="75"/>
  <c r="P277" i="75"/>
  <c r="P109" i="31"/>
  <c r="P198" i="31"/>
  <c r="P142" i="31"/>
  <c r="P270" i="63" s="1"/>
  <c r="P286" i="63" s="1"/>
  <c r="P8" i="82" s="1"/>
  <c r="O199" i="31"/>
  <c r="O196" i="31" s="1"/>
  <c r="O203" i="31" s="1"/>
  <c r="P199" i="31"/>
  <c r="P148" i="31"/>
  <c r="P353" i="63" s="1"/>
  <c r="O159" i="31"/>
  <c r="O354" i="63" s="1"/>
  <c r="O355" i="63" s="1"/>
  <c r="P516" i="63" l="1"/>
  <c r="P413" i="63"/>
  <c r="P415" i="63"/>
  <c r="P471" i="63" s="1"/>
  <c r="P18" i="82" s="1"/>
  <c r="P392" i="63"/>
  <c r="P126" i="76"/>
  <c r="P374" i="63" s="1"/>
  <c r="P373" i="63"/>
  <c r="N368" i="63"/>
  <c r="O269" i="75"/>
  <c r="M370" i="63"/>
  <c r="N281" i="75"/>
  <c r="N369" i="63" s="1"/>
  <c r="O281" i="75"/>
  <c r="O369" i="63" s="1"/>
  <c r="P217" i="75"/>
  <c r="P159" i="31"/>
  <c r="P354" i="63" s="1"/>
  <c r="P355" i="63" s="1"/>
  <c r="P196" i="31"/>
  <c r="P203" i="31" s="1"/>
  <c r="P375" i="63" l="1"/>
  <c r="O368" i="63"/>
  <c r="O370" i="63" s="1"/>
  <c r="P269" i="75"/>
  <c r="P368" i="63" s="1"/>
  <c r="O266" i="75"/>
  <c r="N370" i="63"/>
  <c r="C122" i="31"/>
  <c r="C125" i="31" s="1"/>
  <c r="P266" i="75" l="1"/>
  <c r="P281" i="75"/>
  <c r="P369" i="63" s="1"/>
  <c r="P370" i="63" s="1"/>
  <c r="C104" i="31"/>
  <c r="D104" i="31" l="1"/>
  <c r="D105" i="31" s="1"/>
  <c r="D8" i="63" s="1"/>
  <c r="E104" i="31" l="1"/>
  <c r="F104" i="31" l="1"/>
  <c r="E105" i="31"/>
  <c r="G104" i="31" l="1"/>
  <c r="D13" i="80"/>
  <c r="E106" i="31"/>
  <c r="F106" i="31" s="1"/>
  <c r="G106" i="31" s="1"/>
  <c r="H106" i="31" s="1"/>
  <c r="I106" i="31" s="1"/>
  <c r="J106" i="31" s="1"/>
  <c r="K106" i="31" s="1"/>
  <c r="L106" i="31" s="1"/>
  <c r="M106" i="31" s="1"/>
  <c r="N106" i="31" s="1"/>
  <c r="O106" i="31" s="1"/>
  <c r="P106" i="31" s="1"/>
  <c r="E99" i="31"/>
  <c r="F99" i="31" s="1"/>
  <c r="E215" i="75"/>
  <c r="E214" i="75" s="1"/>
  <c r="F214" i="75" s="1"/>
  <c r="G214" i="75" s="1"/>
  <c r="H214" i="75" s="1"/>
  <c r="I214" i="75" s="1"/>
  <c r="E8" i="63"/>
  <c r="C93" i="31"/>
  <c r="C91" i="31"/>
  <c r="H104" i="31" l="1"/>
  <c r="E13" i="80"/>
  <c r="E29" i="80"/>
  <c r="D208" i="80"/>
  <c r="G99" i="31"/>
  <c r="J214" i="75"/>
  <c r="G141" i="80"/>
  <c r="D94" i="31"/>
  <c r="D92" i="31"/>
  <c r="D11" i="63" s="1"/>
  <c r="H91" i="31"/>
  <c r="I91" i="31" s="1"/>
  <c r="H99" i="31" l="1"/>
  <c r="E208" i="80"/>
  <c r="I104" i="31"/>
  <c r="F13" i="80"/>
  <c r="F29" i="80"/>
  <c r="D221" i="80"/>
  <c r="D206" i="80"/>
  <c r="K214" i="75"/>
  <c r="H141" i="80"/>
  <c r="E94" i="31"/>
  <c r="D10" i="63"/>
  <c r="E93" i="31"/>
  <c r="J91" i="31"/>
  <c r="D205" i="80" l="1"/>
  <c r="E205" i="80" s="1"/>
  <c r="J104" i="31"/>
  <c r="G29" i="80"/>
  <c r="G13" i="80"/>
  <c r="F208" i="80"/>
  <c r="I99" i="31"/>
  <c r="D236" i="80"/>
  <c r="D246" i="80" s="1"/>
  <c r="D219" i="80"/>
  <c r="E221" i="80"/>
  <c r="E206" i="80"/>
  <c r="L214" i="75"/>
  <c r="I141" i="80"/>
  <c r="F94" i="31"/>
  <c r="F93" i="31" s="1"/>
  <c r="E10" i="63"/>
  <c r="E91" i="31"/>
  <c r="F92" i="31"/>
  <c r="E236" i="80" l="1"/>
  <c r="E246" i="80" s="1"/>
  <c r="E219" i="80"/>
  <c r="D218" i="80"/>
  <c r="E218" i="80" s="1"/>
  <c r="G208" i="80"/>
  <c r="J99" i="31"/>
  <c r="K104" i="31"/>
  <c r="H13" i="80"/>
  <c r="H29" i="80"/>
  <c r="F205" i="80"/>
  <c r="D277" i="80"/>
  <c r="D264" i="80"/>
  <c r="D244" i="80"/>
  <c r="D243" i="80" s="1"/>
  <c r="E243" i="80" s="1"/>
  <c r="F221" i="80"/>
  <c r="F206" i="80"/>
  <c r="M214" i="75"/>
  <c r="J141" i="80"/>
  <c r="G92" i="31"/>
  <c r="G11" i="63" s="1"/>
  <c r="F11" i="63"/>
  <c r="G94" i="31"/>
  <c r="F10" i="63"/>
  <c r="G93" i="31"/>
  <c r="F91" i="31"/>
  <c r="J92" i="31"/>
  <c r="J11" i="63" s="1"/>
  <c r="K92" i="31"/>
  <c r="K11" i="63" s="1"/>
  <c r="I92" i="31" l="1"/>
  <c r="I11" i="63" s="1"/>
  <c r="H92" i="31"/>
  <c r="H11" i="63" s="1"/>
  <c r="L104" i="31"/>
  <c r="I29" i="80"/>
  <c r="I13" i="80"/>
  <c r="G221" i="80"/>
  <c r="G206" i="80"/>
  <c r="E244" i="80"/>
  <c r="E264" i="80"/>
  <c r="E277" i="80"/>
  <c r="G91" i="31"/>
  <c r="G205" i="80"/>
  <c r="F219" i="80"/>
  <c r="F236" i="80"/>
  <c r="F246" i="80" s="1"/>
  <c r="K99" i="31"/>
  <c r="H208" i="80"/>
  <c r="F218" i="80"/>
  <c r="N214" i="75"/>
  <c r="K141" i="80"/>
  <c r="H94" i="31"/>
  <c r="G10" i="63"/>
  <c r="H93" i="31"/>
  <c r="L92" i="31"/>
  <c r="K91" i="31"/>
  <c r="R9" i="31"/>
  <c r="F71" i="31"/>
  <c r="D27" i="80" s="1"/>
  <c r="F69" i="31"/>
  <c r="G69" i="31" s="1"/>
  <c r="E71" i="31"/>
  <c r="E69" i="31"/>
  <c r="D80" i="31"/>
  <c r="E80" i="31" s="1"/>
  <c r="D71" i="31"/>
  <c r="D69" i="31"/>
  <c r="D60" i="31"/>
  <c r="E60" i="31" s="1"/>
  <c r="D53" i="31"/>
  <c r="D18" i="31"/>
  <c r="E18" i="31" s="1"/>
  <c r="F18" i="31" s="1"/>
  <c r="G18" i="31" s="1"/>
  <c r="H18" i="31" s="1"/>
  <c r="I18" i="31" s="1"/>
  <c r="J18" i="31" s="1"/>
  <c r="K18" i="31" s="1"/>
  <c r="L18" i="31" s="1"/>
  <c r="M18" i="31" s="1"/>
  <c r="N18" i="31" s="1"/>
  <c r="O18" i="31" s="1"/>
  <c r="D16" i="31"/>
  <c r="E16" i="31" s="1"/>
  <c r="C84" i="31"/>
  <c r="C80" i="31"/>
  <c r="C71" i="31"/>
  <c r="C69" i="31"/>
  <c r="L99" i="31" l="1"/>
  <c r="I208" i="80"/>
  <c r="I221" i="80" s="1"/>
  <c r="I236" i="80" s="1"/>
  <c r="I246" i="80" s="1"/>
  <c r="M104" i="31"/>
  <c r="J13" i="80"/>
  <c r="J29" i="80"/>
  <c r="G218" i="80"/>
  <c r="H205" i="80"/>
  <c r="H221" i="80"/>
  <c r="H206" i="80"/>
  <c r="F264" i="80"/>
  <c r="F244" i="80"/>
  <c r="F277" i="80"/>
  <c r="G236" i="80"/>
  <c r="G246" i="80" s="1"/>
  <c r="G219" i="80"/>
  <c r="H218" i="80" s="1"/>
  <c r="F243" i="80"/>
  <c r="O214" i="75"/>
  <c r="L141" i="80"/>
  <c r="I94" i="31"/>
  <c r="H10" i="63"/>
  <c r="I93" i="31"/>
  <c r="G21" i="80" s="1"/>
  <c r="M92" i="31"/>
  <c r="L11" i="63"/>
  <c r="L91" i="31"/>
  <c r="F16" i="31"/>
  <c r="G16" i="31" s="1"/>
  <c r="H16" i="31" s="1"/>
  <c r="I16" i="31" s="1"/>
  <c r="E9" i="31"/>
  <c r="H69" i="31"/>
  <c r="D9" i="31"/>
  <c r="I205" i="80" l="1"/>
  <c r="G277" i="80"/>
  <c r="G244" i="80"/>
  <c r="G264" i="80"/>
  <c r="N104" i="31"/>
  <c r="K29" i="80"/>
  <c r="K13" i="80"/>
  <c r="M99" i="31"/>
  <c r="J208" i="80"/>
  <c r="H9" i="31"/>
  <c r="G243" i="80"/>
  <c r="H236" i="80"/>
  <c r="H246" i="80" s="1"/>
  <c r="H219" i="80"/>
  <c r="I218" i="80" s="1"/>
  <c r="I277" i="80"/>
  <c r="I264" i="80"/>
  <c r="P214" i="75"/>
  <c r="N141" i="80" s="1"/>
  <c r="M141" i="80"/>
  <c r="M91" i="31"/>
  <c r="J94" i="31"/>
  <c r="J93" i="31" s="1"/>
  <c r="H21" i="80" s="1"/>
  <c r="I10" i="63"/>
  <c r="N92" i="31"/>
  <c r="M11" i="63"/>
  <c r="J16" i="31"/>
  <c r="I9" i="31"/>
  <c r="N91" i="31" l="1"/>
  <c r="H243" i="80"/>
  <c r="H244" i="80"/>
  <c r="H264" i="80"/>
  <c r="H277" i="80"/>
  <c r="H275" i="80" s="1"/>
  <c r="N99" i="31"/>
  <c r="K208" i="80"/>
  <c r="H247" i="80"/>
  <c r="J221" i="80"/>
  <c r="J205" i="80"/>
  <c r="O104" i="31"/>
  <c r="L13" i="80"/>
  <c r="L29" i="80"/>
  <c r="K94" i="31"/>
  <c r="J10" i="63"/>
  <c r="K93" i="31"/>
  <c r="I21" i="80" s="1"/>
  <c r="O92" i="31"/>
  <c r="O91" i="31" s="1"/>
  <c r="N11" i="63"/>
  <c r="J9" i="31"/>
  <c r="K16" i="31"/>
  <c r="I243" i="80" l="1"/>
  <c r="P104" i="31"/>
  <c r="M13" i="80"/>
  <c r="M29" i="80"/>
  <c r="J236" i="80"/>
  <c r="J246" i="80" s="1"/>
  <c r="J218" i="80"/>
  <c r="K221" i="80"/>
  <c r="K205" i="80"/>
  <c r="J243" i="80"/>
  <c r="O99" i="31"/>
  <c r="L208" i="80"/>
  <c r="P92" i="31"/>
  <c r="P11" i="63" s="1"/>
  <c r="O11" i="63"/>
  <c r="L94" i="31"/>
  <c r="K10" i="63"/>
  <c r="L93" i="31"/>
  <c r="J21" i="80" s="1"/>
  <c r="L16" i="31"/>
  <c r="K9" i="31"/>
  <c r="P99" i="31" l="1"/>
  <c r="N208" i="80" s="1"/>
  <c r="M208" i="80"/>
  <c r="N13" i="80"/>
  <c r="N29" i="80"/>
  <c r="L221" i="80"/>
  <c r="L205" i="80"/>
  <c r="K236" i="80"/>
  <c r="K246" i="80" s="1"/>
  <c r="K218" i="80"/>
  <c r="J277" i="80"/>
  <c r="J264" i="80"/>
  <c r="K243" i="80"/>
  <c r="P91" i="31"/>
  <c r="M94" i="31"/>
  <c r="L10" i="63"/>
  <c r="M93" i="31"/>
  <c r="K21" i="80" s="1"/>
  <c r="L9" i="31"/>
  <c r="M16" i="31"/>
  <c r="N221" i="80" l="1"/>
  <c r="K277" i="80"/>
  <c r="K264" i="80"/>
  <c r="L236" i="80"/>
  <c r="L246" i="80" s="1"/>
  <c r="L218" i="80"/>
  <c r="M221" i="80"/>
  <c r="M205" i="80"/>
  <c r="N205" i="80" s="1"/>
  <c r="L243" i="80"/>
  <c r="N94" i="31"/>
  <c r="N93" i="31" s="1"/>
  <c r="L21" i="80" s="1"/>
  <c r="M10" i="63"/>
  <c r="N16" i="31"/>
  <c r="M9" i="31"/>
  <c r="N236" i="80" l="1"/>
  <c r="N246" i="80" s="1"/>
  <c r="M236" i="80"/>
  <c r="M246" i="80" s="1"/>
  <c r="M218" i="80"/>
  <c r="N218" i="80" s="1"/>
  <c r="L277" i="80"/>
  <c r="L264" i="80"/>
  <c r="M243" i="80"/>
  <c r="N243" i="80" s="1"/>
  <c r="O94" i="31"/>
  <c r="N10" i="63"/>
  <c r="O93" i="31"/>
  <c r="M21" i="80" s="1"/>
  <c r="N9" i="31"/>
  <c r="O16" i="31"/>
  <c r="N277" i="80" l="1"/>
  <c r="N264" i="80"/>
  <c r="M277" i="80"/>
  <c r="M264" i="80"/>
  <c r="P94" i="31"/>
  <c r="P10" i="63" s="1"/>
  <c r="O10" i="63"/>
  <c r="P93" i="31"/>
  <c r="N21" i="80" s="1"/>
  <c r="P16" i="31"/>
  <c r="P9" i="31" s="1"/>
  <c r="O9" i="31"/>
  <c r="C47" i="31" l="1"/>
  <c r="C46" i="31"/>
  <c r="C63" i="31" l="1"/>
  <c r="C60" i="31"/>
  <c r="C57" i="31"/>
  <c r="D57" i="31" s="1"/>
  <c r="C53" i="31"/>
  <c r="C42" i="31"/>
  <c r="P47" i="31" s="1"/>
  <c r="C41" i="31"/>
  <c r="C35" i="31"/>
  <c r="D59" i="31" l="1"/>
  <c r="L46" i="31"/>
  <c r="D55" i="31"/>
  <c r="D47" i="31"/>
  <c r="O47" i="31"/>
  <c r="F47" i="31"/>
  <c r="N47" i="31"/>
  <c r="G47" i="31"/>
  <c r="J47" i="31"/>
  <c r="K47" i="31"/>
  <c r="J46" i="31"/>
  <c r="K46" i="31"/>
  <c r="N46" i="31"/>
  <c r="I47" i="31"/>
  <c r="L47" i="31"/>
  <c r="E47" i="31"/>
  <c r="H47" i="31"/>
  <c r="M47" i="31"/>
  <c r="E46" i="31"/>
  <c r="H46" i="31"/>
  <c r="M46" i="31"/>
  <c r="P46" i="31"/>
  <c r="D46" i="31"/>
  <c r="G46" i="31"/>
  <c r="O46" i="31"/>
  <c r="F46" i="31"/>
  <c r="I46" i="31"/>
  <c r="C37" i="31"/>
  <c r="C50" i="31" s="1"/>
  <c r="C30" i="31" l="1"/>
  <c r="C38" i="31" l="1"/>
  <c r="C28" i="31" l="1"/>
  <c r="C22" i="31" l="1"/>
  <c r="C21" i="31"/>
  <c r="D21" i="31" s="1"/>
  <c r="E21" i="31" s="1"/>
  <c r="C18" i="31"/>
  <c r="C16" i="31"/>
  <c r="C9" i="31" s="1"/>
  <c r="D22" i="31" l="1"/>
  <c r="C192" i="31"/>
  <c r="E22" i="31" l="1"/>
  <c r="E192" i="31" s="1"/>
  <c r="D192" i="31"/>
  <c r="B231" i="31" l="1"/>
  <c r="B230" i="31"/>
  <c r="A303" i="63" l="1"/>
  <c r="D217" i="63" l="1"/>
  <c r="D215" i="63" s="1"/>
  <c r="F77" i="75" l="1"/>
  <c r="G77" i="75" s="1"/>
  <c r="H77" i="75" s="1"/>
  <c r="I77" i="75" s="1"/>
  <c r="J77" i="75" s="1"/>
  <c r="K77" i="75" s="1"/>
  <c r="L77" i="75" s="1"/>
  <c r="M77" i="75" s="1"/>
  <c r="N77" i="75" s="1"/>
  <c r="O77" i="75" s="1"/>
  <c r="P77" i="75" s="1"/>
  <c r="C39" i="75"/>
  <c r="D40" i="75"/>
  <c r="E40" i="75" s="1"/>
  <c r="F40" i="75" s="1"/>
  <c r="G40" i="75" s="1"/>
  <c r="H40" i="75" s="1"/>
  <c r="I40" i="75" s="1"/>
  <c r="J40" i="75" s="1"/>
  <c r="K40" i="75" s="1"/>
  <c r="L40" i="75" s="1"/>
  <c r="M40" i="75" s="1"/>
  <c r="N40" i="75" s="1"/>
  <c r="O40" i="75" s="1"/>
  <c r="P40" i="75" s="1"/>
  <c r="C32" i="75"/>
  <c r="D70" i="75" s="1"/>
  <c r="D33" i="75"/>
  <c r="E33" i="75" l="1"/>
  <c r="E32" i="75" s="1"/>
  <c r="G100" i="75"/>
  <c r="E76" i="75"/>
  <c r="F78" i="75"/>
  <c r="H78" i="75"/>
  <c r="J78" i="75"/>
  <c r="L78" i="75"/>
  <c r="N78" i="75"/>
  <c r="P78" i="75"/>
  <c r="D76" i="75"/>
  <c r="G78" i="75"/>
  <c r="I78" i="75"/>
  <c r="K78" i="75"/>
  <c r="M78" i="75"/>
  <c r="O78" i="75"/>
  <c r="D39" i="75"/>
  <c r="E39" i="75"/>
  <c r="D32" i="75"/>
  <c r="E70" i="75" s="1"/>
  <c r="D67" i="75" l="1"/>
  <c r="F33" i="75"/>
  <c r="F39" i="75"/>
  <c r="H100" i="75"/>
  <c r="I100" i="75" s="1"/>
  <c r="I76" i="75"/>
  <c r="M76" i="75"/>
  <c r="J76" i="75"/>
  <c r="N76" i="75"/>
  <c r="F76" i="75"/>
  <c r="G76" i="75"/>
  <c r="K76" i="75"/>
  <c r="O76" i="75"/>
  <c r="H76" i="75"/>
  <c r="L76" i="75"/>
  <c r="P76" i="75"/>
  <c r="G33" i="75" l="1"/>
  <c r="F32" i="75"/>
  <c r="G39" i="75"/>
  <c r="J100" i="75"/>
  <c r="H33" i="75" l="1"/>
  <c r="G32" i="75"/>
  <c r="H39" i="75"/>
  <c r="K100" i="75"/>
  <c r="I33" i="75" l="1"/>
  <c r="H32" i="75"/>
  <c r="I39" i="75"/>
  <c r="L100" i="75"/>
  <c r="J33" i="75" l="1"/>
  <c r="I32" i="75"/>
  <c r="J39" i="75"/>
  <c r="M100" i="75"/>
  <c r="K33" i="75" l="1"/>
  <c r="J32" i="75"/>
  <c r="K39" i="75"/>
  <c r="N100" i="75"/>
  <c r="L33" i="75" l="1"/>
  <c r="K32" i="75"/>
  <c r="L39" i="75"/>
  <c r="O100" i="75"/>
  <c r="M33" i="75" l="1"/>
  <c r="L32" i="75"/>
  <c r="M39" i="75"/>
  <c r="P100" i="75"/>
  <c r="N33" i="75" l="1"/>
  <c r="M32" i="75"/>
  <c r="N39" i="75"/>
  <c r="O33" i="75" l="1"/>
  <c r="N32" i="75"/>
  <c r="O39" i="75"/>
  <c r="P33" i="75" l="1"/>
  <c r="P32" i="75" s="1"/>
  <c r="O32" i="75"/>
  <c r="P39" i="75"/>
  <c r="C60" i="75" l="1"/>
  <c r="D28" i="75"/>
  <c r="E28" i="75" s="1"/>
  <c r="F28" i="75" s="1"/>
  <c r="G28" i="75" s="1"/>
  <c r="H28" i="75" s="1"/>
  <c r="I28" i="75" s="1"/>
  <c r="J28" i="75" s="1"/>
  <c r="K28" i="75" s="1"/>
  <c r="L28" i="75" s="1"/>
  <c r="M28" i="75" s="1"/>
  <c r="N28" i="75" s="1"/>
  <c r="O28" i="75" s="1"/>
  <c r="P28" i="75" s="1"/>
  <c r="D27" i="75"/>
  <c r="D62" i="75"/>
  <c r="E62" i="75" s="1"/>
  <c r="F62" i="75" s="1"/>
  <c r="G62" i="75" s="1"/>
  <c r="H62" i="75" s="1"/>
  <c r="I62" i="75" s="1"/>
  <c r="J62" i="75" s="1"/>
  <c r="K62" i="75" s="1"/>
  <c r="L62" i="75" s="1"/>
  <c r="M62" i="75" s="1"/>
  <c r="N62" i="75" s="1"/>
  <c r="O62" i="75" s="1"/>
  <c r="P62" i="75" s="1"/>
  <c r="D61" i="75"/>
  <c r="E61" i="75" s="1"/>
  <c r="D41" i="31"/>
  <c r="E55" i="31" s="1"/>
  <c r="D42" i="31"/>
  <c r="C40" i="31"/>
  <c r="F296" i="80" l="1"/>
  <c r="E27" i="75"/>
  <c r="E26" i="75" s="1"/>
  <c r="D26" i="75"/>
  <c r="E41" i="31"/>
  <c r="E60" i="75"/>
  <c r="D60" i="75"/>
  <c r="F61" i="75"/>
  <c r="F60" i="75" s="1"/>
  <c r="D40" i="31"/>
  <c r="E42" i="31"/>
  <c r="F42" i="31" s="1"/>
  <c r="G42" i="31" s="1"/>
  <c r="F41" i="31" l="1"/>
  <c r="E40" i="31"/>
  <c r="F27" i="75"/>
  <c r="G27" i="75" s="1"/>
  <c r="H42" i="31"/>
  <c r="I42" i="31" s="1"/>
  <c r="J42" i="31" s="1"/>
  <c r="K42" i="31" s="1"/>
  <c r="L42" i="31" s="1"/>
  <c r="M42" i="31" s="1"/>
  <c r="N42" i="31" s="1"/>
  <c r="O42" i="31" s="1"/>
  <c r="P42" i="31" s="1"/>
  <c r="G61" i="75"/>
  <c r="G60" i="75" s="1"/>
  <c r="P162" i="31"/>
  <c r="O162" i="31"/>
  <c r="N162" i="31"/>
  <c r="M162" i="31"/>
  <c r="L162" i="31"/>
  <c r="K162" i="31"/>
  <c r="J162" i="31"/>
  <c r="I162" i="31"/>
  <c r="H162" i="31"/>
  <c r="G162" i="31"/>
  <c r="F162" i="31"/>
  <c r="E162" i="31"/>
  <c r="D162" i="31"/>
  <c r="C162" i="31"/>
  <c r="E160" i="31"/>
  <c r="F160" i="31" s="1"/>
  <c r="G160" i="31" s="1"/>
  <c r="H160" i="31" s="1"/>
  <c r="I160" i="31" s="1"/>
  <c r="J160" i="31" s="1"/>
  <c r="K160" i="31" s="1"/>
  <c r="L160" i="31" s="1"/>
  <c r="M160" i="31" s="1"/>
  <c r="N160" i="31" s="1"/>
  <c r="O160" i="31" s="1"/>
  <c r="P160" i="31" s="1"/>
  <c r="C354" i="63"/>
  <c r="E157" i="31"/>
  <c r="F157" i="31" s="1"/>
  <c r="G157" i="31" s="1"/>
  <c r="H157" i="31" s="1"/>
  <c r="I157" i="31" s="1"/>
  <c r="J157" i="31" s="1"/>
  <c r="K157" i="31" s="1"/>
  <c r="L157" i="31" s="1"/>
  <c r="M157" i="31" s="1"/>
  <c r="N157" i="31" s="1"/>
  <c r="O157" i="31" s="1"/>
  <c r="P157" i="31" s="1"/>
  <c r="B151" i="31"/>
  <c r="B156" i="31" s="1"/>
  <c r="C270" i="63"/>
  <c r="C286" i="63" s="1"/>
  <c r="C8" i="82" s="1"/>
  <c r="D121" i="31"/>
  <c r="E121" i="31" s="1"/>
  <c r="F121" i="31" s="1"/>
  <c r="G121" i="31" s="1"/>
  <c r="H121" i="31" s="1"/>
  <c r="I121" i="31" s="1"/>
  <c r="J121" i="31" s="1"/>
  <c r="K121" i="31" s="1"/>
  <c r="L121" i="31" s="1"/>
  <c r="M121" i="31" s="1"/>
  <c r="N121" i="31" s="1"/>
  <c r="O121" i="31" s="1"/>
  <c r="P121" i="31" s="1"/>
  <c r="F320" i="63"/>
  <c r="F319" i="63"/>
  <c r="D79" i="31"/>
  <c r="P18" i="31"/>
  <c r="E17" i="31"/>
  <c r="E165" i="31" s="1"/>
  <c r="E403" i="63" s="1"/>
  <c r="E16" i="82" l="1"/>
  <c r="C355" i="63"/>
  <c r="C379" i="63"/>
  <c r="C380" i="63" s="1"/>
  <c r="C466" i="63" s="1"/>
  <c r="C12" i="82" s="1"/>
  <c r="C313" i="63"/>
  <c r="D314" i="63" s="1"/>
  <c r="G41" i="31"/>
  <c r="F40" i="31"/>
  <c r="F26" i="75"/>
  <c r="G26" i="75"/>
  <c r="H27" i="75"/>
  <c r="H26" i="75" s="1"/>
  <c r="C158" i="31"/>
  <c r="C520" i="63"/>
  <c r="F53" i="31"/>
  <c r="F55" i="31" s="1"/>
  <c r="E52" i="31"/>
  <c r="E57" i="31"/>
  <c r="E59" i="31" s="1"/>
  <c r="D56" i="31"/>
  <c r="C145" i="31"/>
  <c r="C179" i="31" s="1"/>
  <c r="H61" i="75"/>
  <c r="H60" i="75" s="1"/>
  <c r="C126" i="31"/>
  <c r="D52" i="31"/>
  <c r="H17" i="31"/>
  <c r="F19" i="80" s="1"/>
  <c r="J17" i="31"/>
  <c r="L17" i="31"/>
  <c r="N17" i="31"/>
  <c r="P17" i="31"/>
  <c r="I17" i="31"/>
  <c r="G19" i="80" s="1"/>
  <c r="K17" i="31"/>
  <c r="M17" i="31"/>
  <c r="O17" i="31"/>
  <c r="G40" i="31" l="1"/>
  <c r="H41" i="31"/>
  <c r="I27" i="75"/>
  <c r="I26" i="75" s="1"/>
  <c r="G53" i="31"/>
  <c r="G55" i="31" s="1"/>
  <c r="F57" i="31"/>
  <c r="F59" i="31" s="1"/>
  <c r="E56" i="31"/>
  <c r="J27" i="75"/>
  <c r="J26" i="75" s="1"/>
  <c r="I61" i="75"/>
  <c r="I60" i="75" s="1"/>
  <c r="G17" i="31"/>
  <c r="F17" i="31"/>
  <c r="I41" i="31" l="1"/>
  <c r="H40" i="31"/>
  <c r="H53" i="31"/>
  <c r="H55" i="31" s="1"/>
  <c r="G57" i="31"/>
  <c r="G59" i="31" s="1"/>
  <c r="K27" i="75"/>
  <c r="K26" i="75" s="1"/>
  <c r="J61" i="75"/>
  <c r="J60" i="75" s="1"/>
  <c r="J41" i="31" l="1"/>
  <c r="I40" i="31"/>
  <c r="I53" i="31"/>
  <c r="I55" i="31" s="1"/>
  <c r="H57" i="31"/>
  <c r="H59" i="31" s="1"/>
  <c r="L27" i="75"/>
  <c r="L26" i="75" s="1"/>
  <c r="K61" i="75"/>
  <c r="K60" i="75" s="1"/>
  <c r="K41" i="31" l="1"/>
  <c r="J40" i="31"/>
  <c r="J53" i="31"/>
  <c r="J55" i="31" s="1"/>
  <c r="I57" i="31"/>
  <c r="I59" i="31" s="1"/>
  <c r="M27" i="75"/>
  <c r="M26" i="75" s="1"/>
  <c r="L61" i="75"/>
  <c r="L60" i="75" s="1"/>
  <c r="K53" i="31"/>
  <c r="K55" i="31" s="1"/>
  <c r="L41" i="31" l="1"/>
  <c r="K40" i="31"/>
  <c r="J57" i="31"/>
  <c r="J59" i="31" s="1"/>
  <c r="N27" i="75"/>
  <c r="N26" i="75" s="1"/>
  <c r="M61" i="75"/>
  <c r="M60" i="75" s="1"/>
  <c r="L53" i="31"/>
  <c r="L55" i="31" s="1"/>
  <c r="M41" i="31" l="1"/>
  <c r="L40" i="31"/>
  <c r="K57" i="31"/>
  <c r="K59" i="31" s="1"/>
  <c r="O27" i="75"/>
  <c r="O26" i="75" s="1"/>
  <c r="N61" i="75"/>
  <c r="N60" i="75" s="1"/>
  <c r="M53" i="31"/>
  <c r="M55" i="31" s="1"/>
  <c r="N41" i="31" l="1"/>
  <c r="M40" i="31"/>
  <c r="L57" i="31"/>
  <c r="L59" i="31" s="1"/>
  <c r="P27" i="75"/>
  <c r="P26" i="75" s="1"/>
  <c r="O61" i="75"/>
  <c r="O60" i="75" s="1"/>
  <c r="N53" i="31"/>
  <c r="N55" i="31" s="1"/>
  <c r="O41" i="31" l="1"/>
  <c r="N40" i="31"/>
  <c r="M57" i="31"/>
  <c r="M59" i="31" s="1"/>
  <c r="P61" i="75"/>
  <c r="P60" i="75" s="1"/>
  <c r="O53" i="31"/>
  <c r="O55" i="31" s="1"/>
  <c r="P41" i="31" l="1"/>
  <c r="P40" i="31" s="1"/>
  <c r="O40" i="31"/>
  <c r="N57" i="31"/>
  <c r="N59" i="31" s="1"/>
  <c r="P53" i="31"/>
  <c r="P55" i="31" s="1"/>
  <c r="O57" i="31" l="1"/>
  <c r="O59" i="31" s="1"/>
  <c r="P57" i="31" l="1"/>
  <c r="P59" i="31" s="1"/>
  <c r="C210" i="75" l="1"/>
  <c r="D210" i="75" l="1"/>
  <c r="D204" i="75"/>
  <c r="C204" i="75" l="1"/>
  <c r="D205" i="75" s="1"/>
  <c r="E289" i="75" s="1"/>
  <c r="C39" i="31" l="1"/>
  <c r="C122" i="63" s="1"/>
  <c r="C133" i="76" l="1"/>
  <c r="P129" i="76"/>
  <c r="O129" i="76"/>
  <c r="N129" i="76"/>
  <c r="M129" i="76"/>
  <c r="L129" i="76"/>
  <c r="K129" i="76"/>
  <c r="J129" i="76"/>
  <c r="I129" i="76"/>
  <c r="H129" i="76"/>
  <c r="G129" i="76"/>
  <c r="F129" i="76"/>
  <c r="E129" i="76"/>
  <c r="D129" i="76"/>
  <c r="C129" i="76"/>
  <c r="E127" i="76"/>
  <c r="F127" i="76" s="1"/>
  <c r="G127" i="76" s="1"/>
  <c r="H127" i="76" s="1"/>
  <c r="I127" i="76" s="1"/>
  <c r="J127" i="76" s="1"/>
  <c r="K127" i="76" s="1"/>
  <c r="L127" i="76" s="1"/>
  <c r="M127" i="76" s="1"/>
  <c r="N127" i="76" s="1"/>
  <c r="O127" i="76" s="1"/>
  <c r="P127" i="76" s="1"/>
  <c r="E124" i="76"/>
  <c r="F124" i="76" s="1"/>
  <c r="G124" i="76" s="1"/>
  <c r="H124" i="76" s="1"/>
  <c r="I124" i="76" s="1"/>
  <c r="J124" i="76" s="1"/>
  <c r="K124" i="76" s="1"/>
  <c r="L124" i="76" s="1"/>
  <c r="M124" i="76" s="1"/>
  <c r="N124" i="76" s="1"/>
  <c r="O124" i="76" s="1"/>
  <c r="P124" i="76" s="1"/>
  <c r="B119" i="76"/>
  <c r="B123" i="76" s="1"/>
  <c r="D92" i="76"/>
  <c r="E92" i="76" s="1"/>
  <c r="F92" i="76" s="1"/>
  <c r="G92" i="76" s="1"/>
  <c r="H92" i="76" s="1"/>
  <c r="I92" i="76" s="1"/>
  <c r="J92" i="76" s="1"/>
  <c r="K92" i="76" s="1"/>
  <c r="L92" i="76" s="1"/>
  <c r="M92" i="76" s="1"/>
  <c r="N92" i="76" s="1"/>
  <c r="O92" i="76" s="1"/>
  <c r="P92" i="76" s="1"/>
  <c r="I69" i="76"/>
  <c r="H69" i="76"/>
  <c r="G69" i="76"/>
  <c r="F69" i="76"/>
  <c r="E69" i="76"/>
  <c r="D69" i="76"/>
  <c r="C69" i="76"/>
  <c r="C137" i="76" s="1"/>
  <c r="P46" i="76"/>
  <c r="O46" i="76"/>
  <c r="N46" i="76"/>
  <c r="M46" i="76"/>
  <c r="L46" i="76"/>
  <c r="K46" i="76"/>
  <c r="E46" i="76"/>
  <c r="D46" i="76"/>
  <c r="C46" i="76"/>
  <c r="C210" i="63"/>
  <c r="E22" i="76"/>
  <c r="E17" i="76" s="1"/>
  <c r="F17" i="76" s="1"/>
  <c r="D22" i="76"/>
  <c r="C22" i="76"/>
  <c r="C216" i="63"/>
  <c r="F14" i="76"/>
  <c r="G14" i="76" s="1"/>
  <c r="H14" i="76" s="1"/>
  <c r="I14" i="76" s="1"/>
  <c r="J14" i="76" s="1"/>
  <c r="K14" i="76" s="1"/>
  <c r="L14" i="76" s="1"/>
  <c r="M14" i="76" s="1"/>
  <c r="N14" i="76" s="1"/>
  <c r="O14" i="76" s="1"/>
  <c r="P14" i="76" s="1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B3" i="76"/>
  <c r="A3" i="76"/>
  <c r="P284" i="75"/>
  <c r="O284" i="75"/>
  <c r="N284" i="75"/>
  <c r="M284" i="75"/>
  <c r="L284" i="75"/>
  <c r="K284" i="75"/>
  <c r="J284" i="75"/>
  <c r="I284" i="75"/>
  <c r="H284" i="75"/>
  <c r="G284" i="75"/>
  <c r="F284" i="75"/>
  <c r="E284" i="75"/>
  <c r="D284" i="75"/>
  <c r="C284" i="75"/>
  <c r="E282" i="75"/>
  <c r="F282" i="75" s="1"/>
  <c r="G282" i="75" s="1"/>
  <c r="D279" i="75"/>
  <c r="E279" i="75" s="1"/>
  <c r="F279" i="75" s="1"/>
  <c r="G279" i="75" s="1"/>
  <c r="C279" i="75"/>
  <c r="B274" i="75"/>
  <c r="C252" i="75"/>
  <c r="C245" i="75"/>
  <c r="D245" i="75" s="1"/>
  <c r="E245" i="75" s="1"/>
  <c r="F245" i="75" s="1"/>
  <c r="G245" i="75" s="1"/>
  <c r="H245" i="75" s="1"/>
  <c r="I245" i="75" s="1"/>
  <c r="J245" i="75" s="1"/>
  <c r="K245" i="75" s="1"/>
  <c r="L245" i="75" s="1"/>
  <c r="M245" i="75" s="1"/>
  <c r="N245" i="75" s="1"/>
  <c r="O245" i="75" s="1"/>
  <c r="P245" i="75" s="1"/>
  <c r="I220" i="75"/>
  <c r="H220" i="75"/>
  <c r="F220" i="75"/>
  <c r="E220" i="75"/>
  <c r="D220" i="75"/>
  <c r="C220" i="75"/>
  <c r="P108" i="75"/>
  <c r="O108" i="75"/>
  <c r="N108" i="75"/>
  <c r="M108" i="75"/>
  <c r="L108" i="75"/>
  <c r="K108" i="75"/>
  <c r="J108" i="75"/>
  <c r="I108" i="75"/>
  <c r="H108" i="75"/>
  <c r="G108" i="75"/>
  <c r="F108" i="75"/>
  <c r="E108" i="75"/>
  <c r="D108" i="75"/>
  <c r="C108" i="75"/>
  <c r="C102" i="75"/>
  <c r="C42" i="75"/>
  <c r="D42" i="75" s="1"/>
  <c r="E42" i="75" s="1"/>
  <c r="F42" i="75" s="1"/>
  <c r="G42" i="75" s="1"/>
  <c r="H42" i="75" s="1"/>
  <c r="I42" i="75" s="1"/>
  <c r="J42" i="75" s="1"/>
  <c r="K42" i="75" s="1"/>
  <c r="L42" i="75" s="1"/>
  <c r="M42" i="75" s="1"/>
  <c r="N42" i="75" s="1"/>
  <c r="O42" i="75" s="1"/>
  <c r="P42" i="75" s="1"/>
  <c r="C12" i="75"/>
  <c r="D12" i="75" s="1"/>
  <c r="E12" i="75" s="1"/>
  <c r="F12" i="75" s="1"/>
  <c r="G12" i="75" s="1"/>
  <c r="H12" i="75" s="1"/>
  <c r="I12" i="75" s="1"/>
  <c r="J12" i="75" s="1"/>
  <c r="K12" i="75" s="1"/>
  <c r="L12" i="75" s="1"/>
  <c r="M12" i="75" s="1"/>
  <c r="N12" i="75" s="1"/>
  <c r="O12" i="75" s="1"/>
  <c r="P12" i="75" s="1"/>
  <c r="C11" i="75"/>
  <c r="C10" i="75"/>
  <c r="D10" i="75" s="1"/>
  <c r="E10" i="75" s="1"/>
  <c r="F10" i="75" s="1"/>
  <c r="G10" i="75" s="1"/>
  <c r="H10" i="75" s="1"/>
  <c r="I10" i="75" s="1"/>
  <c r="C8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B3" i="75"/>
  <c r="A3" i="75"/>
  <c r="D133" i="76" l="1"/>
  <c r="D393" i="63" s="1"/>
  <c r="C393" i="63"/>
  <c r="E217" i="63"/>
  <c r="E215" i="63" s="1"/>
  <c r="G17" i="76"/>
  <c r="H17" i="76" s="1"/>
  <c r="I17" i="76" s="1"/>
  <c r="D8" i="75"/>
  <c r="E8" i="75" s="1"/>
  <c r="F8" i="75" s="1"/>
  <c r="C7" i="75"/>
  <c r="C6" i="75" s="1"/>
  <c r="D11" i="75"/>
  <c r="C113" i="76"/>
  <c r="H279" i="75"/>
  <c r="I279" i="75" s="1"/>
  <c r="J279" i="75" s="1"/>
  <c r="K279" i="75" s="1"/>
  <c r="L279" i="75" s="1"/>
  <c r="M279" i="75" s="1"/>
  <c r="N279" i="75" s="1"/>
  <c r="O279" i="75" s="1"/>
  <c r="P279" i="75" s="1"/>
  <c r="H282" i="75"/>
  <c r="I282" i="75" s="1"/>
  <c r="J282" i="75" s="1"/>
  <c r="K282" i="75" s="1"/>
  <c r="L282" i="75" s="1"/>
  <c r="M282" i="75" s="1"/>
  <c r="N282" i="75" s="1"/>
  <c r="O282" i="75" s="1"/>
  <c r="P282" i="75" s="1"/>
  <c r="E137" i="76"/>
  <c r="E95" i="76"/>
  <c r="G137" i="76"/>
  <c r="G95" i="76"/>
  <c r="I137" i="76"/>
  <c r="I95" i="76"/>
  <c r="C208" i="63"/>
  <c r="E43" i="76"/>
  <c r="E210" i="63" s="1"/>
  <c r="D210" i="63"/>
  <c r="F95" i="76"/>
  <c r="H95" i="76"/>
  <c r="C524" i="63"/>
  <c r="C36" i="75"/>
  <c r="D75" i="75" s="1"/>
  <c r="F68" i="75"/>
  <c r="E67" i="75"/>
  <c r="F73" i="75"/>
  <c r="D15" i="76"/>
  <c r="E15" i="76"/>
  <c r="D66" i="76"/>
  <c r="E66" i="76" s="1"/>
  <c r="F66" i="76" s="1"/>
  <c r="G66" i="76" s="1"/>
  <c r="H66" i="76" s="1"/>
  <c r="I66" i="76" s="1"/>
  <c r="J66" i="76" s="1"/>
  <c r="K66" i="76" s="1"/>
  <c r="L66" i="76" s="1"/>
  <c r="M66" i="76" s="1"/>
  <c r="N66" i="76" s="1"/>
  <c r="O66" i="76" s="1"/>
  <c r="P66" i="76" s="1"/>
  <c r="C250" i="75"/>
  <c r="D94" i="76"/>
  <c r="E94" i="76" s="1"/>
  <c r="D247" i="75"/>
  <c r="E247" i="75" s="1"/>
  <c r="C97" i="76"/>
  <c r="J10" i="75"/>
  <c r="E13" i="76"/>
  <c r="D292" i="75"/>
  <c r="F292" i="75"/>
  <c r="H292" i="75"/>
  <c r="C280" i="75"/>
  <c r="C523" i="63" s="1"/>
  <c r="E180" i="63"/>
  <c r="D135" i="63"/>
  <c r="D208" i="75"/>
  <c r="D211" i="75"/>
  <c r="F248" i="75"/>
  <c r="H248" i="75"/>
  <c r="D13" i="76"/>
  <c r="C292" i="75"/>
  <c r="E292" i="75"/>
  <c r="I292" i="75"/>
  <c r="D180" i="63"/>
  <c r="F79" i="75"/>
  <c r="G220" i="75"/>
  <c r="E248" i="75"/>
  <c r="I248" i="75"/>
  <c r="C138" i="76"/>
  <c r="C141" i="76" s="1"/>
  <c r="C142" i="76" s="1"/>
  <c r="F16" i="76"/>
  <c r="F216" i="63" s="1"/>
  <c r="D113" i="76"/>
  <c r="D137" i="76"/>
  <c r="F137" i="76"/>
  <c r="H137" i="76"/>
  <c r="F217" i="63"/>
  <c r="C125" i="76"/>
  <c r="G68" i="75" l="1"/>
  <c r="G70" i="75" s="1"/>
  <c r="F70" i="75"/>
  <c r="G73" i="75"/>
  <c r="F215" i="63"/>
  <c r="C519" i="63"/>
  <c r="J17" i="76"/>
  <c r="K17" i="76" s="1"/>
  <c r="K217" i="63" s="1"/>
  <c r="E133" i="76"/>
  <c r="F43" i="76"/>
  <c r="F210" i="63" s="1"/>
  <c r="C31" i="75"/>
  <c r="C30" i="75" s="1"/>
  <c r="C29" i="75" s="1"/>
  <c r="C149" i="63" s="1"/>
  <c r="C5" i="75"/>
  <c r="C148" i="63" s="1"/>
  <c r="D7" i="75"/>
  <c r="D6" i="75" s="1"/>
  <c r="E11" i="75"/>
  <c r="E7" i="75" s="1"/>
  <c r="E6" i="75" s="1"/>
  <c r="C387" i="63"/>
  <c r="D424" i="63"/>
  <c r="F180" i="63"/>
  <c r="D208" i="63"/>
  <c r="D37" i="75"/>
  <c r="D36" i="75" s="1"/>
  <c r="E75" i="75" s="1"/>
  <c r="F15" i="76"/>
  <c r="D138" i="76"/>
  <c r="D141" i="76" s="1"/>
  <c r="D142" i="76" s="1"/>
  <c r="G292" i="75"/>
  <c r="G248" i="75"/>
  <c r="G79" i="75"/>
  <c r="K10" i="75"/>
  <c r="G8" i="75"/>
  <c r="H73" i="75"/>
  <c r="E424" i="63"/>
  <c r="E19" i="82" s="1"/>
  <c r="G217" i="63"/>
  <c r="E113" i="76"/>
  <c r="G16" i="76"/>
  <c r="G216" i="63" s="1"/>
  <c r="F94" i="76"/>
  <c r="F133" i="75"/>
  <c r="F131" i="75"/>
  <c r="C293" i="75"/>
  <c r="C296" i="75" s="1"/>
  <c r="C297" i="75" s="1"/>
  <c r="F247" i="75"/>
  <c r="H68" i="75"/>
  <c r="H70" i="75" s="1"/>
  <c r="G180" i="63"/>
  <c r="D473" i="63" l="1"/>
  <c r="D19" i="82"/>
  <c r="F133" i="76"/>
  <c r="E393" i="63"/>
  <c r="C154" i="63"/>
  <c r="L17" i="76"/>
  <c r="L217" i="63" s="1"/>
  <c r="J217" i="63"/>
  <c r="G215" i="63"/>
  <c r="G43" i="76"/>
  <c r="G210" i="63" s="1"/>
  <c r="M17" i="76"/>
  <c r="E37" i="75"/>
  <c r="E36" i="75" s="1"/>
  <c r="D31" i="75"/>
  <c r="D30" i="75" s="1"/>
  <c r="D29" i="75" s="1"/>
  <c r="D149" i="63" s="1"/>
  <c r="D5" i="75"/>
  <c r="D148" i="63" s="1"/>
  <c r="E5" i="75"/>
  <c r="E148" i="63" s="1"/>
  <c r="F11" i="75"/>
  <c r="F7" i="75" s="1"/>
  <c r="E135" i="63"/>
  <c r="E208" i="63"/>
  <c r="G15" i="76"/>
  <c r="F37" i="75"/>
  <c r="F36" i="75" s="1"/>
  <c r="F31" i="75" s="1"/>
  <c r="D293" i="75"/>
  <c r="D296" i="75" s="1"/>
  <c r="D297" i="75" s="1"/>
  <c r="C63" i="75"/>
  <c r="I68" i="75"/>
  <c r="I70" i="75" s="1"/>
  <c r="H16" i="76"/>
  <c r="H216" i="63" s="1"/>
  <c r="F113" i="76"/>
  <c r="I73" i="75"/>
  <c r="H8" i="75"/>
  <c r="L10" i="75"/>
  <c r="H79" i="75"/>
  <c r="H43" i="76"/>
  <c r="H210" i="63" s="1"/>
  <c r="G247" i="75"/>
  <c r="D293" i="63"/>
  <c r="G131" i="75"/>
  <c r="G133" i="75"/>
  <c r="G94" i="76"/>
  <c r="G133" i="76" l="1"/>
  <c r="F393" i="63"/>
  <c r="D154" i="63"/>
  <c r="E31" i="75"/>
  <c r="E30" i="75" s="1"/>
  <c r="E29" i="75" s="1"/>
  <c r="E149" i="63" s="1"/>
  <c r="E154" i="63" s="1"/>
  <c r="F75" i="75"/>
  <c r="G75" i="75"/>
  <c r="D72" i="75"/>
  <c r="D66" i="75" s="1"/>
  <c r="D65" i="75" s="1"/>
  <c r="D64" i="75" s="1"/>
  <c r="N17" i="76"/>
  <c r="M217" i="63"/>
  <c r="F6" i="75"/>
  <c r="F5" i="75" s="1"/>
  <c r="F148" i="63" s="1"/>
  <c r="I8" i="75"/>
  <c r="G11" i="75"/>
  <c r="G7" i="75" s="1"/>
  <c r="E72" i="75"/>
  <c r="F208" i="63"/>
  <c r="I217" i="63"/>
  <c r="H217" i="63"/>
  <c r="H215" i="63" s="1"/>
  <c r="I16" i="76"/>
  <c r="G37" i="75"/>
  <c r="G36" i="75" s="1"/>
  <c r="H15" i="76"/>
  <c r="R15" i="76" s="1"/>
  <c r="H133" i="75"/>
  <c r="H131" i="75"/>
  <c r="H247" i="75"/>
  <c r="I43" i="76"/>
  <c r="I210" i="63" s="1"/>
  <c r="I79" i="75"/>
  <c r="J68" i="75"/>
  <c r="J70" i="75" s="1"/>
  <c r="H94" i="76"/>
  <c r="M10" i="75"/>
  <c r="J73" i="75"/>
  <c r="G113" i="76"/>
  <c r="H180" i="63"/>
  <c r="H133" i="76" l="1"/>
  <c r="G393" i="63"/>
  <c r="G31" i="75"/>
  <c r="H75" i="75"/>
  <c r="D101" i="75"/>
  <c r="D262" i="75" s="1"/>
  <c r="D150" i="63"/>
  <c r="D99" i="75"/>
  <c r="I216" i="63"/>
  <c r="I215" i="63" s="1"/>
  <c r="J16" i="76"/>
  <c r="O17" i="76"/>
  <c r="N217" i="63"/>
  <c r="I15" i="76"/>
  <c r="G6" i="75"/>
  <c r="G5" i="75" s="1"/>
  <c r="G148" i="63" s="1"/>
  <c r="E66" i="75"/>
  <c r="E65" i="75" s="1"/>
  <c r="E64" i="75" s="1"/>
  <c r="E150" i="63" s="1"/>
  <c r="J8" i="75"/>
  <c r="H11" i="75"/>
  <c r="H7" i="75" s="1"/>
  <c r="F30" i="75"/>
  <c r="F29" i="75" s="1"/>
  <c r="F149" i="63" s="1"/>
  <c r="F154" i="63" s="1"/>
  <c r="G208" i="63"/>
  <c r="I180" i="63"/>
  <c r="H37" i="75"/>
  <c r="H36" i="75" s="1"/>
  <c r="G30" i="75"/>
  <c r="G29" i="75" s="1"/>
  <c r="G149" i="63" s="1"/>
  <c r="D63" i="75"/>
  <c r="E63" i="75"/>
  <c r="K73" i="75"/>
  <c r="N10" i="75"/>
  <c r="K68" i="75"/>
  <c r="K70" i="75" s="1"/>
  <c r="J79" i="75"/>
  <c r="I247" i="75"/>
  <c r="I131" i="75"/>
  <c r="I133" i="75"/>
  <c r="F13" i="76"/>
  <c r="H113" i="76"/>
  <c r="I94" i="76"/>
  <c r="J43" i="76"/>
  <c r="J210" i="63" s="1"/>
  <c r="I133" i="76" l="1"/>
  <c r="H393" i="63"/>
  <c r="D261" i="63"/>
  <c r="D297" i="63" s="1"/>
  <c r="G154" i="63"/>
  <c r="D151" i="63"/>
  <c r="D153" i="63" s="1"/>
  <c r="D11" i="76"/>
  <c r="D12" i="76" s="1"/>
  <c r="D261" i="75"/>
  <c r="C29" i="77" s="1"/>
  <c r="H31" i="75"/>
  <c r="I75" i="75"/>
  <c r="K16" i="76"/>
  <c r="J216" i="63"/>
  <c r="J215" i="63" s="1"/>
  <c r="P17" i="76"/>
  <c r="P217" i="63" s="1"/>
  <c r="O217" i="63"/>
  <c r="H6" i="75"/>
  <c r="H5" i="75" s="1"/>
  <c r="H148" i="63" s="1"/>
  <c r="E99" i="75"/>
  <c r="E101" i="75"/>
  <c r="K8" i="75"/>
  <c r="I11" i="75"/>
  <c r="I7" i="75" s="1"/>
  <c r="J180" i="63"/>
  <c r="H208" i="63"/>
  <c r="J15" i="76"/>
  <c r="I37" i="75"/>
  <c r="I36" i="75" s="1"/>
  <c r="H30" i="75"/>
  <c r="H29" i="75" s="1"/>
  <c r="H149" i="63" s="1"/>
  <c r="F63" i="75"/>
  <c r="K43" i="76"/>
  <c r="K210" i="63" s="1"/>
  <c r="J94" i="76"/>
  <c r="I113" i="76"/>
  <c r="J133" i="75"/>
  <c r="J131" i="75"/>
  <c r="K79" i="75"/>
  <c r="L68" i="75"/>
  <c r="L70" i="75" s="1"/>
  <c r="G13" i="76"/>
  <c r="J247" i="75"/>
  <c r="O10" i="75"/>
  <c r="L73" i="75"/>
  <c r="J133" i="76" l="1"/>
  <c r="I393" i="63"/>
  <c r="H154" i="63"/>
  <c r="I31" i="75"/>
  <c r="J75" i="75"/>
  <c r="L16" i="76"/>
  <c r="K216" i="63"/>
  <c r="K215" i="63" s="1"/>
  <c r="E11" i="76"/>
  <c r="E12" i="76" s="1"/>
  <c r="E151" i="63"/>
  <c r="E153" i="63" s="1"/>
  <c r="I6" i="75"/>
  <c r="I5" i="75" s="1"/>
  <c r="I148" i="63" s="1"/>
  <c r="L8" i="75"/>
  <c r="J11" i="75"/>
  <c r="J7" i="75" s="1"/>
  <c r="I208" i="63"/>
  <c r="K180" i="63"/>
  <c r="K15" i="76"/>
  <c r="J37" i="75"/>
  <c r="J36" i="75" s="1"/>
  <c r="I30" i="75"/>
  <c r="I29" i="75" s="1"/>
  <c r="I149" i="63" s="1"/>
  <c r="G63" i="75"/>
  <c r="M73" i="75"/>
  <c r="P10" i="75"/>
  <c r="H13" i="76"/>
  <c r="L43" i="76"/>
  <c r="L210" i="63" s="1"/>
  <c r="L180" i="63"/>
  <c r="M68" i="75"/>
  <c r="M70" i="75" s="1"/>
  <c r="L79" i="75"/>
  <c r="K131" i="75"/>
  <c r="K133" i="75"/>
  <c r="J113" i="76"/>
  <c r="K133" i="76" l="1"/>
  <c r="J393" i="63"/>
  <c r="I154" i="63"/>
  <c r="J31" i="75"/>
  <c r="J30" i="75" s="1"/>
  <c r="J29" i="75" s="1"/>
  <c r="J149" i="63" s="1"/>
  <c r="K75" i="75"/>
  <c r="L216" i="63"/>
  <c r="L215" i="63" s="1"/>
  <c r="M16" i="76"/>
  <c r="J6" i="75"/>
  <c r="J5" i="75" s="1"/>
  <c r="J148" i="63" s="1"/>
  <c r="M8" i="75"/>
  <c r="K11" i="75"/>
  <c r="K7" i="75" s="1"/>
  <c r="J208" i="63"/>
  <c r="L15" i="76"/>
  <c r="K37" i="75"/>
  <c r="K36" i="75" s="1"/>
  <c r="H63" i="75"/>
  <c r="K113" i="76"/>
  <c r="M43" i="76"/>
  <c r="M210" i="63" s="1"/>
  <c r="I13" i="76"/>
  <c r="N73" i="75"/>
  <c r="L133" i="75"/>
  <c r="L131" i="75"/>
  <c r="M79" i="75"/>
  <c r="N68" i="75"/>
  <c r="N70" i="75" s="1"/>
  <c r="L133" i="76" l="1"/>
  <c r="K393" i="63"/>
  <c r="J154" i="63"/>
  <c r="K31" i="75"/>
  <c r="L75" i="75"/>
  <c r="N16" i="76"/>
  <c r="M216" i="63"/>
  <c r="M215" i="63" s="1"/>
  <c r="K6" i="75"/>
  <c r="K5" i="75" s="1"/>
  <c r="K148" i="63" s="1"/>
  <c r="N8" i="75"/>
  <c r="L11" i="75"/>
  <c r="L7" i="75" s="1"/>
  <c r="K208" i="63"/>
  <c r="M180" i="63"/>
  <c r="M15" i="76"/>
  <c r="L37" i="75"/>
  <c r="L36" i="75" s="1"/>
  <c r="K30" i="75"/>
  <c r="K29" i="75" s="1"/>
  <c r="K149" i="63" s="1"/>
  <c r="I63" i="75"/>
  <c r="N79" i="75"/>
  <c r="M131" i="75"/>
  <c r="M133" i="75"/>
  <c r="N180" i="63"/>
  <c r="O68" i="75"/>
  <c r="O70" i="75" s="1"/>
  <c r="O73" i="75"/>
  <c r="N43" i="76"/>
  <c r="N210" i="63" s="1"/>
  <c r="L113" i="76"/>
  <c r="K154" i="63" l="1"/>
  <c r="M133" i="76"/>
  <c r="L393" i="63"/>
  <c r="L31" i="75"/>
  <c r="L30" i="75" s="1"/>
  <c r="L29" i="75" s="1"/>
  <c r="L149" i="63" s="1"/>
  <c r="M75" i="75"/>
  <c r="N216" i="63"/>
  <c r="N215" i="63" s="1"/>
  <c r="O16" i="76"/>
  <c r="L6" i="75"/>
  <c r="L5" i="75" s="1"/>
  <c r="L148" i="63" s="1"/>
  <c r="O8" i="75"/>
  <c r="M11" i="75"/>
  <c r="M7" i="75" s="1"/>
  <c r="L208" i="63"/>
  <c r="N15" i="76"/>
  <c r="M37" i="75"/>
  <c r="M36" i="75" s="1"/>
  <c r="J63" i="75"/>
  <c r="M113" i="76"/>
  <c r="O43" i="76"/>
  <c r="O210" i="63" s="1"/>
  <c r="P73" i="75"/>
  <c r="P68" i="75"/>
  <c r="P70" i="75" s="1"/>
  <c r="J13" i="76"/>
  <c r="N133" i="75"/>
  <c r="N131" i="75"/>
  <c r="O79" i="75"/>
  <c r="N133" i="76" l="1"/>
  <c r="M393" i="63"/>
  <c r="L154" i="63"/>
  <c r="M31" i="75"/>
  <c r="M30" i="75" s="1"/>
  <c r="M29" i="75" s="1"/>
  <c r="M149" i="63" s="1"/>
  <c r="N75" i="75"/>
  <c r="O216" i="63"/>
  <c r="O215" i="63" s="1"/>
  <c r="P16" i="76"/>
  <c r="P216" i="63" s="1"/>
  <c r="P215" i="63" s="1"/>
  <c r="M6" i="75"/>
  <c r="M5" i="75" s="1"/>
  <c r="M148" i="63" s="1"/>
  <c r="P8" i="75"/>
  <c r="N11" i="75"/>
  <c r="N7" i="75" s="1"/>
  <c r="O180" i="63"/>
  <c r="M208" i="63"/>
  <c r="O15" i="76"/>
  <c r="N37" i="75"/>
  <c r="N36" i="75" s="1"/>
  <c r="K63" i="75"/>
  <c r="P79" i="75"/>
  <c r="O131" i="75"/>
  <c r="O133" i="75"/>
  <c r="K13" i="76"/>
  <c r="P43" i="76"/>
  <c r="P210" i="63" s="1"/>
  <c r="N113" i="76"/>
  <c r="O133" i="76" l="1"/>
  <c r="N393" i="63"/>
  <c r="M154" i="63"/>
  <c r="N31" i="75"/>
  <c r="O75" i="75"/>
  <c r="N6" i="75"/>
  <c r="N5" i="75" s="1"/>
  <c r="N148" i="63" s="1"/>
  <c r="O11" i="75"/>
  <c r="O7" i="75" s="1"/>
  <c r="N208" i="63"/>
  <c r="P15" i="76"/>
  <c r="O37" i="75"/>
  <c r="O36" i="75" s="1"/>
  <c r="N30" i="75"/>
  <c r="N29" i="75" s="1"/>
  <c r="N149" i="63" s="1"/>
  <c r="L63" i="75"/>
  <c r="O113" i="76"/>
  <c r="L13" i="76"/>
  <c r="P133" i="75"/>
  <c r="P131" i="75"/>
  <c r="P180" i="63"/>
  <c r="P133" i="76" l="1"/>
  <c r="P393" i="63" s="1"/>
  <c r="O393" i="63"/>
  <c r="N154" i="63"/>
  <c r="O31" i="75"/>
  <c r="O30" i="75" s="1"/>
  <c r="O29" i="75" s="1"/>
  <c r="O149" i="63" s="1"/>
  <c r="P75" i="75"/>
  <c r="O6" i="75"/>
  <c r="O5" i="75" s="1"/>
  <c r="O148" i="63" s="1"/>
  <c r="P11" i="75"/>
  <c r="P7" i="75" s="1"/>
  <c r="O208" i="63"/>
  <c r="P37" i="75"/>
  <c r="P36" i="75" s="1"/>
  <c r="P31" i="75" s="1"/>
  <c r="M63" i="75"/>
  <c r="M13" i="76"/>
  <c r="P113" i="76"/>
  <c r="O154" i="63" l="1"/>
  <c r="P6" i="75"/>
  <c r="P5" i="75" s="1"/>
  <c r="P148" i="63" s="1"/>
  <c r="P208" i="63"/>
  <c r="P30" i="75"/>
  <c r="P29" i="75" s="1"/>
  <c r="P149" i="63" s="1"/>
  <c r="N63" i="75"/>
  <c r="N13" i="76"/>
  <c r="P154" i="63" l="1"/>
  <c r="O63" i="75"/>
  <c r="O13" i="76"/>
  <c r="P63" i="75" l="1"/>
  <c r="P13" i="76"/>
  <c r="E528" i="63" l="1"/>
  <c r="F528" i="63"/>
  <c r="G528" i="63"/>
  <c r="H528" i="63"/>
  <c r="I528" i="63"/>
  <c r="J528" i="63"/>
  <c r="K528" i="63"/>
  <c r="L528" i="63"/>
  <c r="M528" i="63"/>
  <c r="N528" i="63"/>
  <c r="O528" i="63"/>
  <c r="P528" i="63"/>
  <c r="E529" i="63"/>
  <c r="F529" i="63"/>
  <c r="G529" i="63"/>
  <c r="H529" i="63"/>
  <c r="I529" i="63"/>
  <c r="J529" i="63"/>
  <c r="K529" i="63"/>
  <c r="L529" i="63"/>
  <c r="M529" i="63"/>
  <c r="N529" i="63"/>
  <c r="O529" i="63"/>
  <c r="P529" i="63"/>
  <c r="D260" i="63" l="1"/>
  <c r="E260" i="63"/>
  <c r="D252" i="63"/>
  <c r="E252" i="63"/>
  <c r="F526" i="63" l="1"/>
  <c r="G526" i="63"/>
  <c r="H526" i="63"/>
  <c r="I526" i="63"/>
  <c r="J526" i="63"/>
  <c r="K526" i="63"/>
  <c r="L526" i="63"/>
  <c r="M526" i="63"/>
  <c r="N526" i="63"/>
  <c r="O526" i="63"/>
  <c r="P526" i="63"/>
  <c r="E526" i="63"/>
  <c r="C471" i="63"/>
  <c r="C18" i="82" s="1"/>
  <c r="A32" i="63" l="1"/>
  <c r="A31" i="63"/>
  <c r="D38" i="31" l="1"/>
  <c r="E38" i="31" s="1"/>
  <c r="F38" i="31" s="1"/>
  <c r="G38" i="31" s="1"/>
  <c r="H38" i="31" s="1"/>
  <c r="I38" i="31" s="1"/>
  <c r="J38" i="31" s="1"/>
  <c r="K38" i="31" s="1"/>
  <c r="L38" i="31" s="1"/>
  <c r="M38" i="31" s="1"/>
  <c r="N38" i="31" s="1"/>
  <c r="O38" i="31" s="1"/>
  <c r="P38" i="31" s="1"/>
  <c r="C36" i="31" l="1"/>
  <c r="D30" i="31"/>
  <c r="C27" i="31"/>
  <c r="C49" i="31"/>
  <c r="D189" i="63"/>
  <c r="F189" i="63"/>
  <c r="E189" i="63"/>
  <c r="D37" i="31"/>
  <c r="D50" i="31" s="1"/>
  <c r="D51" i="31"/>
  <c r="D123" i="63" s="1"/>
  <c r="E30" i="31" l="1"/>
  <c r="D27" i="31"/>
  <c r="E37" i="31"/>
  <c r="E50" i="31" s="1"/>
  <c r="D36" i="31"/>
  <c r="F30" i="31" l="1"/>
  <c r="E27" i="31"/>
  <c r="F37" i="31"/>
  <c r="F50" i="31" s="1"/>
  <c r="E36" i="31"/>
  <c r="G30" i="31" l="1"/>
  <c r="F27" i="31"/>
  <c r="G37" i="31"/>
  <c r="F36" i="31"/>
  <c r="K37" i="31" l="1"/>
  <c r="M37" i="31"/>
  <c r="O37" i="31"/>
  <c r="J37" i="31"/>
  <c r="H37" i="31"/>
  <c r="H50" i="31" s="1"/>
  <c r="L37" i="31"/>
  <c r="N37" i="31"/>
  <c r="P37" i="31"/>
  <c r="I37" i="31"/>
  <c r="G50" i="31"/>
  <c r="G27" i="31"/>
  <c r="H30" i="31"/>
  <c r="G36" i="31"/>
  <c r="H36" i="31" l="1"/>
  <c r="I50" i="31"/>
  <c r="H27" i="31"/>
  <c r="I30" i="31"/>
  <c r="J50" i="31"/>
  <c r="I36" i="31" l="1"/>
  <c r="J36" i="31"/>
  <c r="K50" i="31"/>
  <c r="I27" i="31"/>
  <c r="J30" i="31"/>
  <c r="J27" i="31" l="1"/>
  <c r="K30" i="31"/>
  <c r="K36" i="31"/>
  <c r="L50" i="31"/>
  <c r="M50" i="31" l="1"/>
  <c r="L36" i="31"/>
  <c r="K27" i="31"/>
  <c r="L30" i="31"/>
  <c r="M30" i="31" l="1"/>
  <c r="L27" i="31"/>
  <c r="M36" i="31"/>
  <c r="N50" i="31"/>
  <c r="N36" i="31" l="1"/>
  <c r="O50" i="31"/>
  <c r="M27" i="31"/>
  <c r="N30" i="31"/>
  <c r="N27" i="31" l="1"/>
  <c r="O30" i="31"/>
  <c r="O36" i="31"/>
  <c r="P36" i="31" l="1"/>
  <c r="P50" i="31"/>
  <c r="P30" i="31"/>
  <c r="P27" i="31" s="1"/>
  <c r="O27" i="31"/>
  <c r="D35" i="31" l="1"/>
  <c r="E35" i="31" l="1"/>
  <c r="F35" i="31" l="1"/>
  <c r="G35" i="31" l="1"/>
  <c r="C467" i="63"/>
  <c r="C13" i="82" s="1"/>
  <c r="H35" i="31" l="1"/>
  <c r="I35" i="31" l="1"/>
  <c r="J35" i="31" l="1"/>
  <c r="K35" i="31" l="1"/>
  <c r="L35" i="31" l="1"/>
  <c r="M35" i="31" l="1"/>
  <c r="N35" i="31" l="1"/>
  <c r="O35" i="31" l="1"/>
  <c r="P35" i="31" l="1"/>
  <c r="E51" i="31" l="1"/>
  <c r="E123" i="63" s="1"/>
  <c r="H124" i="31" l="1"/>
  <c r="I124" i="31"/>
  <c r="C170" i="31" l="1"/>
  <c r="C171" i="31" s="1"/>
  <c r="C174" i="31" s="1"/>
  <c r="C124" i="31"/>
  <c r="D123" i="31" s="1"/>
  <c r="D170" i="31"/>
  <c r="D124" i="31"/>
  <c r="E38" i="63"/>
  <c r="E37" i="63" s="1"/>
  <c r="E488" i="63" s="1"/>
  <c r="E487" i="63" s="1"/>
  <c r="I170" i="31"/>
  <c r="H170" i="31"/>
  <c r="E35" i="63" l="1"/>
  <c r="E115" i="63"/>
  <c r="E116" i="63" s="1"/>
  <c r="D171" i="31"/>
  <c r="D174" i="31" s="1"/>
  <c r="D175" i="31" s="1"/>
  <c r="E123" i="31"/>
  <c r="F124" i="31"/>
  <c r="E124" i="31"/>
  <c r="F123" i="31" s="1"/>
  <c r="E170" i="31"/>
  <c r="D296" i="80" l="1"/>
  <c r="E296" i="80"/>
  <c r="C296" i="80"/>
  <c r="C297" i="80" s="1"/>
  <c r="F170" i="31"/>
  <c r="G124" i="31"/>
  <c r="G123" i="31"/>
  <c r="G170" i="31"/>
  <c r="D297" i="80" l="1"/>
  <c r="E297" i="80" s="1"/>
  <c r="F297" i="80" s="1"/>
  <c r="G297" i="80" s="1"/>
  <c r="H297" i="80" s="1"/>
  <c r="I297" i="80" s="1"/>
  <c r="J297" i="80" s="1"/>
  <c r="K297" i="80" s="1"/>
  <c r="L297" i="80" s="1"/>
  <c r="M297" i="80" s="1"/>
  <c r="N297" i="80" s="1"/>
  <c r="C300" i="80"/>
  <c r="H123" i="31"/>
  <c r="I123" i="31" l="1"/>
  <c r="J123" i="31" l="1"/>
  <c r="F60" i="31" l="1"/>
  <c r="G60" i="31" s="1"/>
  <c r="H60" i="31" s="1"/>
  <c r="I60" i="31" s="1"/>
  <c r="J60" i="31" s="1"/>
  <c r="K60" i="31" s="1"/>
  <c r="L60" i="31" s="1"/>
  <c r="M60" i="31" s="1"/>
  <c r="N60" i="31" s="1"/>
  <c r="O60" i="31" s="1"/>
  <c r="P60" i="31" s="1"/>
  <c r="D287" i="63" l="1"/>
  <c r="D62" i="31"/>
  <c r="D140" i="31" l="1"/>
  <c r="D7" i="76"/>
  <c r="D124" i="63"/>
  <c r="E62" i="31"/>
  <c r="E7" i="76" s="1"/>
  <c r="C26" i="77" l="1"/>
  <c r="D249" i="63"/>
  <c r="D126" i="63"/>
  <c r="E124" i="63"/>
  <c r="E126" i="63" l="1"/>
  <c r="D248" i="63"/>
  <c r="D264" i="63" s="1"/>
  <c r="E248" i="63" l="1"/>
  <c r="E264" i="63" s="1"/>
  <c r="B4" i="31" l="1"/>
  <c r="C4" i="31"/>
  <c r="D4" i="31"/>
  <c r="E4" i="31"/>
  <c r="F4" i="31"/>
  <c r="G4" i="31"/>
  <c r="H4" i="31"/>
  <c r="I4" i="31"/>
  <c r="J4" i="31"/>
  <c r="K4" i="31"/>
  <c r="L4" i="31"/>
  <c r="M4" i="31"/>
  <c r="N4" i="31"/>
  <c r="O4" i="31"/>
  <c r="P4" i="31"/>
  <c r="A4" i="31"/>
  <c r="C228" i="63" l="1"/>
  <c r="D228" i="63"/>
  <c r="C25" i="31"/>
  <c r="C121" i="63" s="1"/>
  <c r="C29" i="31"/>
  <c r="D29" i="31" s="1"/>
  <c r="E29" i="31" s="1"/>
  <c r="F29" i="31" s="1"/>
  <c r="G29" i="31" s="1"/>
  <c r="H29" i="31" s="1"/>
  <c r="I29" i="31" s="1"/>
  <c r="J29" i="31" s="1"/>
  <c r="K29" i="31" s="1"/>
  <c r="L29" i="31" s="1"/>
  <c r="M29" i="31" s="1"/>
  <c r="N29" i="31" s="1"/>
  <c r="O29" i="31" s="1"/>
  <c r="P29" i="31" s="1"/>
  <c r="D28" i="31"/>
  <c r="D25" i="31" s="1"/>
  <c r="D121" i="63" l="1"/>
  <c r="D26" i="31"/>
  <c r="C26" i="31"/>
  <c r="E228" i="63"/>
  <c r="E28" i="31"/>
  <c r="E25" i="31" s="1"/>
  <c r="E121" i="63" s="1"/>
  <c r="D15" i="31"/>
  <c r="D138" i="31" s="1"/>
  <c r="C48" i="31" l="1"/>
  <c r="D168" i="63"/>
  <c r="D226" i="63"/>
  <c r="D242" i="63" s="1"/>
  <c r="E26" i="31"/>
  <c r="F22" i="31"/>
  <c r="F28" i="31"/>
  <c r="F25" i="31" s="1"/>
  <c r="F121" i="63" s="1"/>
  <c r="F9" i="31"/>
  <c r="E15" i="31"/>
  <c r="E138" i="31" s="1"/>
  <c r="H15" i="31"/>
  <c r="H138" i="31" s="1"/>
  <c r="F228" i="63" l="1"/>
  <c r="F192" i="31"/>
  <c r="H226" i="63"/>
  <c r="H242" i="63" s="1"/>
  <c r="H168" i="63"/>
  <c r="E226" i="63"/>
  <c r="E242" i="63" s="1"/>
  <c r="E168" i="63"/>
  <c r="F26" i="31"/>
  <c r="G22" i="31"/>
  <c r="G192" i="31" s="1"/>
  <c r="G28" i="31"/>
  <c r="I15" i="31"/>
  <c r="F15" i="31"/>
  <c r="F138" i="31" s="1"/>
  <c r="I138" i="31" l="1"/>
  <c r="I74" i="31"/>
  <c r="G228" i="63"/>
  <c r="H22" i="31"/>
  <c r="H192" i="31" s="1"/>
  <c r="G15" i="31"/>
  <c r="G138" i="31" s="1"/>
  <c r="G9" i="31"/>
  <c r="G25" i="31"/>
  <c r="G121" i="63" s="1"/>
  <c r="H28" i="31"/>
  <c r="H319" i="63"/>
  <c r="I226" i="63"/>
  <c r="I242" i="63" s="1"/>
  <c r="I168" i="63"/>
  <c r="F168" i="63"/>
  <c r="F226" i="63"/>
  <c r="J15" i="31"/>
  <c r="J138" i="31" s="1"/>
  <c r="G226" i="63" l="1"/>
  <c r="G242" i="63" s="1"/>
  <c r="G26" i="31"/>
  <c r="F242" i="63"/>
  <c r="G168" i="63"/>
  <c r="I22" i="31"/>
  <c r="I192" i="31" s="1"/>
  <c r="H228" i="63"/>
  <c r="I28" i="31"/>
  <c r="H25" i="31"/>
  <c r="J226" i="63"/>
  <c r="J242" i="63" s="1"/>
  <c r="J168" i="63"/>
  <c r="K15" i="31"/>
  <c r="K138" i="31" s="1"/>
  <c r="J22" i="31" l="1"/>
  <c r="J192" i="31" s="1"/>
  <c r="I228" i="63"/>
  <c r="J28" i="31"/>
  <c r="I25" i="31"/>
  <c r="H121" i="63"/>
  <c r="H26" i="31"/>
  <c r="K226" i="63"/>
  <c r="K242" i="63" s="1"/>
  <c r="K168" i="63"/>
  <c r="L15" i="31"/>
  <c r="L138" i="31" s="1"/>
  <c r="K22" i="31" l="1"/>
  <c r="K192" i="31" s="1"/>
  <c r="J228" i="63"/>
  <c r="K28" i="31"/>
  <c r="J25" i="31"/>
  <c r="I121" i="63"/>
  <c r="I26" i="31"/>
  <c r="L226" i="63"/>
  <c r="L242" i="63" s="1"/>
  <c r="L168" i="63"/>
  <c r="M15" i="31"/>
  <c r="M138" i="31" s="1"/>
  <c r="K228" i="63" l="1"/>
  <c r="L22" i="31"/>
  <c r="L192" i="31" s="1"/>
  <c r="L28" i="31"/>
  <c r="K25" i="31"/>
  <c r="J121" i="63"/>
  <c r="J26" i="31"/>
  <c r="M226" i="63"/>
  <c r="M242" i="63" s="1"/>
  <c r="M168" i="63"/>
  <c r="N15" i="31"/>
  <c r="N138" i="31" s="1"/>
  <c r="L228" i="63" l="1"/>
  <c r="M22" i="31"/>
  <c r="M192" i="31" s="1"/>
  <c r="M28" i="31"/>
  <c r="L25" i="31"/>
  <c r="K121" i="63"/>
  <c r="K26" i="31"/>
  <c r="N226" i="63"/>
  <c r="N242" i="63" s="1"/>
  <c r="N168" i="63"/>
  <c r="O15" i="31"/>
  <c r="O138" i="31" s="1"/>
  <c r="N22" i="31" l="1"/>
  <c r="N192" i="31" s="1"/>
  <c r="M228" i="63"/>
  <c r="L121" i="63"/>
  <c r="L26" i="31"/>
  <c r="N28" i="31"/>
  <c r="M25" i="31"/>
  <c r="O226" i="63"/>
  <c r="O242" i="63" s="1"/>
  <c r="O168" i="63"/>
  <c r="P15" i="31"/>
  <c r="P138" i="31" s="1"/>
  <c r="O22" i="31" l="1"/>
  <c r="O192" i="31" s="1"/>
  <c r="N228" i="63"/>
  <c r="O28" i="31"/>
  <c r="N25" i="31"/>
  <c r="M121" i="63"/>
  <c r="M26" i="31"/>
  <c r="P226" i="63"/>
  <c r="P242" i="63" s="1"/>
  <c r="P168" i="63"/>
  <c r="O228" i="63" l="1"/>
  <c r="P22" i="31"/>
  <c r="P192" i="31" s="1"/>
  <c r="P28" i="31"/>
  <c r="P25" i="31" s="1"/>
  <c r="O25" i="31"/>
  <c r="N121" i="63"/>
  <c r="N26" i="31"/>
  <c r="P228" i="63" l="1"/>
  <c r="P121" i="63"/>
  <c r="P26" i="31"/>
  <c r="O121" i="63"/>
  <c r="O26" i="31"/>
  <c r="D14" i="31" l="1"/>
  <c r="E14" i="31"/>
  <c r="F14" i="31"/>
  <c r="G14" i="31"/>
  <c r="C14" i="31"/>
  <c r="D6" i="31"/>
  <c r="E6" i="31" s="1"/>
  <c r="F6" i="31" s="1"/>
  <c r="G6" i="31" s="1"/>
  <c r="H6" i="31" s="1"/>
  <c r="I6" i="31" s="1"/>
  <c r="J6" i="31" s="1"/>
  <c r="K6" i="31" s="1"/>
  <c r="L6" i="31" s="1"/>
  <c r="M6" i="31" s="1"/>
  <c r="N6" i="31" s="1"/>
  <c r="O6" i="31" s="1"/>
  <c r="P6" i="31" s="1"/>
  <c r="P13" i="31" l="1"/>
  <c r="O13" i="31"/>
  <c r="M13" i="31"/>
  <c r="K13" i="31"/>
  <c r="I13" i="31"/>
  <c r="N13" i="31"/>
  <c r="L13" i="31"/>
  <c r="J13" i="31"/>
  <c r="H13" i="31"/>
  <c r="G13" i="31"/>
  <c r="G12" i="31" s="1"/>
  <c r="P14" i="31"/>
  <c r="P12" i="31" s="1"/>
  <c r="N14" i="31"/>
  <c r="N12" i="31" s="1"/>
  <c r="L14" i="31"/>
  <c r="L12" i="31" s="1"/>
  <c r="J14" i="31"/>
  <c r="J12" i="31" s="1"/>
  <c r="H14" i="31"/>
  <c r="H12" i="31" s="1"/>
  <c r="F13" i="31"/>
  <c r="F12" i="31" s="1"/>
  <c r="D13" i="31"/>
  <c r="D12" i="31" s="1"/>
  <c r="C13" i="31"/>
  <c r="C12" i="31" s="1"/>
  <c r="O14" i="31"/>
  <c r="M14" i="31"/>
  <c r="K14" i="31"/>
  <c r="I14" i="31"/>
  <c r="E13" i="31"/>
  <c r="E12" i="31" s="1"/>
  <c r="K12" i="31" l="1"/>
  <c r="O12" i="31"/>
  <c r="I12" i="31"/>
  <c r="M12" i="31"/>
  <c r="C5" i="31"/>
  <c r="C166" i="63" s="1"/>
  <c r="D5" i="31"/>
  <c r="E5" i="31"/>
  <c r="F5" i="31"/>
  <c r="G5" i="31"/>
  <c r="G166" i="63" s="1"/>
  <c r="H5" i="31"/>
  <c r="I5" i="31"/>
  <c r="J5" i="31"/>
  <c r="K5" i="31"/>
  <c r="L5" i="31"/>
  <c r="M5" i="31"/>
  <c r="N5" i="31"/>
  <c r="O5" i="31"/>
  <c r="P5" i="31"/>
  <c r="E8" i="31"/>
  <c r="E139" i="31" s="1"/>
  <c r="F8" i="31"/>
  <c r="F139" i="31" s="1"/>
  <c r="G8" i="31"/>
  <c r="H8" i="31"/>
  <c r="H139" i="31" s="1"/>
  <c r="I8" i="31"/>
  <c r="I139" i="31" s="1"/>
  <c r="J8" i="31"/>
  <c r="J139" i="31" s="1"/>
  <c r="K8" i="31"/>
  <c r="K139" i="31" s="1"/>
  <c r="L8" i="31"/>
  <c r="L139" i="31" s="1"/>
  <c r="M8" i="31"/>
  <c r="M139" i="31" s="1"/>
  <c r="N8" i="31"/>
  <c r="N139" i="31" s="1"/>
  <c r="O8" i="31"/>
  <c r="O139" i="31" s="1"/>
  <c r="P8" i="31"/>
  <c r="P139" i="31" s="1"/>
  <c r="D8" i="31"/>
  <c r="D139" i="31" s="1"/>
  <c r="C8" i="31"/>
  <c r="C139" i="31" s="1"/>
  <c r="N195" i="63"/>
  <c r="O195" i="63"/>
  <c r="P195" i="63"/>
  <c r="G195" i="63"/>
  <c r="H195" i="63"/>
  <c r="I195" i="63"/>
  <c r="K195" i="63"/>
  <c r="L195" i="63"/>
  <c r="M195" i="63"/>
  <c r="B501" i="63"/>
  <c r="B496" i="63"/>
  <c r="B481" i="63"/>
  <c r="B478" i="63"/>
  <c r="B38" i="63"/>
  <c r="H543" i="63"/>
  <c r="G543" i="63"/>
  <c r="J195" i="63"/>
  <c r="E195" i="63"/>
  <c r="D487" i="63" l="1"/>
  <c r="D489" i="63"/>
  <c r="D24" i="82" s="1"/>
  <c r="D23" i="82" s="1"/>
  <c r="P229" i="63"/>
  <c r="O9" i="77"/>
  <c r="O8" i="77" s="1"/>
  <c r="L229" i="63"/>
  <c r="K9" i="77"/>
  <c r="J229" i="63"/>
  <c r="I9" i="77"/>
  <c r="I8" i="77" s="1"/>
  <c r="H229" i="63"/>
  <c r="G9" i="77"/>
  <c r="G8" i="77" s="1"/>
  <c r="F229" i="63"/>
  <c r="E9" i="77"/>
  <c r="E8" i="77" s="1"/>
  <c r="D229" i="63"/>
  <c r="D291" i="63" s="1"/>
  <c r="C9" i="77"/>
  <c r="C8" i="77" s="1"/>
  <c r="O229" i="63"/>
  <c r="N9" i="77"/>
  <c r="N8" i="77" s="1"/>
  <c r="M229" i="63"/>
  <c r="L9" i="77"/>
  <c r="L8" i="77" s="1"/>
  <c r="K229" i="63"/>
  <c r="J9" i="77"/>
  <c r="J8" i="77" s="1"/>
  <c r="I229" i="63"/>
  <c r="H9" i="77"/>
  <c r="H8" i="77" s="1"/>
  <c r="E229" i="63"/>
  <c r="D9" i="77"/>
  <c r="N229" i="63"/>
  <c r="M9" i="77"/>
  <c r="M8" i="77" s="1"/>
  <c r="B46" i="63"/>
  <c r="B47" i="63" s="1"/>
  <c r="B48" i="63" s="1"/>
  <c r="B49" i="63" s="1"/>
  <c r="B39" i="63"/>
  <c r="B40" i="63" s="1"/>
  <c r="B41" i="63" s="1"/>
  <c r="B42" i="63" s="1"/>
  <c r="K8" i="77"/>
  <c r="D8" i="77"/>
  <c r="D543" i="63"/>
  <c r="I543" i="63"/>
  <c r="G167" i="63"/>
  <c r="G172" i="63" s="1"/>
  <c r="G139" i="31"/>
  <c r="O166" i="63"/>
  <c r="O193" i="63" s="1"/>
  <c r="M166" i="63"/>
  <c r="M193" i="63" s="1"/>
  <c r="K166" i="63"/>
  <c r="K193" i="63" s="1"/>
  <c r="I166" i="63"/>
  <c r="I193" i="63" s="1"/>
  <c r="E166" i="63"/>
  <c r="E193" i="63" s="1"/>
  <c r="P166" i="63"/>
  <c r="P193" i="63" s="1"/>
  <c r="N166" i="63"/>
  <c r="N193" i="63" s="1"/>
  <c r="L166" i="63"/>
  <c r="L193" i="63" s="1"/>
  <c r="J166" i="63"/>
  <c r="H166" i="63"/>
  <c r="H193" i="63" s="1"/>
  <c r="F166" i="63"/>
  <c r="F193" i="63" s="1"/>
  <c r="D166" i="63"/>
  <c r="P167" i="63"/>
  <c r="N167" i="63"/>
  <c r="L167" i="63"/>
  <c r="J167" i="63"/>
  <c r="H167" i="63"/>
  <c r="O167" i="63"/>
  <c r="M167" i="63"/>
  <c r="K167" i="63"/>
  <c r="I167" i="63"/>
  <c r="C167" i="63"/>
  <c r="C172" i="63" s="1"/>
  <c r="D167" i="63"/>
  <c r="F167" i="63"/>
  <c r="E167" i="63"/>
  <c r="E172" i="63" s="1"/>
  <c r="C193" i="63"/>
  <c r="D194" i="63"/>
  <c r="E543" i="63"/>
  <c r="F543" i="63"/>
  <c r="C127" i="63"/>
  <c r="C11" i="31"/>
  <c r="D195" i="63"/>
  <c r="D11" i="31"/>
  <c r="P11" i="31"/>
  <c r="N11" i="31"/>
  <c r="L11" i="31"/>
  <c r="J11" i="31"/>
  <c r="H11" i="31"/>
  <c r="F11" i="31"/>
  <c r="O11" i="31"/>
  <c r="M11" i="31"/>
  <c r="K11" i="31"/>
  <c r="I11" i="31"/>
  <c r="G11" i="31"/>
  <c r="E11" i="31"/>
  <c r="G193" i="63"/>
  <c r="G229" i="63" l="1"/>
  <c r="F9" i="77"/>
  <c r="F8" i="77" s="1"/>
  <c r="F172" i="63"/>
  <c r="K172" i="63"/>
  <c r="O172" i="63"/>
  <c r="J172" i="63"/>
  <c r="N172" i="63"/>
  <c r="D172" i="63"/>
  <c r="I172" i="63"/>
  <c r="M172" i="63"/>
  <c r="H172" i="63"/>
  <c r="L172" i="63"/>
  <c r="P172" i="63"/>
  <c r="B50" i="63"/>
  <c r="B51" i="63" s="1"/>
  <c r="B52" i="63" s="1"/>
  <c r="F194" i="63"/>
  <c r="F199" i="63" s="1"/>
  <c r="D193" i="63"/>
  <c r="D199" i="63" s="1"/>
  <c r="J193" i="63"/>
  <c r="C194" i="63"/>
  <c r="C199" i="63" s="1"/>
  <c r="C175" i="31"/>
  <c r="E61" i="31"/>
  <c r="D61" i="31"/>
  <c r="D459" i="63" l="1"/>
  <c r="D5" i="82" s="1"/>
  <c r="D137" i="31"/>
  <c r="G194" i="63"/>
  <c r="G199" i="63" s="1"/>
  <c r="E194" i="63"/>
  <c r="E199" i="63" s="1"/>
  <c r="D244" i="63" l="1"/>
  <c r="D307" i="63" s="1"/>
  <c r="E244" i="63"/>
  <c r="E307" i="63" s="1"/>
  <c r="E459" i="63"/>
  <c r="E5" i="82" s="1"/>
  <c r="E308" i="63" l="1"/>
  <c r="F244" i="63"/>
  <c r="F307" i="63" s="1"/>
  <c r="F308" i="63" s="1"/>
  <c r="F459" i="63"/>
  <c r="F5" i="82" s="1"/>
  <c r="G244" i="63" l="1"/>
  <c r="G307" i="63" s="1"/>
  <c r="G308" i="63" s="1"/>
  <c r="G459" i="63"/>
  <c r="G5" i="82" s="1"/>
  <c r="H244" i="63" l="1"/>
  <c r="F195" i="63"/>
  <c r="I244" i="63" l="1"/>
  <c r="J244" i="63" l="1"/>
  <c r="K244" i="63" l="1"/>
  <c r="L244" i="63" l="1"/>
  <c r="M244" i="63" l="1"/>
  <c r="N244" i="63" l="1"/>
  <c r="O244" i="63" l="1"/>
  <c r="P244" i="63" l="1"/>
  <c r="D49" i="31" l="1"/>
  <c r="D39" i="31"/>
  <c r="D122" i="63" l="1"/>
  <c r="D127" i="63" s="1"/>
  <c r="D48" i="31"/>
  <c r="I49" i="31" l="1"/>
  <c r="L49" i="31"/>
  <c r="M49" i="31"/>
  <c r="P49" i="31"/>
  <c r="E49" i="31"/>
  <c r="P39" i="31" l="1"/>
  <c r="N49" i="31"/>
  <c r="N39" i="31"/>
  <c r="N122" i="63" s="1"/>
  <c r="N127" i="63" s="1"/>
  <c r="F49" i="31"/>
  <c r="F39" i="31"/>
  <c r="F122" i="63" s="1"/>
  <c r="F127" i="63" s="1"/>
  <c r="K49" i="31"/>
  <c r="K39" i="31"/>
  <c r="K122" i="63" s="1"/>
  <c r="K127" i="63" s="1"/>
  <c r="J49" i="31"/>
  <c r="J39" i="31"/>
  <c r="J122" i="63" s="1"/>
  <c r="J127" i="63" s="1"/>
  <c r="O49" i="31"/>
  <c r="O39" i="31"/>
  <c r="O122" i="63" s="1"/>
  <c r="O127" i="63" s="1"/>
  <c r="G49" i="31"/>
  <c r="G39" i="31"/>
  <c r="G122" i="63" s="1"/>
  <c r="G127" i="63" s="1"/>
  <c r="E39" i="31"/>
  <c r="E122" i="63" s="1"/>
  <c r="E127" i="63" s="1"/>
  <c r="M39" i="31"/>
  <c r="M122" i="63" s="1"/>
  <c r="M127" i="63" s="1"/>
  <c r="L39" i="31"/>
  <c r="L122" i="63" s="1"/>
  <c r="L127" i="63" s="1"/>
  <c r="I39" i="31"/>
  <c r="I122" i="63" s="1"/>
  <c r="I127" i="63" s="1"/>
  <c r="H49" i="31"/>
  <c r="H39" i="31"/>
  <c r="H122" i="63" s="1"/>
  <c r="H127" i="63" s="1"/>
  <c r="P122" i="63" l="1"/>
  <c r="P127" i="63" s="1"/>
  <c r="P48" i="31"/>
  <c r="L48" i="31"/>
  <c r="E48" i="31"/>
  <c r="H48" i="31"/>
  <c r="I48" i="31"/>
  <c r="M48" i="31"/>
  <c r="G48" i="31"/>
  <c r="O48" i="31"/>
  <c r="J48" i="31"/>
  <c r="K48" i="31"/>
  <c r="F48" i="31"/>
  <c r="N48" i="31"/>
  <c r="E319" i="63" l="1"/>
  <c r="D319" i="63"/>
  <c r="G319" i="63" l="1"/>
  <c r="F132" i="75" l="1"/>
  <c r="G132" i="75" l="1"/>
  <c r="H132" i="75" l="1"/>
  <c r="I132" i="75" l="1"/>
  <c r="J132" i="75" l="1"/>
  <c r="K132" i="75" l="1"/>
  <c r="L132" i="75" l="1"/>
  <c r="M132" i="75" l="1"/>
  <c r="N132" i="75" l="1"/>
  <c r="O132" i="75" l="1"/>
  <c r="P132" i="75" l="1"/>
  <c r="D320" i="63" l="1"/>
  <c r="E320" i="63"/>
  <c r="G189" i="63" l="1"/>
  <c r="H189" i="63" l="1"/>
  <c r="I189" i="63" l="1"/>
  <c r="J189" i="63" l="1"/>
  <c r="H194" i="63" l="1"/>
  <c r="H199" i="63" s="1"/>
  <c r="K189" i="63"/>
  <c r="H459" i="63" l="1"/>
  <c r="H5" i="82" s="1"/>
  <c r="L189" i="63"/>
  <c r="I194" i="63" l="1"/>
  <c r="I199" i="63" s="1"/>
  <c r="H307" i="63"/>
  <c r="H308" i="63" s="1"/>
  <c r="M189" i="63"/>
  <c r="N189" i="63" l="1"/>
  <c r="I459" i="63"/>
  <c r="I5" i="82" s="1"/>
  <c r="J194" i="63"/>
  <c r="J199" i="63" s="1"/>
  <c r="J459" i="63" l="1"/>
  <c r="J5" i="82" s="1"/>
  <c r="K194" i="63"/>
  <c r="K199" i="63" s="1"/>
  <c r="L194" i="63"/>
  <c r="L199" i="63" s="1"/>
  <c r="I307" i="63"/>
  <c r="I308" i="63" s="1"/>
  <c r="O189" i="63"/>
  <c r="L459" i="63" l="1"/>
  <c r="L5" i="82" s="1"/>
  <c r="J307" i="63"/>
  <c r="J308" i="63" s="1"/>
  <c r="K459" i="63"/>
  <c r="K5" i="82" s="1"/>
  <c r="P189" i="63"/>
  <c r="M194" i="63" l="1"/>
  <c r="M199" i="63" s="1"/>
  <c r="K307" i="63"/>
  <c r="K308" i="63" s="1"/>
  <c r="L307" i="63"/>
  <c r="L308" i="63" l="1"/>
  <c r="M459" i="63"/>
  <c r="M5" i="82" s="1"/>
  <c r="N194" i="63"/>
  <c r="N199" i="63" s="1"/>
  <c r="N459" i="63" l="1"/>
  <c r="N5" i="82" s="1"/>
  <c r="M307" i="63"/>
  <c r="M308" i="63" s="1"/>
  <c r="O194" i="63"/>
  <c r="O199" i="63" s="1"/>
  <c r="P194" i="63"/>
  <c r="P199" i="63" s="1"/>
  <c r="P459" i="63" l="1"/>
  <c r="P5" i="82" s="1"/>
  <c r="O459" i="63"/>
  <c r="O5" i="82" s="1"/>
  <c r="N307" i="63"/>
  <c r="N308" i="63" s="1"/>
  <c r="O307" i="63" l="1"/>
  <c r="O308" i="63" s="1"/>
  <c r="P307" i="63"/>
  <c r="P308" i="63" l="1"/>
  <c r="E34" i="76"/>
  <c r="E132" i="76" s="1"/>
  <c r="E407" i="63" s="1"/>
  <c r="F34" i="76" l="1"/>
  <c r="F132" i="76" s="1"/>
  <c r="F407" i="63" s="1"/>
  <c r="G34" i="76" l="1"/>
  <c r="G132" i="76" s="1"/>
  <c r="G407" i="63" s="1"/>
  <c r="H34" i="76" l="1"/>
  <c r="H132" i="76" s="1"/>
  <c r="H407" i="63" s="1"/>
  <c r="I34" i="76" l="1"/>
  <c r="I132" i="76" s="1"/>
  <c r="I407" i="63" s="1"/>
  <c r="J34" i="76" l="1"/>
  <c r="J132" i="76" s="1"/>
  <c r="J407" i="63" s="1"/>
  <c r="K34" i="76" l="1"/>
  <c r="K132" i="76" s="1"/>
  <c r="K407" i="63" s="1"/>
  <c r="L34" i="76" l="1"/>
  <c r="L132" i="76" s="1"/>
  <c r="L407" i="63" s="1"/>
  <c r="M34" i="76" l="1"/>
  <c r="M132" i="76" s="1"/>
  <c r="M407" i="63" s="1"/>
  <c r="E79" i="31" l="1"/>
  <c r="C11" i="80" s="1"/>
  <c r="F80" i="31"/>
  <c r="N34" i="76"/>
  <c r="N132" i="76" s="1"/>
  <c r="N407" i="63" s="1"/>
  <c r="F79" i="31" l="1"/>
  <c r="D11" i="80" s="1"/>
  <c r="D12" i="80" s="1"/>
  <c r="G80" i="31"/>
  <c r="O34" i="76"/>
  <c r="O132" i="76" s="1"/>
  <c r="O407" i="63" s="1"/>
  <c r="G79" i="31" l="1"/>
  <c r="H80" i="31"/>
  <c r="P34" i="76"/>
  <c r="P132" i="76" s="1"/>
  <c r="P407" i="63" s="1"/>
  <c r="H79" i="31" l="1"/>
  <c r="I80" i="31"/>
  <c r="I79" i="31" l="1"/>
  <c r="J80" i="31"/>
  <c r="J79" i="31" l="1"/>
  <c r="K80" i="31"/>
  <c r="K79" i="31" l="1"/>
  <c r="L80" i="31"/>
  <c r="L79" i="31" l="1"/>
  <c r="M80" i="31"/>
  <c r="N80" i="31" l="1"/>
  <c r="M79" i="31"/>
  <c r="N79" i="31" l="1"/>
  <c r="O80" i="31"/>
  <c r="O79" i="31" l="1"/>
  <c r="P80" i="31"/>
  <c r="P79" i="31" l="1"/>
  <c r="C15" i="31" l="1"/>
  <c r="C138" i="31" s="1"/>
  <c r="B9" i="77" s="1"/>
  <c r="C168" i="63" l="1"/>
  <c r="C226" i="63"/>
  <c r="C319" i="63"/>
  <c r="C79" i="31"/>
  <c r="C167" i="75"/>
  <c r="D167" i="75" l="1"/>
  <c r="D148" i="75" s="1"/>
  <c r="D107" i="75" s="1"/>
  <c r="C154" i="75"/>
  <c r="C113" i="75" s="1"/>
  <c r="C158" i="75"/>
  <c r="C117" i="75" s="1"/>
  <c r="C162" i="75"/>
  <c r="C157" i="75"/>
  <c r="C116" i="75" s="1"/>
  <c r="C161" i="75"/>
  <c r="C165" i="75"/>
  <c r="C153" i="75"/>
  <c r="C112" i="75" s="1"/>
  <c r="C156" i="75"/>
  <c r="C115" i="75" s="1"/>
  <c r="C160" i="75"/>
  <c r="C164" i="75"/>
  <c r="C155" i="75"/>
  <c r="C114" i="75" s="1"/>
  <c r="C159" i="75"/>
  <c r="C118" i="75" s="1"/>
  <c r="C163" i="75"/>
  <c r="D84" i="31"/>
  <c r="C152" i="75"/>
  <c r="C83" i="31"/>
  <c r="C148" i="75"/>
  <c r="E167" i="75"/>
  <c r="C151" i="75"/>
  <c r="C320" i="63"/>
  <c r="C72" i="31"/>
  <c r="C172" i="75"/>
  <c r="C171" i="75" s="1"/>
  <c r="C195" i="63"/>
  <c r="C229" i="63"/>
  <c r="C150" i="75"/>
  <c r="C70" i="31"/>
  <c r="C242" i="63"/>
  <c r="C287" i="75" l="1"/>
  <c r="C406" i="63" s="1"/>
  <c r="C202" i="63"/>
  <c r="C122" i="75"/>
  <c r="C119" i="75"/>
  <c r="C120" i="75"/>
  <c r="C121" i="75"/>
  <c r="D151" i="75"/>
  <c r="D110" i="75" s="1"/>
  <c r="D152" i="75"/>
  <c r="D111" i="75" s="1"/>
  <c r="D155" i="75"/>
  <c r="D114" i="75" s="1"/>
  <c r="D165" i="75"/>
  <c r="D163" i="75"/>
  <c r="D161" i="75"/>
  <c r="D159" i="75"/>
  <c r="D118" i="75" s="1"/>
  <c r="D157" i="75"/>
  <c r="D116" i="75" s="1"/>
  <c r="D150" i="75"/>
  <c r="D109" i="75" s="1"/>
  <c r="D153" i="75"/>
  <c r="D112" i="75" s="1"/>
  <c r="D154" i="75"/>
  <c r="D113" i="75" s="1"/>
  <c r="D156" i="75"/>
  <c r="D115" i="75" s="1"/>
  <c r="D164" i="75"/>
  <c r="D162" i="75"/>
  <c r="D160" i="75"/>
  <c r="D158" i="75"/>
  <c r="D117" i="75" s="1"/>
  <c r="E164" i="75"/>
  <c r="E162" i="75"/>
  <c r="E160" i="75"/>
  <c r="E158" i="75"/>
  <c r="E117" i="75" s="1"/>
  <c r="E165" i="75"/>
  <c r="E163" i="75"/>
  <c r="E161" i="75"/>
  <c r="E159" i="75"/>
  <c r="E118" i="75" s="1"/>
  <c r="E157" i="75"/>
  <c r="E116" i="75" s="1"/>
  <c r="E156" i="75"/>
  <c r="E115" i="75" s="1"/>
  <c r="E152" i="75"/>
  <c r="E111" i="75" s="1"/>
  <c r="E150" i="75"/>
  <c r="E109" i="75" s="1"/>
  <c r="E151" i="75"/>
  <c r="E110" i="75" s="1"/>
  <c r="E154" i="75"/>
  <c r="E113" i="75" s="1"/>
  <c r="E153" i="75"/>
  <c r="E112" i="75" s="1"/>
  <c r="E155" i="75"/>
  <c r="E114" i="75" s="1"/>
  <c r="C123" i="75"/>
  <c r="C124" i="75"/>
  <c r="B8" i="77"/>
  <c r="E173" i="75"/>
  <c r="D172" i="75"/>
  <c r="D171" i="75" s="1"/>
  <c r="F167" i="75"/>
  <c r="E148" i="75"/>
  <c r="E107" i="75" s="1"/>
  <c r="E227" i="63"/>
  <c r="F21" i="31"/>
  <c r="F165" i="31" s="1"/>
  <c r="F403" i="63" s="1"/>
  <c r="E23" i="31"/>
  <c r="E24" i="31"/>
  <c r="D83" i="31"/>
  <c r="E84" i="31"/>
  <c r="D70" i="31"/>
  <c r="D72" i="31"/>
  <c r="F16" i="82" l="1"/>
  <c r="D287" i="75"/>
  <c r="D406" i="63" s="1"/>
  <c r="D202" i="63"/>
  <c r="E243" i="63"/>
  <c r="F165" i="75"/>
  <c r="F163" i="75"/>
  <c r="F161" i="75"/>
  <c r="F159" i="75"/>
  <c r="F118" i="75" s="1"/>
  <c r="F157" i="75"/>
  <c r="F116" i="75" s="1"/>
  <c r="F164" i="75"/>
  <c r="F162" i="75"/>
  <c r="F160" i="75"/>
  <c r="F158" i="75"/>
  <c r="F117" i="75" s="1"/>
  <c r="F155" i="75"/>
  <c r="F114" i="75" s="1"/>
  <c r="F153" i="75"/>
  <c r="F154" i="75"/>
  <c r="F113" i="75" s="1"/>
  <c r="F156" i="75"/>
  <c r="F115" i="75" s="1"/>
  <c r="F150" i="75"/>
  <c r="F152" i="75"/>
  <c r="F111" i="75" s="1"/>
  <c r="F151" i="75"/>
  <c r="F110" i="75" s="1"/>
  <c r="E120" i="75"/>
  <c r="E124" i="75"/>
  <c r="E119" i="75"/>
  <c r="E123" i="75"/>
  <c r="D121" i="75"/>
  <c r="D120" i="75"/>
  <c r="D124" i="75"/>
  <c r="E122" i="75"/>
  <c r="E121" i="75"/>
  <c r="D119" i="75"/>
  <c r="D123" i="75"/>
  <c r="D122" i="75"/>
  <c r="D68" i="31"/>
  <c r="D87" i="31" s="1"/>
  <c r="C459" i="63"/>
  <c r="C5" i="82" s="1"/>
  <c r="E183" i="31"/>
  <c r="G167" i="75"/>
  <c r="F148" i="75"/>
  <c r="F173" i="75"/>
  <c r="E172" i="75"/>
  <c r="E171" i="75" s="1"/>
  <c r="C244" i="63"/>
  <c r="C307" i="63" s="1"/>
  <c r="D308" i="63" s="1"/>
  <c r="E83" i="31"/>
  <c r="F84" i="31"/>
  <c r="E70" i="31"/>
  <c r="E67" i="31" s="1"/>
  <c r="E72" i="31"/>
  <c r="E169" i="63"/>
  <c r="F227" i="63"/>
  <c r="G21" i="31"/>
  <c r="F24" i="31"/>
  <c r="F23" i="31"/>
  <c r="E287" i="75" l="1"/>
  <c r="E406" i="63" s="1"/>
  <c r="E408" i="63" s="1"/>
  <c r="E470" i="63" s="1"/>
  <c r="E17" i="82" s="1"/>
  <c r="E202" i="63"/>
  <c r="F243" i="63"/>
  <c r="E106" i="75"/>
  <c r="E169" i="75" s="1"/>
  <c r="G164" i="75"/>
  <c r="G162" i="75"/>
  <c r="G160" i="75"/>
  <c r="G158" i="75"/>
  <c r="G117" i="75" s="1"/>
  <c r="G165" i="75"/>
  <c r="G163" i="75"/>
  <c r="G161" i="75"/>
  <c r="G159" i="75"/>
  <c r="G118" i="75" s="1"/>
  <c r="G157" i="75"/>
  <c r="G116" i="75" s="1"/>
  <c r="G156" i="75"/>
  <c r="G115" i="75" s="1"/>
  <c r="G154" i="75"/>
  <c r="G113" i="75" s="1"/>
  <c r="G153" i="75"/>
  <c r="G155" i="75"/>
  <c r="G114" i="75" s="1"/>
  <c r="G152" i="75"/>
  <c r="G111" i="75" s="1"/>
  <c r="G150" i="75"/>
  <c r="G151" i="75"/>
  <c r="G110" i="75" s="1"/>
  <c r="F119" i="75"/>
  <c r="F123" i="75"/>
  <c r="F122" i="75"/>
  <c r="D106" i="75"/>
  <c r="F121" i="75"/>
  <c r="F120" i="75"/>
  <c r="F124" i="75"/>
  <c r="H21" i="31"/>
  <c r="H165" i="31" s="1"/>
  <c r="H403" i="63" s="1"/>
  <c r="G165" i="31"/>
  <c r="G403" i="63" s="1"/>
  <c r="E68" i="31"/>
  <c r="E87" i="31" s="1"/>
  <c r="E147" i="75"/>
  <c r="E126" i="75" s="1"/>
  <c r="E340" i="63" s="1"/>
  <c r="F183" i="31"/>
  <c r="F169" i="63"/>
  <c r="G24" i="31"/>
  <c r="G227" i="63"/>
  <c r="G23" i="31"/>
  <c r="E171" i="63"/>
  <c r="E196" i="63"/>
  <c r="E198" i="63" s="1"/>
  <c r="F72" i="31"/>
  <c r="G84" i="31"/>
  <c r="G70" i="31" s="1"/>
  <c r="F70" i="31"/>
  <c r="F67" i="31" s="1"/>
  <c r="F83" i="31"/>
  <c r="H167" i="75"/>
  <c r="G148" i="75"/>
  <c r="E86" i="31"/>
  <c r="F172" i="75"/>
  <c r="F171" i="75" s="1"/>
  <c r="G173" i="75"/>
  <c r="H16" i="82" l="1"/>
  <c r="G16" i="82"/>
  <c r="I21" i="31"/>
  <c r="I165" i="31" s="1"/>
  <c r="I403" i="63" s="1"/>
  <c r="F287" i="75"/>
  <c r="F406" i="63" s="1"/>
  <c r="F408" i="63" s="1"/>
  <c r="F470" i="63" s="1"/>
  <c r="F17" i="82" s="1"/>
  <c r="F202" i="63"/>
  <c r="G243" i="63"/>
  <c r="E105" i="75"/>
  <c r="E341" i="63" s="1"/>
  <c r="H165" i="75"/>
  <c r="H163" i="75"/>
  <c r="H161" i="75"/>
  <c r="H159" i="75"/>
  <c r="H118" i="75" s="1"/>
  <c r="H157" i="75"/>
  <c r="H116" i="75" s="1"/>
  <c r="H164" i="75"/>
  <c r="H162" i="75"/>
  <c r="H160" i="75"/>
  <c r="H158" i="75"/>
  <c r="H117" i="75" s="1"/>
  <c r="H155" i="75"/>
  <c r="H114" i="75" s="1"/>
  <c r="H153" i="75"/>
  <c r="H154" i="75"/>
  <c r="H113" i="75" s="1"/>
  <c r="H156" i="75"/>
  <c r="H115" i="75" s="1"/>
  <c r="H150" i="75"/>
  <c r="H152" i="75"/>
  <c r="H111" i="75" s="1"/>
  <c r="H151" i="75"/>
  <c r="H110" i="75" s="1"/>
  <c r="E168" i="75"/>
  <c r="G122" i="75"/>
  <c r="G121" i="75"/>
  <c r="D147" i="75"/>
  <c r="D126" i="75" s="1"/>
  <c r="D340" i="63" s="1"/>
  <c r="D105" i="75"/>
  <c r="D341" i="63" s="1"/>
  <c r="D169" i="75"/>
  <c r="G120" i="75"/>
  <c r="G124" i="75"/>
  <c r="G119" i="75"/>
  <c r="G123" i="75"/>
  <c r="E66" i="31"/>
  <c r="E321" i="63" s="1"/>
  <c r="H23" i="31"/>
  <c r="H24" i="31"/>
  <c r="H227" i="63"/>
  <c r="J21" i="31"/>
  <c r="J165" i="31" s="1"/>
  <c r="J403" i="63" s="1"/>
  <c r="I227" i="63"/>
  <c r="I24" i="31"/>
  <c r="G20" i="80" s="1"/>
  <c r="I23" i="31"/>
  <c r="H183" i="31"/>
  <c r="H173" i="75"/>
  <c r="G172" i="75"/>
  <c r="G171" i="75" s="1"/>
  <c r="I167" i="75"/>
  <c r="H148" i="75"/>
  <c r="F86" i="31"/>
  <c r="F171" i="63"/>
  <c r="F196" i="63"/>
  <c r="F198" i="63" s="1"/>
  <c r="E85" i="31"/>
  <c r="G83" i="31"/>
  <c r="H84" i="31"/>
  <c r="H70" i="31" s="1"/>
  <c r="G67" i="31"/>
  <c r="G183" i="31"/>
  <c r="G169" i="63"/>
  <c r="J16" i="82" l="1"/>
  <c r="I16" i="82"/>
  <c r="H169" i="63"/>
  <c r="H171" i="63" s="1"/>
  <c r="F20" i="80"/>
  <c r="H18" i="80" s="1"/>
  <c r="G287" i="75"/>
  <c r="G406" i="63" s="1"/>
  <c r="G408" i="63" s="1"/>
  <c r="G470" i="63" s="1"/>
  <c r="G17" i="82" s="1"/>
  <c r="G202" i="63"/>
  <c r="I243" i="63"/>
  <c r="H243" i="63"/>
  <c r="I164" i="75"/>
  <c r="I162" i="75"/>
  <c r="I160" i="75"/>
  <c r="I158" i="75"/>
  <c r="I117" i="75" s="1"/>
  <c r="I165" i="75"/>
  <c r="I163" i="75"/>
  <c r="I161" i="75"/>
  <c r="I159" i="75"/>
  <c r="I118" i="75" s="1"/>
  <c r="I157" i="75"/>
  <c r="I116" i="75" s="1"/>
  <c r="I156" i="75"/>
  <c r="I115" i="75" s="1"/>
  <c r="I154" i="75"/>
  <c r="I113" i="75" s="1"/>
  <c r="I153" i="75"/>
  <c r="I155" i="75"/>
  <c r="I114" i="75" s="1"/>
  <c r="I152" i="75"/>
  <c r="I111" i="75" s="1"/>
  <c r="I150" i="75"/>
  <c r="I151" i="75"/>
  <c r="I110" i="75" s="1"/>
  <c r="D168" i="75"/>
  <c r="H119" i="75"/>
  <c r="H123" i="75"/>
  <c r="H122" i="75"/>
  <c r="H121" i="75"/>
  <c r="H120" i="75"/>
  <c r="H124" i="75"/>
  <c r="K21" i="31"/>
  <c r="K165" i="31" s="1"/>
  <c r="K403" i="63" s="1"/>
  <c r="J227" i="63"/>
  <c r="J24" i="31"/>
  <c r="J23" i="31"/>
  <c r="I183" i="31"/>
  <c r="I169" i="63"/>
  <c r="E88" i="31"/>
  <c r="E193" i="31" s="1"/>
  <c r="E184" i="31" s="1"/>
  <c r="G86" i="31"/>
  <c r="G171" i="63"/>
  <c r="G196" i="63"/>
  <c r="G198" i="63" s="1"/>
  <c r="I84" i="31"/>
  <c r="H83" i="31"/>
  <c r="H67" i="31"/>
  <c r="I148" i="75"/>
  <c r="J167" i="75"/>
  <c r="I173" i="75"/>
  <c r="H172" i="75"/>
  <c r="K16" i="82" l="1"/>
  <c r="H196" i="63"/>
  <c r="H198" i="63" s="1"/>
  <c r="M18" i="80"/>
  <c r="K18" i="80"/>
  <c r="I18" i="80"/>
  <c r="G18" i="80"/>
  <c r="G22" i="80" s="1"/>
  <c r="N18" i="80"/>
  <c r="L18" i="80"/>
  <c r="J18" i="80"/>
  <c r="H171" i="75"/>
  <c r="H202" i="63" s="1"/>
  <c r="F143" i="80"/>
  <c r="S73" i="31"/>
  <c r="I73" i="31"/>
  <c r="I69" i="31" s="1"/>
  <c r="I70" i="31" s="1"/>
  <c r="I67" i="31" s="1"/>
  <c r="H287" i="75"/>
  <c r="H406" i="63" s="1"/>
  <c r="H408" i="63" s="1"/>
  <c r="H470" i="63" s="1"/>
  <c r="H17" i="82" s="1"/>
  <c r="J243" i="63"/>
  <c r="J165" i="75"/>
  <c r="J163" i="75"/>
  <c r="J161" i="75"/>
  <c r="J159" i="75"/>
  <c r="J118" i="75" s="1"/>
  <c r="J157" i="75"/>
  <c r="J116" i="75" s="1"/>
  <c r="J164" i="75"/>
  <c r="J162" i="75"/>
  <c r="J160" i="75"/>
  <c r="J158" i="75"/>
  <c r="J117" i="75" s="1"/>
  <c r="J155" i="75"/>
  <c r="J114" i="75" s="1"/>
  <c r="J153" i="75"/>
  <c r="J154" i="75"/>
  <c r="J113" i="75" s="1"/>
  <c r="J156" i="75"/>
  <c r="J115" i="75" s="1"/>
  <c r="J150" i="75"/>
  <c r="J152" i="75"/>
  <c r="J111" i="75" s="1"/>
  <c r="J151" i="75"/>
  <c r="J110" i="75" s="1"/>
  <c r="I120" i="75"/>
  <c r="I124" i="75"/>
  <c r="I119" i="75"/>
  <c r="I123" i="75"/>
  <c r="I122" i="75"/>
  <c r="I121" i="75"/>
  <c r="I171" i="63"/>
  <c r="I196" i="63"/>
  <c r="I198" i="63" s="1"/>
  <c r="J169" i="63"/>
  <c r="L21" i="31"/>
  <c r="L165" i="31" s="1"/>
  <c r="L403" i="63" s="1"/>
  <c r="K227" i="63"/>
  <c r="K24" i="31"/>
  <c r="K23" i="31"/>
  <c r="J183" i="31"/>
  <c r="H86" i="31"/>
  <c r="J173" i="75"/>
  <c r="I172" i="75"/>
  <c r="K167" i="75"/>
  <c r="J148" i="75"/>
  <c r="I83" i="31"/>
  <c r="J84" i="31"/>
  <c r="L16" i="82" l="1"/>
  <c r="I171" i="75"/>
  <c r="I202" i="63" s="1"/>
  <c r="G143" i="80"/>
  <c r="I319" i="63"/>
  <c r="J69" i="31"/>
  <c r="I287" i="75"/>
  <c r="I406" i="63" s="1"/>
  <c r="I408" i="63" s="1"/>
  <c r="I470" i="63" s="1"/>
  <c r="I17" i="82" s="1"/>
  <c r="K243" i="63"/>
  <c r="J121" i="75"/>
  <c r="J120" i="75"/>
  <c r="J124" i="75"/>
  <c r="K164" i="75"/>
  <c r="K162" i="75"/>
  <c r="K160" i="75"/>
  <c r="K158" i="75"/>
  <c r="K117" i="75" s="1"/>
  <c r="K165" i="75"/>
  <c r="K163" i="75"/>
  <c r="K161" i="75"/>
  <c r="K159" i="75"/>
  <c r="K118" i="75" s="1"/>
  <c r="K157" i="75"/>
  <c r="K116" i="75" s="1"/>
  <c r="K156" i="75"/>
  <c r="K115" i="75" s="1"/>
  <c r="K154" i="75"/>
  <c r="K113" i="75" s="1"/>
  <c r="K153" i="75"/>
  <c r="K155" i="75"/>
  <c r="K114" i="75" s="1"/>
  <c r="K150" i="75"/>
  <c r="K152" i="75"/>
  <c r="K111" i="75" s="1"/>
  <c r="K151" i="75"/>
  <c r="K110" i="75" s="1"/>
  <c r="J119" i="75"/>
  <c r="J123" i="75"/>
  <c r="J122" i="75"/>
  <c r="K169" i="63"/>
  <c r="M21" i="31"/>
  <c r="M165" i="31" s="1"/>
  <c r="M403" i="63" s="1"/>
  <c r="L23" i="31"/>
  <c r="L24" i="31"/>
  <c r="L227" i="63"/>
  <c r="K183" i="31"/>
  <c r="J171" i="63"/>
  <c r="J196" i="63"/>
  <c r="J198" i="63" s="1"/>
  <c r="I86" i="31"/>
  <c r="K84" i="31"/>
  <c r="J83" i="31"/>
  <c r="J70" i="31"/>
  <c r="J67" i="31" s="1"/>
  <c r="L167" i="75"/>
  <c r="K148" i="75"/>
  <c r="K173" i="75"/>
  <c r="J172" i="75"/>
  <c r="J171" i="75" s="1"/>
  <c r="M16" i="82" l="1"/>
  <c r="K142" i="80"/>
  <c r="N142" i="80"/>
  <c r="J142" i="80"/>
  <c r="H142" i="80"/>
  <c r="I142" i="80"/>
  <c r="L142" i="80"/>
  <c r="G142" i="80"/>
  <c r="M142" i="80"/>
  <c r="J319" i="63"/>
  <c r="K69" i="31"/>
  <c r="J287" i="75"/>
  <c r="J406" i="63" s="1"/>
  <c r="J408" i="63" s="1"/>
  <c r="J470" i="63" s="1"/>
  <c r="J17" i="82" s="1"/>
  <c r="J202" i="63"/>
  <c r="L243" i="63"/>
  <c r="K120" i="75"/>
  <c r="K124" i="75"/>
  <c r="K119" i="75"/>
  <c r="K123" i="75"/>
  <c r="L165" i="75"/>
  <c r="L163" i="75"/>
  <c r="L161" i="75"/>
  <c r="L159" i="75"/>
  <c r="L118" i="75" s="1"/>
  <c r="L157" i="75"/>
  <c r="L116" i="75" s="1"/>
  <c r="L164" i="75"/>
  <c r="L162" i="75"/>
  <c r="L160" i="75"/>
  <c r="L158" i="75"/>
  <c r="L117" i="75" s="1"/>
  <c r="L155" i="75"/>
  <c r="L114" i="75" s="1"/>
  <c r="L153" i="75"/>
  <c r="L154" i="75"/>
  <c r="L113" i="75" s="1"/>
  <c r="L156" i="75"/>
  <c r="L115" i="75" s="1"/>
  <c r="L152" i="75"/>
  <c r="L111" i="75" s="1"/>
  <c r="L150" i="75"/>
  <c r="L151" i="75"/>
  <c r="L110" i="75" s="1"/>
  <c r="K122" i="75"/>
  <c r="K121" i="75"/>
  <c r="L183" i="31"/>
  <c r="K171" i="63"/>
  <c r="K196" i="63"/>
  <c r="K198" i="63" s="1"/>
  <c r="L169" i="63"/>
  <c r="N21" i="31"/>
  <c r="N165" i="31" s="1"/>
  <c r="N403" i="63" s="1"/>
  <c r="M24" i="31"/>
  <c r="M227" i="63"/>
  <c r="M23" i="31"/>
  <c r="M167" i="75"/>
  <c r="L148" i="75"/>
  <c r="L84" i="31"/>
  <c r="K83" i="31"/>
  <c r="D42" i="76"/>
  <c r="D211" i="63"/>
  <c r="D209" i="63" s="1"/>
  <c r="E44" i="76"/>
  <c r="L173" i="75"/>
  <c r="K172" i="75"/>
  <c r="K171" i="75" s="1"/>
  <c r="J86" i="31"/>
  <c r="N16" i="82" l="1"/>
  <c r="K319" i="63"/>
  <c r="L69" i="31"/>
  <c r="L70" i="31" s="1"/>
  <c r="L67" i="31" s="1"/>
  <c r="K70" i="31"/>
  <c r="K67" i="31" s="1"/>
  <c r="K287" i="75"/>
  <c r="K406" i="63" s="1"/>
  <c r="K408" i="63" s="1"/>
  <c r="K470" i="63" s="1"/>
  <c r="K17" i="82" s="1"/>
  <c r="K202" i="63"/>
  <c r="M243" i="63"/>
  <c r="M164" i="75"/>
  <c r="M162" i="75"/>
  <c r="M160" i="75"/>
  <c r="M158" i="75"/>
  <c r="M117" i="75" s="1"/>
  <c r="M165" i="75"/>
  <c r="M163" i="75"/>
  <c r="M161" i="75"/>
  <c r="M159" i="75"/>
  <c r="M118" i="75" s="1"/>
  <c r="M157" i="75"/>
  <c r="M116" i="75" s="1"/>
  <c r="M156" i="75"/>
  <c r="M115" i="75" s="1"/>
  <c r="M154" i="75"/>
  <c r="M113" i="75" s="1"/>
  <c r="M153" i="75"/>
  <c r="M155" i="75"/>
  <c r="M114" i="75" s="1"/>
  <c r="M150" i="75"/>
  <c r="M152" i="75"/>
  <c r="M111" i="75" s="1"/>
  <c r="M151" i="75"/>
  <c r="M110" i="75" s="1"/>
  <c r="L119" i="75"/>
  <c r="L123" i="75"/>
  <c r="L122" i="75"/>
  <c r="L121" i="75"/>
  <c r="L120" i="75"/>
  <c r="L124" i="75"/>
  <c r="M183" i="31"/>
  <c r="M169" i="63"/>
  <c r="L171" i="63"/>
  <c r="L196" i="63"/>
  <c r="L198" i="63" s="1"/>
  <c r="O21" i="31"/>
  <c r="O165" i="31" s="1"/>
  <c r="O403" i="63" s="1"/>
  <c r="N23" i="31"/>
  <c r="N227" i="63"/>
  <c r="N24" i="31"/>
  <c r="K86" i="31"/>
  <c r="M173" i="75"/>
  <c r="L172" i="75"/>
  <c r="L171" i="75" s="1"/>
  <c r="E42" i="76"/>
  <c r="F44" i="76"/>
  <c r="E211" i="63"/>
  <c r="E209" i="63" s="1"/>
  <c r="D54" i="76"/>
  <c r="D110" i="76" s="1"/>
  <c r="D303" i="63" s="1"/>
  <c r="D7" i="82" s="1"/>
  <c r="L83" i="31"/>
  <c r="M84" i="31"/>
  <c r="N167" i="75"/>
  <c r="M148" i="75"/>
  <c r="O16" i="82" l="1"/>
  <c r="L319" i="63"/>
  <c r="M69" i="31"/>
  <c r="M70" i="31" s="1"/>
  <c r="M67" i="31" s="1"/>
  <c r="L287" i="75"/>
  <c r="L406" i="63" s="1"/>
  <c r="L408" i="63" s="1"/>
  <c r="L470" i="63" s="1"/>
  <c r="L17" i="82" s="1"/>
  <c r="L202" i="63"/>
  <c r="N243" i="63"/>
  <c r="N165" i="75"/>
  <c r="N163" i="75"/>
  <c r="N161" i="75"/>
  <c r="N159" i="75"/>
  <c r="N118" i="75" s="1"/>
  <c r="N157" i="75"/>
  <c r="N116" i="75" s="1"/>
  <c r="N164" i="75"/>
  <c r="N162" i="75"/>
  <c r="N160" i="75"/>
  <c r="N158" i="75"/>
  <c r="N117" i="75" s="1"/>
  <c r="N155" i="75"/>
  <c r="N114" i="75" s="1"/>
  <c r="N153" i="75"/>
  <c r="N154" i="75"/>
  <c r="N113" i="75" s="1"/>
  <c r="N156" i="75"/>
  <c r="N115" i="75" s="1"/>
  <c r="N152" i="75"/>
  <c r="N111" i="75" s="1"/>
  <c r="N150" i="75"/>
  <c r="N151" i="75"/>
  <c r="N110" i="75" s="1"/>
  <c r="M122" i="75"/>
  <c r="M121" i="75"/>
  <c r="M120" i="75"/>
  <c r="M124" i="75"/>
  <c r="M119" i="75"/>
  <c r="M123" i="75"/>
  <c r="N169" i="63"/>
  <c r="P21" i="31"/>
  <c r="P165" i="31" s="1"/>
  <c r="P403" i="63" s="1"/>
  <c r="O227" i="63"/>
  <c r="O24" i="31"/>
  <c r="O23" i="31"/>
  <c r="M171" i="63"/>
  <c r="M196" i="63"/>
  <c r="M198" i="63" s="1"/>
  <c r="N183" i="31"/>
  <c r="O167" i="75"/>
  <c r="N148" i="75"/>
  <c r="L86" i="31"/>
  <c r="D213" i="63"/>
  <c r="E54" i="76"/>
  <c r="N173" i="75"/>
  <c r="M172" i="75"/>
  <c r="M171" i="75" s="1"/>
  <c r="M83" i="31"/>
  <c r="N84" i="31"/>
  <c r="F42" i="76"/>
  <c r="F211" i="63"/>
  <c r="F209" i="63" s="1"/>
  <c r="G44" i="76"/>
  <c r="P16" i="82" l="1"/>
  <c r="M319" i="63"/>
  <c r="N69" i="31"/>
  <c r="N70" i="31" s="1"/>
  <c r="N67" i="31" s="1"/>
  <c r="M287" i="75"/>
  <c r="M406" i="63" s="1"/>
  <c r="M408" i="63" s="1"/>
  <c r="M470" i="63" s="1"/>
  <c r="M17" i="82" s="1"/>
  <c r="M202" i="63"/>
  <c r="O243" i="63"/>
  <c r="O164" i="75"/>
  <c r="O162" i="75"/>
  <c r="O160" i="75"/>
  <c r="O158" i="75"/>
  <c r="O117" i="75" s="1"/>
  <c r="O165" i="75"/>
  <c r="O163" i="75"/>
  <c r="O161" i="75"/>
  <c r="O159" i="75"/>
  <c r="O118" i="75" s="1"/>
  <c r="O157" i="75"/>
  <c r="O116" i="75" s="1"/>
  <c r="O156" i="75"/>
  <c r="O115" i="75" s="1"/>
  <c r="O154" i="75"/>
  <c r="O113" i="75" s="1"/>
  <c r="O153" i="75"/>
  <c r="O155" i="75"/>
  <c r="O114" i="75" s="1"/>
  <c r="O152" i="75"/>
  <c r="O111" i="75" s="1"/>
  <c r="O150" i="75"/>
  <c r="O151" i="75"/>
  <c r="O110" i="75" s="1"/>
  <c r="N119" i="75"/>
  <c r="N123" i="75"/>
  <c r="N122" i="75"/>
  <c r="N121" i="75"/>
  <c r="N120" i="75"/>
  <c r="N124" i="75"/>
  <c r="O183" i="31"/>
  <c r="N171" i="63"/>
  <c r="N196" i="63"/>
  <c r="N198" i="63" s="1"/>
  <c r="O169" i="63"/>
  <c r="P24" i="31"/>
  <c r="P23" i="31"/>
  <c r="P227" i="63"/>
  <c r="G42" i="76"/>
  <c r="G211" i="63"/>
  <c r="G209" i="63" s="1"/>
  <c r="H44" i="76"/>
  <c r="F54" i="76"/>
  <c r="E213" i="63"/>
  <c r="P167" i="75"/>
  <c r="O148" i="75"/>
  <c r="M86" i="31"/>
  <c r="O84" i="31"/>
  <c r="N83" i="31"/>
  <c r="O173" i="75"/>
  <c r="N172" i="75"/>
  <c r="N171" i="75" s="1"/>
  <c r="N319" i="63" l="1"/>
  <c r="O69" i="31"/>
  <c r="O70" i="31" s="1"/>
  <c r="O67" i="31" s="1"/>
  <c r="N287" i="75"/>
  <c r="N406" i="63" s="1"/>
  <c r="N408" i="63" s="1"/>
  <c r="N470" i="63" s="1"/>
  <c r="N17" i="82" s="1"/>
  <c r="N202" i="63"/>
  <c r="P243" i="63"/>
  <c r="P157" i="75"/>
  <c r="P116" i="75" s="1"/>
  <c r="P161" i="75"/>
  <c r="P165" i="75"/>
  <c r="P160" i="75"/>
  <c r="P164" i="75"/>
  <c r="P159" i="75"/>
  <c r="P118" i="75" s="1"/>
  <c r="P163" i="75"/>
  <c r="P158" i="75"/>
  <c r="P117" i="75" s="1"/>
  <c r="P162" i="75"/>
  <c r="P155" i="75"/>
  <c r="P114" i="75" s="1"/>
  <c r="P154" i="75"/>
  <c r="P113" i="75" s="1"/>
  <c r="P153" i="75"/>
  <c r="P156" i="75"/>
  <c r="P115" i="75" s="1"/>
  <c r="P152" i="75"/>
  <c r="P111" i="75" s="1"/>
  <c r="P150" i="75"/>
  <c r="P151" i="75"/>
  <c r="P110" i="75" s="1"/>
  <c r="O122" i="75"/>
  <c r="O121" i="75"/>
  <c r="O120" i="75"/>
  <c r="O124" i="75"/>
  <c r="O119" i="75"/>
  <c r="O123" i="75"/>
  <c r="P183" i="31"/>
  <c r="P169" i="63"/>
  <c r="O171" i="63"/>
  <c r="O196" i="63"/>
  <c r="O198" i="63" s="1"/>
  <c r="P173" i="75"/>
  <c r="O172" i="75"/>
  <c r="O171" i="75" s="1"/>
  <c r="N86" i="31"/>
  <c r="O83" i="31"/>
  <c r="P84" i="31"/>
  <c r="P148" i="75"/>
  <c r="F213" i="63"/>
  <c r="H42" i="76"/>
  <c r="H211" i="63"/>
  <c r="H209" i="63" s="1"/>
  <c r="I44" i="76"/>
  <c r="G54" i="76"/>
  <c r="O319" i="63" l="1"/>
  <c r="P69" i="31"/>
  <c r="P319" i="63" s="1"/>
  <c r="O287" i="75"/>
  <c r="O406" i="63" s="1"/>
  <c r="O408" i="63" s="1"/>
  <c r="O470" i="63" s="1"/>
  <c r="O17" i="82" s="1"/>
  <c r="O202" i="63"/>
  <c r="P119" i="75"/>
  <c r="P120" i="75"/>
  <c r="P121" i="75"/>
  <c r="P122" i="75"/>
  <c r="P123" i="75"/>
  <c r="P124" i="75"/>
  <c r="P171" i="63"/>
  <c r="P196" i="63"/>
  <c r="P198" i="63" s="1"/>
  <c r="P172" i="75"/>
  <c r="P171" i="75" s="1"/>
  <c r="G213" i="63"/>
  <c r="I42" i="76"/>
  <c r="I211" i="63"/>
  <c r="I209" i="63" s="1"/>
  <c r="J44" i="76"/>
  <c r="H54" i="76"/>
  <c r="O86" i="31"/>
  <c r="P83" i="31"/>
  <c r="P70" i="31" l="1"/>
  <c r="P67" i="31" s="1"/>
  <c r="P86" i="31" s="1"/>
  <c r="P287" i="75"/>
  <c r="P406" i="63" s="1"/>
  <c r="P408" i="63" s="1"/>
  <c r="P470" i="63" s="1"/>
  <c r="P17" i="82" s="1"/>
  <c r="P202" i="63"/>
  <c r="H213" i="63"/>
  <c r="J42" i="76"/>
  <c r="K44" i="76"/>
  <c r="J211" i="63"/>
  <c r="J209" i="63" s="1"/>
  <c r="I54" i="76"/>
  <c r="I213" i="63" l="1"/>
  <c r="J54" i="76"/>
  <c r="K42" i="76"/>
  <c r="K211" i="63"/>
  <c r="K209" i="63" s="1"/>
  <c r="L44" i="76"/>
  <c r="D125" i="31" l="1"/>
  <c r="C133" i="31"/>
  <c r="C161" i="31"/>
  <c r="C127" i="31"/>
  <c r="D122" i="31"/>
  <c r="L42" i="76"/>
  <c r="M44" i="76"/>
  <c r="L211" i="63"/>
  <c r="L209" i="63" s="1"/>
  <c r="K54" i="76"/>
  <c r="C104" i="76"/>
  <c r="C128" i="76"/>
  <c r="D96" i="76"/>
  <c r="D93" i="76"/>
  <c r="C98" i="76"/>
  <c r="J213" i="63"/>
  <c r="C283" i="75" l="1"/>
  <c r="C420" i="63" s="1"/>
  <c r="C257" i="75"/>
  <c r="C251" i="75"/>
  <c r="D249" i="75"/>
  <c r="D246" i="75"/>
  <c r="D128" i="76"/>
  <c r="D421" i="63" s="1"/>
  <c r="C421" i="63"/>
  <c r="C121" i="76"/>
  <c r="M42" i="76"/>
  <c r="N44" i="76"/>
  <c r="M211" i="63"/>
  <c r="M209" i="63" s="1"/>
  <c r="C513" i="63"/>
  <c r="D98" i="76"/>
  <c r="D99" i="76" s="1"/>
  <c r="D97" i="76"/>
  <c r="E93" i="76"/>
  <c r="E96" i="76"/>
  <c r="C517" i="63"/>
  <c r="K213" i="63"/>
  <c r="L54" i="76"/>
  <c r="D161" i="31"/>
  <c r="D417" i="63" s="1"/>
  <c r="C153" i="31"/>
  <c r="C417" i="63"/>
  <c r="E125" i="31"/>
  <c r="E122" i="31"/>
  <c r="D126" i="31"/>
  <c r="D127" i="31"/>
  <c r="D128" i="31" s="1"/>
  <c r="C422" i="63" l="1"/>
  <c r="C472" i="63" s="1"/>
  <c r="C477" i="63" s="1"/>
  <c r="B123" i="77"/>
  <c r="D158" i="31"/>
  <c r="D153" i="31" s="1"/>
  <c r="D520" i="63"/>
  <c r="E126" i="31"/>
  <c r="F125" i="31"/>
  <c r="E127" i="31"/>
  <c r="E128" i="31" s="1"/>
  <c r="F122" i="31"/>
  <c r="L213" i="63"/>
  <c r="E128" i="76"/>
  <c r="E421" i="63" s="1"/>
  <c r="D524" i="63"/>
  <c r="D125" i="76"/>
  <c r="D121" i="76" s="1"/>
  <c r="M54" i="76"/>
  <c r="D251" i="75"/>
  <c r="D252" i="75" s="1"/>
  <c r="D257" i="75" s="1"/>
  <c r="D283" i="75"/>
  <c r="D420" i="63" s="1"/>
  <c r="D422" i="63" s="1"/>
  <c r="D472" i="63" s="1"/>
  <c r="D477" i="63" s="1"/>
  <c r="D485" i="63" s="1"/>
  <c r="C276" i="75"/>
  <c r="D104" i="76"/>
  <c r="E161" i="31"/>
  <c r="E417" i="63" s="1"/>
  <c r="F93" i="76"/>
  <c r="E97" i="76"/>
  <c r="E98" i="76"/>
  <c r="E99" i="76" s="1"/>
  <c r="F96" i="76"/>
  <c r="N42" i="76"/>
  <c r="N211" i="63"/>
  <c r="N209" i="63" s="1"/>
  <c r="O44" i="76"/>
  <c r="E249" i="75"/>
  <c r="D250" i="75"/>
  <c r="E246" i="75"/>
  <c r="D133" i="31"/>
  <c r="C511" i="63"/>
  <c r="C532" i="63" s="1"/>
  <c r="C123" i="77" l="1"/>
  <c r="D124" i="77" s="1"/>
  <c r="E133" i="31"/>
  <c r="E513" i="63" s="1"/>
  <c r="E520" i="63"/>
  <c r="D513" i="63"/>
  <c r="O42" i="76"/>
  <c r="P44" i="76"/>
  <c r="O211" i="63"/>
  <c r="O209" i="63" s="1"/>
  <c r="N54" i="76"/>
  <c r="E524" i="63"/>
  <c r="E125" i="76"/>
  <c r="E121" i="76" s="1"/>
  <c r="F128" i="76"/>
  <c r="F421" i="63" s="1"/>
  <c r="D517" i="63"/>
  <c r="D280" i="75"/>
  <c r="E158" i="31"/>
  <c r="E153" i="31" s="1"/>
  <c r="E189" i="31" s="1"/>
  <c r="E180" i="31" s="1"/>
  <c r="E104" i="76"/>
  <c r="E283" i="75"/>
  <c r="E420" i="63" s="1"/>
  <c r="F246" i="75"/>
  <c r="F249" i="75"/>
  <c r="E251" i="75"/>
  <c r="E252" i="75" s="1"/>
  <c r="E250" i="75"/>
  <c r="F98" i="76"/>
  <c r="F99" i="76" s="1"/>
  <c r="F97" i="76"/>
  <c r="G93" i="76"/>
  <c r="G96" i="76"/>
  <c r="C534" i="63"/>
  <c r="C542" i="63" s="1"/>
  <c r="C485" i="63"/>
  <c r="M213" i="63"/>
  <c r="F161" i="31"/>
  <c r="F417" i="63" s="1"/>
  <c r="F127" i="31"/>
  <c r="F128" i="31" s="1"/>
  <c r="F126" i="31"/>
  <c r="G122" i="31"/>
  <c r="G125" i="31"/>
  <c r="F133" i="31" l="1"/>
  <c r="F520" i="63"/>
  <c r="D276" i="75"/>
  <c r="D523" i="63"/>
  <c r="D519" i="63" s="1"/>
  <c r="D511" i="63"/>
  <c r="D534" i="63"/>
  <c r="D542" i="63" s="1"/>
  <c r="H125" i="31"/>
  <c r="H122" i="31"/>
  <c r="G127" i="31"/>
  <c r="G128" i="31" s="1"/>
  <c r="G520" i="63" s="1"/>
  <c r="G126" i="31"/>
  <c r="F513" i="63"/>
  <c r="G97" i="76"/>
  <c r="H93" i="76"/>
  <c r="G98" i="76"/>
  <c r="G99" i="76" s="1"/>
  <c r="G104" i="76" s="1"/>
  <c r="H96" i="76"/>
  <c r="E280" i="75"/>
  <c r="F283" i="75"/>
  <c r="F420" i="63" s="1"/>
  <c r="N213" i="63"/>
  <c r="O54" i="76"/>
  <c r="C535" i="63"/>
  <c r="C537" i="63" s="1"/>
  <c r="C538" i="63" s="1"/>
  <c r="C541" i="63" s="1"/>
  <c r="G161" i="31"/>
  <c r="G417" i="63" s="1"/>
  <c r="F158" i="31"/>
  <c r="F153" i="31" s="1"/>
  <c r="G128" i="76"/>
  <c r="G421" i="63" s="1"/>
  <c r="F524" i="63"/>
  <c r="F125" i="76"/>
  <c r="F121" i="76" s="1"/>
  <c r="F250" i="75"/>
  <c r="G246" i="75"/>
  <c r="F251" i="75"/>
  <c r="F252" i="75" s="1"/>
  <c r="F257" i="75" s="1"/>
  <c r="G249" i="75"/>
  <c r="E517" i="63"/>
  <c r="P42" i="76"/>
  <c r="P211" i="63"/>
  <c r="P209" i="63" s="1"/>
  <c r="E257" i="75"/>
  <c r="F104" i="76"/>
  <c r="G133" i="31" l="1"/>
  <c r="D532" i="63"/>
  <c r="D535" i="63" s="1"/>
  <c r="D537" i="63" s="1"/>
  <c r="D538" i="63" s="1"/>
  <c r="D541" i="63" s="1"/>
  <c r="D545" i="63" s="1"/>
  <c r="D550" i="63" s="1"/>
  <c r="E276" i="75"/>
  <c r="E523" i="63"/>
  <c r="H246" i="75"/>
  <c r="G250" i="75"/>
  <c r="H249" i="75"/>
  <c r="G251" i="75"/>
  <c r="G252" i="75" s="1"/>
  <c r="G257" i="75" s="1"/>
  <c r="G283" i="75"/>
  <c r="G420" i="63" s="1"/>
  <c r="G513" i="63"/>
  <c r="O213" i="63"/>
  <c r="G125" i="76"/>
  <c r="G121" i="76" s="1"/>
  <c r="G524" i="63"/>
  <c r="H161" i="31"/>
  <c r="H417" i="63" s="1"/>
  <c r="F517" i="63"/>
  <c r="P54" i="76"/>
  <c r="F280" i="75"/>
  <c r="G517" i="63"/>
  <c r="I93" i="76"/>
  <c r="J89" i="76" s="1"/>
  <c r="I96" i="76"/>
  <c r="H98" i="76"/>
  <c r="H99" i="76" s="1"/>
  <c r="H104" i="76" s="1"/>
  <c r="H97" i="76"/>
  <c r="H128" i="76"/>
  <c r="H421" i="63" s="1"/>
  <c r="G158" i="31"/>
  <c r="G153" i="31" s="1"/>
  <c r="H127" i="31"/>
  <c r="H128" i="31" s="1"/>
  <c r="H520" i="63" s="1"/>
  <c r="I122" i="31"/>
  <c r="H126" i="31"/>
  <c r="I125" i="31"/>
  <c r="J69" i="76" l="1"/>
  <c r="J95" i="76" s="1"/>
  <c r="K94" i="76" s="1"/>
  <c r="J113" i="63"/>
  <c r="J93" i="63" s="1"/>
  <c r="J137" i="76"/>
  <c r="J118" i="31"/>
  <c r="F276" i="75"/>
  <c r="F523" i="63"/>
  <c r="H158" i="31"/>
  <c r="H153" i="31" s="1"/>
  <c r="H524" i="63"/>
  <c r="H125" i="76"/>
  <c r="H121" i="76" s="1"/>
  <c r="I128" i="76"/>
  <c r="I421" i="63" s="1"/>
  <c r="P213" i="63"/>
  <c r="G280" i="75"/>
  <c r="H133" i="31"/>
  <c r="J125" i="31"/>
  <c r="J122" i="31"/>
  <c r="I126" i="31"/>
  <c r="I127" i="31"/>
  <c r="I128" i="31" s="1"/>
  <c r="I161" i="31"/>
  <c r="I417" i="63" s="1"/>
  <c r="H517" i="63"/>
  <c r="I97" i="76"/>
  <c r="J96" i="76"/>
  <c r="J93" i="76"/>
  <c r="K89" i="76" s="1"/>
  <c r="I98" i="76"/>
  <c r="I99" i="76" s="1"/>
  <c r="H250" i="75"/>
  <c r="H251" i="75"/>
  <c r="H252" i="75" s="1"/>
  <c r="H257" i="75" s="1"/>
  <c r="I246" i="75"/>
  <c r="I249" i="75"/>
  <c r="H283" i="75"/>
  <c r="H420" i="63" s="1"/>
  <c r="J112" i="31" l="1"/>
  <c r="J170" i="31" s="1"/>
  <c r="J43" i="63"/>
  <c r="J37" i="63" s="1"/>
  <c r="K69" i="76"/>
  <c r="K137" i="76" s="1"/>
  <c r="K113" i="63"/>
  <c r="K93" i="63" s="1"/>
  <c r="J124" i="31"/>
  <c r="K123" i="31" s="1"/>
  <c r="K122" i="31" s="1"/>
  <c r="J242" i="75"/>
  <c r="J91" i="63" s="1"/>
  <c r="J69" i="63" s="1"/>
  <c r="K118" i="31"/>
  <c r="K43" i="63" s="1"/>
  <c r="K37" i="63" s="1"/>
  <c r="K95" i="76"/>
  <c r="L94" i="76" s="1"/>
  <c r="I133" i="31"/>
  <c r="I513" i="63" s="1"/>
  <c r="I520" i="63"/>
  <c r="G276" i="75"/>
  <c r="G523" i="63"/>
  <c r="I283" i="75"/>
  <c r="I420" i="63" s="1"/>
  <c r="I125" i="76"/>
  <c r="I121" i="76" s="1"/>
  <c r="I524" i="63"/>
  <c r="J98" i="76"/>
  <c r="J99" i="76" s="1"/>
  <c r="J104" i="76" s="1"/>
  <c r="K96" i="76"/>
  <c r="K93" i="76"/>
  <c r="L89" i="76" s="1"/>
  <c r="J97" i="76"/>
  <c r="I158" i="31"/>
  <c r="I153" i="31" s="1"/>
  <c r="J161" i="31"/>
  <c r="J417" i="63" s="1"/>
  <c r="H513" i="63"/>
  <c r="J246" i="75"/>
  <c r="J249" i="75"/>
  <c r="I250" i="75"/>
  <c r="I251" i="75"/>
  <c r="I252" i="75" s="1"/>
  <c r="H280" i="75"/>
  <c r="J128" i="76"/>
  <c r="J421" i="63" s="1"/>
  <c r="J127" i="31"/>
  <c r="J128" i="31" s="1"/>
  <c r="J520" i="63" s="1"/>
  <c r="K125" i="31"/>
  <c r="J126" i="31"/>
  <c r="I104" i="76"/>
  <c r="J488" i="63" l="1"/>
  <c r="K112" i="31"/>
  <c r="J35" i="63"/>
  <c r="J115" i="63"/>
  <c r="J116" i="63" s="1"/>
  <c r="J220" i="75"/>
  <c r="L69" i="76"/>
  <c r="L137" i="76" s="1"/>
  <c r="L113" i="63"/>
  <c r="L93" i="63" s="1"/>
  <c r="K242" i="75"/>
  <c r="L118" i="31"/>
  <c r="H276" i="75"/>
  <c r="H523" i="63"/>
  <c r="I517" i="63"/>
  <c r="K161" i="31"/>
  <c r="K417" i="63" s="1"/>
  <c r="K126" i="31"/>
  <c r="L125" i="31"/>
  <c r="I280" i="75"/>
  <c r="K249" i="75"/>
  <c r="J250" i="75"/>
  <c r="K98" i="76"/>
  <c r="K99" i="76" s="1"/>
  <c r="K104" i="76" s="1"/>
  <c r="L96" i="76"/>
  <c r="L93" i="76"/>
  <c r="K97" i="76"/>
  <c r="J158" i="31"/>
  <c r="J153" i="31" s="1"/>
  <c r="J517" i="63"/>
  <c r="J283" i="75"/>
  <c r="J420" i="63" s="1"/>
  <c r="K128" i="76"/>
  <c r="K421" i="63" s="1"/>
  <c r="J524" i="63"/>
  <c r="J125" i="76"/>
  <c r="J121" i="76" s="1"/>
  <c r="J133" i="31"/>
  <c r="I257" i="75"/>
  <c r="J489" i="63" l="1"/>
  <c r="J24" i="82" s="1"/>
  <c r="J23" i="82" s="1"/>
  <c r="J487" i="63"/>
  <c r="L95" i="76"/>
  <c r="M94" i="76" s="1"/>
  <c r="K170" i="31"/>
  <c r="K124" i="31"/>
  <c r="L112" i="31"/>
  <c r="L170" i="31" s="1"/>
  <c r="L43" i="63"/>
  <c r="L37" i="63" s="1"/>
  <c r="J543" i="63"/>
  <c r="K220" i="75"/>
  <c r="K292" i="75" s="1"/>
  <c r="K91" i="63"/>
  <c r="K69" i="63" s="1"/>
  <c r="K488" i="63" s="1"/>
  <c r="J292" i="75"/>
  <c r="J248" i="75"/>
  <c r="K248" i="75"/>
  <c r="L124" i="31"/>
  <c r="M89" i="76"/>
  <c r="I276" i="75"/>
  <c r="I523" i="63"/>
  <c r="L128" i="76"/>
  <c r="L421" i="63" s="1"/>
  <c r="K524" i="63"/>
  <c r="K125" i="76"/>
  <c r="K121" i="76" s="1"/>
  <c r="J513" i="63"/>
  <c r="K517" i="63"/>
  <c r="L98" i="76"/>
  <c r="L99" i="76" s="1"/>
  <c r="M96" i="76"/>
  <c r="L97" i="76"/>
  <c r="M93" i="76"/>
  <c r="L123" i="31" l="1"/>
  <c r="K127" i="31"/>
  <c r="K128" i="31" s="1"/>
  <c r="M123" i="31"/>
  <c r="K35" i="63"/>
  <c r="K115" i="63"/>
  <c r="K116" i="63" s="1"/>
  <c r="K247" i="75"/>
  <c r="L247" i="75" s="1"/>
  <c r="J251" i="75"/>
  <c r="J252" i="75" s="1"/>
  <c r="M69" i="76"/>
  <c r="M113" i="63"/>
  <c r="M93" i="63" s="1"/>
  <c r="M137" i="76"/>
  <c r="M95" i="76"/>
  <c r="N94" i="76" s="1"/>
  <c r="N93" i="76" s="1"/>
  <c r="N89" i="76"/>
  <c r="L524" i="63"/>
  <c r="L125" i="76"/>
  <c r="L121" i="76" s="1"/>
  <c r="M128" i="76"/>
  <c r="M421" i="63" s="1"/>
  <c r="M97" i="76"/>
  <c r="N96" i="76"/>
  <c r="L104" i="76"/>
  <c r="K489" i="63" l="1"/>
  <c r="K24" i="82" s="1"/>
  <c r="K23" i="82" s="1"/>
  <c r="K487" i="63"/>
  <c r="K520" i="63"/>
  <c r="K158" i="31"/>
  <c r="K153" i="31" s="1"/>
  <c r="K133" i="31"/>
  <c r="K513" i="63" s="1"/>
  <c r="L122" i="31"/>
  <c r="L126" i="31"/>
  <c r="K543" i="63"/>
  <c r="J257" i="75"/>
  <c r="J280" i="75"/>
  <c r="K246" i="75"/>
  <c r="K251" i="75" s="1"/>
  <c r="K252" i="75" s="1"/>
  <c r="K250" i="75"/>
  <c r="N69" i="76"/>
  <c r="N137" i="76" s="1"/>
  <c r="N113" i="63"/>
  <c r="N93" i="63" s="1"/>
  <c r="O89" i="76"/>
  <c r="M98" i="76"/>
  <c r="M99" i="76" s="1"/>
  <c r="M104" i="76" s="1"/>
  <c r="M517" i="63" s="1"/>
  <c r="L517" i="63"/>
  <c r="N97" i="76"/>
  <c r="O96" i="76"/>
  <c r="N128" i="76"/>
  <c r="N421" i="63" s="1"/>
  <c r="N95" i="76" l="1"/>
  <c r="O94" i="76" s="1"/>
  <c r="O93" i="76" s="1"/>
  <c r="P89" i="76" s="1"/>
  <c r="P113" i="63" s="1"/>
  <c r="P93" i="63" s="1"/>
  <c r="M125" i="31"/>
  <c r="M118" i="31"/>
  <c r="L161" i="31"/>
  <c r="L417" i="63" s="1"/>
  <c r="M122" i="31"/>
  <c r="L127" i="31"/>
  <c r="L128" i="31" s="1"/>
  <c r="K283" i="75"/>
  <c r="K420" i="63" s="1"/>
  <c r="L249" i="75"/>
  <c r="L242" i="75"/>
  <c r="L246" i="75"/>
  <c r="K257" i="75"/>
  <c r="K280" i="75"/>
  <c r="J523" i="63"/>
  <c r="J276" i="75"/>
  <c r="O69" i="76"/>
  <c r="O113" i="63"/>
  <c r="O93" i="63" s="1"/>
  <c r="M524" i="63"/>
  <c r="N98" i="76"/>
  <c r="N99" i="76" s="1"/>
  <c r="N104" i="76" s="1"/>
  <c r="N517" i="63" s="1"/>
  <c r="M125" i="76"/>
  <c r="M121" i="76" s="1"/>
  <c r="O95" i="76"/>
  <c r="P94" i="76" s="1"/>
  <c r="P93" i="76" s="1"/>
  <c r="O137" i="76"/>
  <c r="P69" i="76"/>
  <c r="O128" i="76"/>
  <c r="O421" i="63" s="1"/>
  <c r="P96" i="76"/>
  <c r="O97" i="76"/>
  <c r="L520" i="63" l="1"/>
  <c r="L158" i="31"/>
  <c r="L153" i="31" s="1"/>
  <c r="M43" i="63"/>
  <c r="M37" i="63" s="1"/>
  <c r="M112" i="31"/>
  <c r="N118" i="31"/>
  <c r="M161" i="31"/>
  <c r="M417" i="63" s="1"/>
  <c r="M126" i="31"/>
  <c r="N125" i="31"/>
  <c r="L133" i="31"/>
  <c r="L513" i="63" s="1"/>
  <c r="L220" i="75"/>
  <c r="L91" i="63"/>
  <c r="L69" i="63" s="1"/>
  <c r="L488" i="63" s="1"/>
  <c r="K276" i="75"/>
  <c r="K523" i="63"/>
  <c r="M242" i="75"/>
  <c r="L283" i="75"/>
  <c r="L420" i="63" s="1"/>
  <c r="M249" i="75"/>
  <c r="L250" i="75"/>
  <c r="O98" i="76"/>
  <c r="O99" i="76" s="1"/>
  <c r="O104" i="76" s="1"/>
  <c r="O517" i="63" s="1"/>
  <c r="N125" i="76"/>
  <c r="N121" i="76" s="1"/>
  <c r="N524" i="63"/>
  <c r="P95" i="76"/>
  <c r="P98" i="76" s="1"/>
  <c r="P99" i="76" s="1"/>
  <c r="P104" i="76" s="1"/>
  <c r="P137" i="76"/>
  <c r="P97" i="76"/>
  <c r="P128" i="76"/>
  <c r="P421" i="63" s="1"/>
  <c r="M170" i="31" l="1"/>
  <c r="M124" i="31"/>
  <c r="N43" i="63"/>
  <c r="N37" i="63" s="1"/>
  <c r="N112" i="31"/>
  <c r="L35" i="63"/>
  <c r="L115" i="63"/>
  <c r="L116" i="63" s="1"/>
  <c r="M220" i="75"/>
  <c r="M91" i="63"/>
  <c r="M69" i="63" s="1"/>
  <c r="M488" i="63" s="1"/>
  <c r="L248" i="75"/>
  <c r="L292" i="75"/>
  <c r="O125" i="76"/>
  <c r="O121" i="76" s="1"/>
  <c r="O524" i="63"/>
  <c r="P524" i="63"/>
  <c r="P125" i="76"/>
  <c r="P121" i="76" s="1"/>
  <c r="P517" i="63"/>
  <c r="L487" i="63" l="1"/>
  <c r="L489" i="63"/>
  <c r="L24" i="82" s="1"/>
  <c r="L23" i="82" s="1"/>
  <c r="N170" i="31"/>
  <c r="N124" i="31"/>
  <c r="N123" i="31"/>
  <c r="M127" i="31"/>
  <c r="M128" i="31" s="1"/>
  <c r="M35" i="63"/>
  <c r="M115" i="63"/>
  <c r="M116" i="63" s="1"/>
  <c r="M247" i="75"/>
  <c r="L251" i="75"/>
  <c r="L252" i="75" s="1"/>
  <c r="M248" i="75"/>
  <c r="N247" i="75" s="1"/>
  <c r="M292" i="75"/>
  <c r="L543" i="63"/>
  <c r="M489" i="63" l="1"/>
  <c r="M24" i="82" s="1"/>
  <c r="M23" i="82" s="1"/>
  <c r="M487" i="63"/>
  <c r="O123" i="31"/>
  <c r="M520" i="63"/>
  <c r="M158" i="31"/>
  <c r="M153" i="31" s="1"/>
  <c r="M133" i="31"/>
  <c r="M513" i="63" s="1"/>
  <c r="N122" i="31"/>
  <c r="O122" i="31" s="1"/>
  <c r="N126" i="31"/>
  <c r="M543" i="63"/>
  <c r="M246" i="75"/>
  <c r="N246" i="75" s="1"/>
  <c r="M250" i="75"/>
  <c r="L257" i="75"/>
  <c r="L280" i="75"/>
  <c r="N127" i="31" l="1"/>
  <c r="N128" i="31" s="1"/>
  <c r="N520" i="63" s="1"/>
  <c r="N158" i="31"/>
  <c r="P118" i="31"/>
  <c r="O161" i="31"/>
  <c r="O417" i="63" s="1"/>
  <c r="O118" i="31"/>
  <c r="N161" i="31"/>
  <c r="N417" i="63" s="1"/>
  <c r="N133" i="31"/>
  <c r="N513" i="63" s="1"/>
  <c r="O125" i="31"/>
  <c r="O242" i="75"/>
  <c r="N283" i="75"/>
  <c r="N420" i="63" s="1"/>
  <c r="M251" i="75"/>
  <c r="M252" i="75" s="1"/>
  <c r="M280" i="75" s="1"/>
  <c r="L276" i="75"/>
  <c r="L523" i="63"/>
  <c r="N242" i="75"/>
  <c r="M283" i="75"/>
  <c r="M420" i="63" s="1"/>
  <c r="N249" i="75"/>
  <c r="C180" i="63"/>
  <c r="N153" i="31" l="1"/>
  <c r="O43" i="63"/>
  <c r="O37" i="63" s="1"/>
  <c r="O112" i="31"/>
  <c r="O126" i="31"/>
  <c r="P125" i="31"/>
  <c r="P43" i="63"/>
  <c r="P37" i="63" s="1"/>
  <c r="P112" i="31"/>
  <c r="M257" i="75"/>
  <c r="M276" i="75"/>
  <c r="M523" i="63"/>
  <c r="O220" i="75"/>
  <c r="O91" i="63"/>
  <c r="O69" i="63" s="1"/>
  <c r="O249" i="75"/>
  <c r="N250" i="75"/>
  <c r="N220" i="75"/>
  <c r="N91" i="63"/>
  <c r="N69" i="63" s="1"/>
  <c r="N488" i="63" s="1"/>
  <c r="C189" i="63"/>
  <c r="O488" i="63" l="1"/>
  <c r="P124" i="31"/>
  <c r="P170" i="31"/>
  <c r="O124" i="31"/>
  <c r="O170" i="31"/>
  <c r="N35" i="63"/>
  <c r="N115" i="63"/>
  <c r="N116" i="63" s="1"/>
  <c r="O35" i="63"/>
  <c r="O115" i="63"/>
  <c r="O116" i="63" s="1"/>
  <c r="N292" i="75"/>
  <c r="N248" i="75"/>
  <c r="O292" i="75"/>
  <c r="O248" i="75"/>
  <c r="C211" i="63"/>
  <c r="C209" i="63" s="1"/>
  <c r="C42" i="76"/>
  <c r="O489" i="63" l="1"/>
  <c r="O24" i="82" s="1"/>
  <c r="O23" i="82" s="1"/>
  <c r="O487" i="63"/>
  <c r="N487" i="63"/>
  <c r="N489" i="63"/>
  <c r="N24" i="82" s="1"/>
  <c r="N23" i="82" s="1"/>
  <c r="P123" i="31"/>
  <c r="O127" i="31"/>
  <c r="O128" i="31" s="1"/>
  <c r="O543" i="63"/>
  <c r="N543" i="63"/>
  <c r="O247" i="75"/>
  <c r="N251" i="75"/>
  <c r="N252" i="75" s="1"/>
  <c r="P247" i="75"/>
  <c r="C54" i="76"/>
  <c r="O520" i="63" l="1"/>
  <c r="O158" i="31"/>
  <c r="O153" i="31" s="1"/>
  <c r="O133" i="31"/>
  <c r="O513" i="63" s="1"/>
  <c r="P122" i="31"/>
  <c r="P126" i="31"/>
  <c r="O246" i="75"/>
  <c r="O251" i="75" s="1"/>
  <c r="O252" i="75" s="1"/>
  <c r="O250" i="75"/>
  <c r="N257" i="75"/>
  <c r="N280" i="75"/>
  <c r="C63" i="76"/>
  <c r="C213" i="63"/>
  <c r="P161" i="31" l="1"/>
  <c r="P417" i="63" s="1"/>
  <c r="P127" i="31"/>
  <c r="P128" i="31" s="1"/>
  <c r="P133" i="31" s="1"/>
  <c r="P513" i="63" s="1"/>
  <c r="N276" i="75"/>
  <c r="N523" i="63"/>
  <c r="P242" i="75"/>
  <c r="O283" i="75"/>
  <c r="O420" i="63" s="1"/>
  <c r="P249" i="75"/>
  <c r="P250" i="75" s="1"/>
  <c r="P246" i="75"/>
  <c r="P283" i="75" s="1"/>
  <c r="P420" i="63" s="1"/>
  <c r="O257" i="75"/>
  <c r="O280" i="75"/>
  <c r="D64" i="76"/>
  <c r="C212" i="75"/>
  <c r="C263" i="75" s="1"/>
  <c r="C281" i="63" s="1"/>
  <c r="C102" i="79"/>
  <c r="C100" i="78"/>
  <c r="C110" i="76"/>
  <c r="C303" i="63" s="1"/>
  <c r="C7" i="82" s="1"/>
  <c r="C76" i="75"/>
  <c r="C110" i="75" s="1"/>
  <c r="P520" i="63" l="1"/>
  <c r="P158" i="31"/>
  <c r="P153" i="31" s="1"/>
  <c r="P220" i="75"/>
  <c r="P91" i="63"/>
  <c r="P69" i="63" s="1"/>
  <c r="P488" i="63" s="1"/>
  <c r="O523" i="63"/>
  <c r="O276" i="75"/>
  <c r="D103" i="79"/>
  <c r="C145" i="79"/>
  <c r="C277" i="63" s="1"/>
  <c r="D101" i="78"/>
  <c r="C139" i="78"/>
  <c r="C273" i="63" s="1"/>
  <c r="C285" i="63" s="1"/>
  <c r="C287" i="63" s="1"/>
  <c r="C17" i="31"/>
  <c r="C165" i="31" s="1"/>
  <c r="D17" i="31"/>
  <c r="D165" i="31" s="1"/>
  <c r="D403" i="63" s="1"/>
  <c r="C111" i="75"/>
  <c r="D408" i="63" l="1"/>
  <c r="D470" i="63" s="1"/>
  <c r="D17" i="82" s="1"/>
  <c r="D16" i="82"/>
  <c r="C183" i="31"/>
  <c r="C403" i="63"/>
  <c r="C16" i="82" s="1"/>
  <c r="P35" i="63"/>
  <c r="P115" i="63"/>
  <c r="P116" i="63" s="1"/>
  <c r="P292" i="75"/>
  <c r="P248" i="75"/>
  <c r="P251" i="75" s="1"/>
  <c r="P252" i="75" s="1"/>
  <c r="B27" i="77"/>
  <c r="B28" i="77"/>
  <c r="B35" i="77" s="1"/>
  <c r="C134" i="76"/>
  <c r="C426" i="63" s="1"/>
  <c r="C201" i="78"/>
  <c r="C202" i="78" s="1"/>
  <c r="C135" i="78"/>
  <c r="C207" i="79"/>
  <c r="C208" i="79" s="1"/>
  <c r="C141" i="79"/>
  <c r="D227" i="63"/>
  <c r="D23" i="31"/>
  <c r="D24" i="31"/>
  <c r="D67" i="31"/>
  <c r="C23" i="31"/>
  <c r="C24" i="31"/>
  <c r="C67" i="31"/>
  <c r="C227" i="63"/>
  <c r="P487" i="63" l="1"/>
  <c r="P489" i="63"/>
  <c r="P24" i="82" s="1"/>
  <c r="P23" i="82" s="1"/>
  <c r="C295" i="63"/>
  <c r="P543" i="63"/>
  <c r="P257" i="75"/>
  <c r="P280" i="75"/>
  <c r="C337" i="63"/>
  <c r="C210" i="79"/>
  <c r="B54" i="77"/>
  <c r="D243" i="63"/>
  <c r="D346" i="63"/>
  <c r="C243" i="63"/>
  <c r="C346" i="63"/>
  <c r="C209" i="79"/>
  <c r="C173" i="79"/>
  <c r="C176" i="79" s="1"/>
  <c r="C180" i="79" s="1"/>
  <c r="C169" i="63"/>
  <c r="D169" i="63"/>
  <c r="C86" i="31"/>
  <c r="D86" i="31"/>
  <c r="D66" i="31"/>
  <c r="D183" i="31"/>
  <c r="P523" i="63" l="1"/>
  <c r="P276" i="75"/>
  <c r="D85" i="31"/>
  <c r="D171" i="63"/>
  <c r="D196" i="63"/>
  <c r="D198" i="63" s="1"/>
  <c r="C171" i="63"/>
  <c r="C196" i="63"/>
  <c r="C198" i="63" s="1"/>
  <c r="D321" i="63"/>
  <c r="D88" i="31" l="1"/>
  <c r="D193" i="31" l="1"/>
  <c r="D184" i="31" s="1"/>
  <c r="D189" i="31"/>
  <c r="D180" i="31" s="1"/>
  <c r="C56" i="31" l="1"/>
  <c r="C12" i="80" s="1"/>
  <c r="I10" i="80" l="1"/>
  <c r="L10" i="80"/>
  <c r="D10" i="80"/>
  <c r="D14" i="80" s="1"/>
  <c r="J10" i="80"/>
  <c r="M10" i="80"/>
  <c r="E10" i="80"/>
  <c r="H10" i="80"/>
  <c r="K10" i="80"/>
  <c r="N10" i="80"/>
  <c r="F10" i="80"/>
  <c r="G10" i="80"/>
  <c r="C72" i="75"/>
  <c r="C109" i="75" s="1"/>
  <c r="C13" i="76"/>
  <c r="C67" i="75"/>
  <c r="C107" i="75" s="1"/>
  <c r="C424" i="63"/>
  <c r="C473" i="63" l="1"/>
  <c r="C19" i="82"/>
  <c r="C106" i="75"/>
  <c r="C66" i="75"/>
  <c r="C65" i="75" s="1"/>
  <c r="C64" i="75" s="1"/>
  <c r="C150" i="63" s="1"/>
  <c r="C101" i="75" l="1"/>
  <c r="C99" i="75"/>
  <c r="C11" i="76" l="1"/>
  <c r="C12" i="76" s="1"/>
  <c r="C151" i="63"/>
  <c r="C153" i="63" s="1"/>
  <c r="C103" i="75"/>
  <c r="C262" i="75"/>
  <c r="D102" i="75"/>
  <c r="C105" i="75"/>
  <c r="C341" i="63" s="1"/>
  <c r="C147" i="75"/>
  <c r="C126" i="75" s="1"/>
  <c r="C340" i="63" s="1"/>
  <c r="C169" i="75"/>
  <c r="C261" i="63" l="1"/>
  <c r="C297" i="63" s="1"/>
  <c r="C261" i="75"/>
  <c r="B29" i="77" s="1"/>
  <c r="C168" i="75"/>
  <c r="C135" i="63"/>
  <c r="C252" i="63" s="1"/>
  <c r="D103" i="75"/>
  <c r="E102" i="75"/>
  <c r="C286" i="75" l="1"/>
  <c r="C342" i="63" s="1"/>
  <c r="D286" i="75"/>
  <c r="D342" i="63" s="1"/>
  <c r="C260" i="63"/>
  <c r="C293" i="63"/>
  <c r="E103" i="75"/>
  <c r="C285" i="75" l="1"/>
  <c r="C265" i="75" s="1"/>
  <c r="C300" i="75" s="1"/>
  <c r="C301" i="75" s="1"/>
  <c r="B55" i="77" s="1"/>
  <c r="D285" i="75"/>
  <c r="D265" i="75" s="1"/>
  <c r="E286" i="75"/>
  <c r="E342" i="63" s="1"/>
  <c r="D440" i="63" l="1"/>
  <c r="D399" i="63" s="1"/>
  <c r="C22" i="77"/>
  <c r="C36" i="77" s="1"/>
  <c r="C43" i="77" s="1"/>
  <c r="C206" i="75"/>
  <c r="C291" i="75"/>
  <c r="C294" i="75" s="1"/>
  <c r="C298" i="75" s="1"/>
  <c r="C440" i="63"/>
  <c r="C399" i="63" s="1"/>
  <c r="B22" i="77"/>
  <c r="B36" i="77" s="1"/>
  <c r="B43" i="77" s="1"/>
  <c r="C441" i="63"/>
  <c r="D206" i="75"/>
  <c r="D207" i="75" s="1"/>
  <c r="D291" i="75"/>
  <c r="D300" i="75"/>
  <c r="D301" i="75" s="1"/>
  <c r="C55" i="77" s="1"/>
  <c r="E285" i="75"/>
  <c r="E265" i="75" s="1"/>
  <c r="D343" i="63" l="1"/>
  <c r="E440" i="63"/>
  <c r="E399" i="63" s="1"/>
  <c r="D22" i="77"/>
  <c r="C343" i="63"/>
  <c r="E206" i="75"/>
  <c r="E207" i="75" s="1"/>
  <c r="D294" i="75"/>
  <c r="D298" i="75" s="1"/>
  <c r="D441" i="63"/>
  <c r="E343" i="63" l="1"/>
  <c r="C144" i="63"/>
  <c r="C438" i="63" l="1"/>
  <c r="C256" i="63"/>
  <c r="C217" i="63" l="1"/>
  <c r="C15" i="76"/>
  <c r="B42" i="77"/>
  <c r="C215" i="63" l="1"/>
  <c r="C52" i="31" l="1"/>
  <c r="C51" i="31" l="1"/>
  <c r="C68" i="31"/>
  <c r="C87" i="31" l="1"/>
  <c r="C66" i="31"/>
  <c r="C164" i="31" s="1"/>
  <c r="C123" i="63"/>
  <c r="C159" i="63" s="1"/>
  <c r="C62" i="31"/>
  <c r="C7" i="76" s="1"/>
  <c r="C61" i="31"/>
  <c r="C124" i="63" l="1"/>
  <c r="C160" i="63" s="1"/>
  <c r="C6" i="76"/>
  <c r="C5" i="76" s="1"/>
  <c r="C140" i="31"/>
  <c r="B26" i="77" s="1"/>
  <c r="C64" i="31"/>
  <c r="D63" i="31"/>
  <c r="C321" i="63"/>
  <c r="C348" i="63" s="1"/>
  <c r="C85" i="31"/>
  <c r="C454" i="63" s="1"/>
  <c r="C191" i="31" l="1"/>
  <c r="C182" i="31" s="1"/>
  <c r="D64" i="31"/>
  <c r="E63" i="31"/>
  <c r="C249" i="63"/>
  <c r="C291" i="63" s="1"/>
  <c r="C137" i="31"/>
  <c r="C88" i="31"/>
  <c r="C33" i="76"/>
  <c r="C109" i="76" s="1"/>
  <c r="C19" i="76"/>
  <c r="C20" i="76"/>
  <c r="C18" i="76"/>
  <c r="C126" i="63"/>
  <c r="C193" i="31" l="1"/>
  <c r="C184" i="31" s="1"/>
  <c r="C189" i="31"/>
  <c r="C180" i="31" s="1"/>
  <c r="C181" i="31"/>
  <c r="C248" i="63"/>
  <c r="C162" i="63"/>
  <c r="C265" i="63"/>
  <c r="E64" i="31"/>
  <c r="D191" i="31"/>
  <c r="D190" i="31" s="1"/>
  <c r="D164" i="31"/>
  <c r="C322" i="63"/>
  <c r="C163" i="31"/>
  <c r="C144" i="31" s="1"/>
  <c r="C431" i="63" s="1"/>
  <c r="C201" i="63"/>
  <c r="C301" i="63"/>
  <c r="C309" i="63" l="1"/>
  <c r="C6" i="82"/>
  <c r="C4" i="82" s="1"/>
  <c r="C396" i="63"/>
  <c r="C347" i="63"/>
  <c r="C264" i="63"/>
  <c r="C190" i="31"/>
  <c r="C187" i="31" s="1"/>
  <c r="B19" i="77" s="1"/>
  <c r="C204" i="31"/>
  <c r="C169" i="31"/>
  <c r="C172" i="31" s="1"/>
  <c r="C176" i="31" s="1"/>
  <c r="C349" i="63"/>
  <c r="C323" i="63"/>
  <c r="E191" i="31"/>
  <c r="E190" i="31" s="1"/>
  <c r="E164" i="31"/>
  <c r="C432" i="63"/>
  <c r="C302" i="63"/>
  <c r="C311" i="63" s="1"/>
  <c r="C108" i="76"/>
  <c r="B30" i="77" s="1"/>
  <c r="D322" i="63"/>
  <c r="D163" i="31"/>
  <c r="D182" i="31"/>
  <c r="D181" i="31" s="1"/>
  <c r="C289" i="63"/>
  <c r="C219" i="63"/>
  <c r="C220" i="63"/>
  <c r="C218" i="63"/>
  <c r="C178" i="31"/>
  <c r="B4" i="77" s="1"/>
  <c r="C298" i="63" l="1"/>
  <c r="C294" i="63"/>
  <c r="C296" i="63"/>
  <c r="C292" i="63"/>
  <c r="C194" i="31"/>
  <c r="C195" i="31" s="1"/>
  <c r="B52" i="77" s="1"/>
  <c r="C100" i="31"/>
  <c r="B14" i="77"/>
  <c r="C446" i="63"/>
  <c r="C448" i="63" s="1"/>
  <c r="E163" i="31"/>
  <c r="E322" i="63"/>
  <c r="E182" i="31"/>
  <c r="E181" i="31" s="1"/>
  <c r="C465" i="63"/>
  <c r="C11" i="82" s="1"/>
  <c r="C95" i="31"/>
  <c r="C185" i="31"/>
  <c r="C186" i="31" s="1"/>
  <c r="C305" i="63"/>
  <c r="B33" i="77"/>
  <c r="B40" i="77" l="1"/>
  <c r="C205" i="31"/>
  <c r="B47" i="77"/>
  <c r="B46" i="77" s="1"/>
  <c r="B3" i="77"/>
  <c r="B25" i="77"/>
  <c r="C460" i="63" l="1"/>
  <c r="C458" i="63" s="1"/>
  <c r="B13" i="77"/>
  <c r="C407" i="63" l="1"/>
  <c r="C408" i="63" s="1"/>
  <c r="C470" i="63" s="1"/>
  <c r="C17" i="82" s="1"/>
  <c r="C130" i="76"/>
  <c r="C112" i="76" s="1"/>
  <c r="C145" i="76" l="1"/>
  <c r="C146" i="76" s="1"/>
  <c r="B56" i="77" s="1"/>
  <c r="D130" i="76"/>
  <c r="D112" i="76" s="1"/>
  <c r="C443" i="63"/>
  <c r="C400" i="63" s="1"/>
  <c r="B23" i="77"/>
  <c r="B37" i="77" s="1"/>
  <c r="C59" i="76"/>
  <c r="C136" i="76"/>
  <c r="C23" i="77" l="1"/>
  <c r="D443" i="63"/>
  <c r="D400" i="63" s="1"/>
  <c r="C139" i="76"/>
  <c r="C143" i="76" s="1"/>
  <c r="C444" i="63"/>
  <c r="B44" i="77" l="1"/>
  <c r="D147" i="78" l="1"/>
  <c r="D153" i="79"/>
  <c r="D149" i="31"/>
  <c r="D146" i="31"/>
  <c r="D150" i="79"/>
  <c r="D144" i="78"/>
  <c r="E144" i="78" s="1"/>
  <c r="E153" i="79" l="1"/>
  <c r="F153" i="79" s="1"/>
  <c r="G153" i="79" s="1"/>
  <c r="H153" i="79" s="1"/>
  <c r="I153" i="79" s="1"/>
  <c r="J153" i="79" s="1"/>
  <c r="K153" i="79" s="1"/>
  <c r="L153" i="79" s="1"/>
  <c r="M153" i="79" s="1"/>
  <c r="N153" i="79" s="1"/>
  <c r="O153" i="79" s="1"/>
  <c r="P153" i="79" s="1"/>
  <c r="D384" i="63"/>
  <c r="E149" i="31"/>
  <c r="F149" i="31" s="1"/>
  <c r="G149" i="31" s="1"/>
  <c r="H149" i="31" s="1"/>
  <c r="I149" i="31" s="1"/>
  <c r="J149" i="31" s="1"/>
  <c r="K149" i="31" s="1"/>
  <c r="L149" i="31" s="1"/>
  <c r="M149" i="31" s="1"/>
  <c r="N149" i="31" s="1"/>
  <c r="O149" i="31" s="1"/>
  <c r="P149" i="31" s="1"/>
  <c r="D382" i="63"/>
  <c r="D387" i="63" s="1"/>
  <c r="D467" i="63" s="1"/>
  <c r="D13" i="82" s="1"/>
  <c r="E150" i="79"/>
  <c r="E146" i="31"/>
  <c r="F146" i="31" l="1"/>
  <c r="F150" i="79"/>
  <c r="G146" i="31" l="1"/>
  <c r="G150" i="79"/>
  <c r="H150" i="79" l="1"/>
  <c r="H146" i="31"/>
  <c r="I146" i="31" l="1"/>
  <c r="I150" i="79"/>
  <c r="D150" i="31"/>
  <c r="E150" i="31" s="1"/>
  <c r="F150" i="31" s="1"/>
  <c r="G150" i="31" s="1"/>
  <c r="H150" i="31" s="1"/>
  <c r="I150" i="31" s="1"/>
  <c r="J150" i="31" s="1"/>
  <c r="K150" i="31" s="1"/>
  <c r="L150" i="31" s="1"/>
  <c r="M150" i="31" s="1"/>
  <c r="N150" i="31" s="1"/>
  <c r="O150" i="31" s="1"/>
  <c r="P150" i="31" s="1"/>
  <c r="J146" i="31" l="1"/>
  <c r="J150" i="79"/>
  <c r="D148" i="78"/>
  <c r="D154" i="79"/>
  <c r="E154" i="79" s="1"/>
  <c r="F154" i="79" s="1"/>
  <c r="G154" i="79" s="1"/>
  <c r="H154" i="79" s="1"/>
  <c r="I154" i="79" s="1"/>
  <c r="J154" i="79" s="1"/>
  <c r="K154" i="79" s="1"/>
  <c r="L154" i="79" s="1"/>
  <c r="M154" i="79" s="1"/>
  <c r="N154" i="79" s="1"/>
  <c r="O154" i="79" s="1"/>
  <c r="P154" i="79" s="1"/>
  <c r="K146" i="31" l="1"/>
  <c r="K150" i="79"/>
  <c r="L146" i="31" l="1"/>
  <c r="L150" i="79"/>
  <c r="M150" i="79" l="1"/>
  <c r="M146" i="31"/>
  <c r="N146" i="31" l="1"/>
  <c r="N150" i="79"/>
  <c r="O146" i="31" l="1"/>
  <c r="O150" i="79"/>
  <c r="P146" i="31" l="1"/>
  <c r="P150" i="79"/>
  <c r="D150" i="78" l="1"/>
  <c r="D156" i="79"/>
  <c r="E156" i="79" s="1"/>
  <c r="F156" i="79" s="1"/>
  <c r="G156" i="79" s="1"/>
  <c r="H156" i="79" s="1"/>
  <c r="I156" i="79" s="1"/>
  <c r="J156" i="79" s="1"/>
  <c r="K156" i="79" s="1"/>
  <c r="L156" i="79" s="1"/>
  <c r="M156" i="79" s="1"/>
  <c r="N156" i="79" s="1"/>
  <c r="O156" i="79" s="1"/>
  <c r="P156" i="79" s="1"/>
  <c r="D152" i="31" l="1"/>
  <c r="E152" i="31" l="1"/>
  <c r="F152" i="31" l="1"/>
  <c r="G152" i="31" l="1"/>
  <c r="E147" i="31" l="1"/>
  <c r="E382" i="63" s="1"/>
  <c r="D145" i="31"/>
  <c r="H152" i="31"/>
  <c r="D188" i="31" l="1"/>
  <c r="D144" i="31"/>
  <c r="D431" i="63" s="1"/>
  <c r="D396" i="63" s="1"/>
  <c r="F147" i="31"/>
  <c r="F382" i="63" s="1"/>
  <c r="E145" i="31"/>
  <c r="I152" i="31"/>
  <c r="E188" i="31" l="1"/>
  <c r="E144" i="31"/>
  <c r="E431" i="63" s="1"/>
  <c r="E396" i="63" s="1"/>
  <c r="G147" i="31"/>
  <c r="G382" i="63" s="1"/>
  <c r="F145" i="31"/>
  <c r="D179" i="31"/>
  <c r="D178" i="31" s="1"/>
  <c r="D187" i="31"/>
  <c r="C19" i="77" s="1"/>
  <c r="J152" i="31"/>
  <c r="D169" i="31"/>
  <c r="D172" i="31" s="1"/>
  <c r="D176" i="31" s="1"/>
  <c r="D204" i="31"/>
  <c r="C4" i="77" l="1"/>
  <c r="C14" i="77" s="1"/>
  <c r="C33" i="77"/>
  <c r="K152" i="31"/>
  <c r="D194" i="31"/>
  <c r="D195" i="31" s="1"/>
  <c r="C52" i="77" s="1"/>
  <c r="D100" i="31"/>
  <c r="D101" i="31" s="1"/>
  <c r="H147" i="31"/>
  <c r="H382" i="63" s="1"/>
  <c r="G145" i="31"/>
  <c r="E179" i="31"/>
  <c r="E178" i="31" s="1"/>
  <c r="E187" i="31"/>
  <c r="D19" i="77" s="1"/>
  <c r="D323" i="63"/>
  <c r="D432" i="63"/>
  <c r="D185" i="31"/>
  <c r="D186" i="31" s="1"/>
  <c r="D95" i="31"/>
  <c r="C40" i="77" l="1"/>
  <c r="D4" i="77"/>
  <c r="D14" i="77" s="1"/>
  <c r="D205" i="31"/>
  <c r="C47" i="77"/>
  <c r="E323" i="63"/>
  <c r="D96" i="31"/>
  <c r="E100" i="31"/>
  <c r="E101" i="31" s="1"/>
  <c r="I147" i="31"/>
  <c r="I382" i="63" s="1"/>
  <c r="H145" i="31"/>
  <c r="E95" i="31"/>
  <c r="E185" i="31"/>
  <c r="E186" i="31" s="1"/>
  <c r="D47" i="77" s="1"/>
  <c r="L152" i="31"/>
  <c r="M152" i="31" l="1"/>
  <c r="E96" i="31"/>
  <c r="J147" i="31"/>
  <c r="J382" i="63" s="1"/>
  <c r="I145" i="31"/>
  <c r="K147" i="31" l="1"/>
  <c r="K382" i="63" s="1"/>
  <c r="J145" i="31"/>
  <c r="N152" i="31"/>
  <c r="O152" i="31" l="1"/>
  <c r="L147" i="31"/>
  <c r="L382" i="63" s="1"/>
  <c r="K145" i="31"/>
  <c r="M147" i="31" l="1"/>
  <c r="M382" i="63" s="1"/>
  <c r="L145" i="31"/>
  <c r="P152" i="31"/>
  <c r="N147" i="31" l="1"/>
  <c r="N382" i="63" s="1"/>
  <c r="M145" i="31"/>
  <c r="O147" i="31" l="1"/>
  <c r="O382" i="63" s="1"/>
  <c r="N145" i="31"/>
  <c r="P147" i="31" l="1"/>
  <c r="P382" i="63" s="1"/>
  <c r="O145" i="31"/>
  <c r="P145" i="31" l="1"/>
  <c r="D143" i="78" l="1"/>
  <c r="D186" i="78" s="1"/>
  <c r="E151" i="79" l="1"/>
  <c r="E384" i="63" s="1"/>
  <c r="D149" i="79"/>
  <c r="F151" i="79" l="1"/>
  <c r="F384" i="63" s="1"/>
  <c r="E149" i="79"/>
  <c r="G151" i="79" l="1"/>
  <c r="G384" i="63" s="1"/>
  <c r="F149" i="79"/>
  <c r="H151" i="79" l="1"/>
  <c r="H384" i="63" s="1"/>
  <c r="G149" i="79"/>
  <c r="I151" i="79" l="1"/>
  <c r="I384" i="63" s="1"/>
  <c r="H149" i="79"/>
  <c r="J151" i="79" l="1"/>
  <c r="J384" i="63" s="1"/>
  <c r="I149" i="79"/>
  <c r="K151" i="79" l="1"/>
  <c r="K384" i="63" s="1"/>
  <c r="J149" i="79"/>
  <c r="L151" i="79" l="1"/>
  <c r="L384" i="63" s="1"/>
  <c r="K149" i="79"/>
  <c r="M151" i="79" l="1"/>
  <c r="M384" i="63" s="1"/>
  <c r="L149" i="79"/>
  <c r="N151" i="79" l="1"/>
  <c r="N384" i="63" s="1"/>
  <c r="M149" i="79"/>
  <c r="O151" i="79" l="1"/>
  <c r="O384" i="63" s="1"/>
  <c r="N149" i="79"/>
  <c r="P151" i="79" l="1"/>
  <c r="P384" i="63" s="1"/>
  <c r="O149" i="79"/>
  <c r="P149" i="79" l="1"/>
  <c r="C37" i="78" l="1"/>
  <c r="C34" i="78"/>
  <c r="D34" i="78" l="1"/>
  <c r="C27" i="78"/>
  <c r="C47" i="78"/>
  <c r="C36" i="78"/>
  <c r="D37" i="78"/>
  <c r="C46" i="78"/>
  <c r="C28" i="78" l="1"/>
  <c r="C45" i="78" s="1"/>
  <c r="C130" i="63"/>
  <c r="C136" i="63" s="1"/>
  <c r="E34" i="78"/>
  <c r="D27" i="78"/>
  <c r="D36" i="78"/>
  <c r="E37" i="78"/>
  <c r="D47" i="78"/>
  <c r="D46" i="78"/>
  <c r="D28" i="78" l="1"/>
  <c r="D45" i="78" s="1"/>
  <c r="D130" i="63"/>
  <c r="D136" i="63" s="1"/>
  <c r="F34" i="78"/>
  <c r="E27" i="78"/>
  <c r="F37" i="78"/>
  <c r="E36" i="78"/>
  <c r="E47" i="78"/>
  <c r="E46" i="78"/>
  <c r="E28" i="78" l="1"/>
  <c r="E45" i="78" s="1"/>
  <c r="E130" i="63"/>
  <c r="E136" i="63" s="1"/>
  <c r="F47" i="78"/>
  <c r="F36" i="78"/>
  <c r="G37" i="78"/>
  <c r="F46" i="78"/>
  <c r="G34" i="78"/>
  <c r="F27" i="78"/>
  <c r="F28" i="78" l="1"/>
  <c r="F45" i="78" s="1"/>
  <c r="F130" i="63"/>
  <c r="F136" i="63" s="1"/>
  <c r="H34" i="78"/>
  <c r="G27" i="78"/>
  <c r="G47" i="78"/>
  <c r="G36" i="78"/>
  <c r="H37" i="78"/>
  <c r="G46" i="78"/>
  <c r="G28" i="78" l="1"/>
  <c r="G45" i="78" s="1"/>
  <c r="G130" i="63"/>
  <c r="G136" i="63" s="1"/>
  <c r="H47" i="78"/>
  <c r="H36" i="78"/>
  <c r="I37" i="78"/>
  <c r="H46" i="78"/>
  <c r="I34" i="78"/>
  <c r="H27" i="78"/>
  <c r="H28" i="78" l="1"/>
  <c r="H45" i="78" s="1"/>
  <c r="H130" i="63"/>
  <c r="H136" i="63" s="1"/>
  <c r="J34" i="78"/>
  <c r="I27" i="78"/>
  <c r="J37" i="78"/>
  <c r="I47" i="78"/>
  <c r="I36" i="78"/>
  <c r="I46" i="78"/>
  <c r="I28" i="78" l="1"/>
  <c r="I45" i="78" s="1"/>
  <c r="I130" i="63"/>
  <c r="I136" i="63" s="1"/>
  <c r="J47" i="78"/>
  <c r="J36" i="78"/>
  <c r="K37" i="78"/>
  <c r="J46" i="78"/>
  <c r="K34" i="78"/>
  <c r="J27" i="78"/>
  <c r="J28" i="78" l="1"/>
  <c r="J45" i="78" s="1"/>
  <c r="J130" i="63"/>
  <c r="J136" i="63" s="1"/>
  <c r="L34" i="78"/>
  <c r="K27" i="78"/>
  <c r="K47" i="78"/>
  <c r="K36" i="78"/>
  <c r="L37" i="78"/>
  <c r="K46" i="78"/>
  <c r="K28" i="78" l="1"/>
  <c r="K45" i="78" s="1"/>
  <c r="K130" i="63"/>
  <c r="K136" i="63" s="1"/>
  <c r="M37" i="78"/>
  <c r="L47" i="78"/>
  <c r="L36" i="78"/>
  <c r="L46" i="78"/>
  <c r="M34" i="78"/>
  <c r="L27" i="78"/>
  <c r="L28" i="78" l="1"/>
  <c r="L45" i="78" s="1"/>
  <c r="L130" i="63"/>
  <c r="L136" i="63" s="1"/>
  <c r="N34" i="78"/>
  <c r="M27" i="78"/>
  <c r="M47" i="78"/>
  <c r="N37" i="78"/>
  <c r="M36" i="78"/>
  <c r="M46" i="78"/>
  <c r="M28" i="78" l="1"/>
  <c r="M45" i="78" s="1"/>
  <c r="M130" i="63"/>
  <c r="M136" i="63" s="1"/>
  <c r="O34" i="78"/>
  <c r="N27" i="78"/>
  <c r="N47" i="78"/>
  <c r="O37" i="78"/>
  <c r="N36" i="78"/>
  <c r="N46" i="78"/>
  <c r="N28" i="78" l="1"/>
  <c r="N45" i="78" s="1"/>
  <c r="N130" i="63"/>
  <c r="N136" i="63" s="1"/>
  <c r="P37" i="78"/>
  <c r="O47" i="78"/>
  <c r="O36" i="78"/>
  <c r="O46" i="78"/>
  <c r="P34" i="78"/>
  <c r="P27" i="78" s="1"/>
  <c r="O27" i="78"/>
  <c r="P28" i="78" l="1"/>
  <c r="P45" i="78" s="1"/>
  <c r="P130" i="63"/>
  <c r="P136" i="63" s="1"/>
  <c r="O28" i="78"/>
  <c r="O45" i="78" s="1"/>
  <c r="O130" i="63"/>
  <c r="O136" i="63" s="1"/>
  <c r="P36" i="78"/>
  <c r="P47" i="78"/>
  <c r="P46" i="78"/>
  <c r="C38" i="79" l="1"/>
  <c r="C33" i="79" l="1"/>
  <c r="C31" i="79"/>
  <c r="C42" i="79"/>
  <c r="D53" i="79" s="1"/>
  <c r="C44" i="79"/>
  <c r="D44" i="79" s="1"/>
  <c r="E44" i="79" s="1"/>
  <c r="F44" i="79" s="1"/>
  <c r="G44" i="79" s="1"/>
  <c r="H44" i="79" s="1"/>
  <c r="I44" i="79" s="1"/>
  <c r="J44" i="79" s="1"/>
  <c r="K44" i="79" s="1"/>
  <c r="L44" i="79" s="1"/>
  <c r="M44" i="79" s="1"/>
  <c r="N44" i="79" s="1"/>
  <c r="O44" i="79" s="1"/>
  <c r="P44" i="79" s="1"/>
  <c r="D38" i="79"/>
  <c r="C48" i="79"/>
  <c r="C39" i="79" l="1"/>
  <c r="E38" i="79"/>
  <c r="D42" i="79"/>
  <c r="E53" i="79" s="1"/>
  <c r="C41" i="79"/>
  <c r="D45" i="79"/>
  <c r="C32" i="79"/>
  <c r="D32" i="79" s="1"/>
  <c r="E32" i="79" s="1"/>
  <c r="F32" i="79" s="1"/>
  <c r="G32" i="79" s="1"/>
  <c r="H32" i="79" s="1"/>
  <c r="I32" i="79" s="1"/>
  <c r="J32" i="79" s="1"/>
  <c r="K32" i="79" s="1"/>
  <c r="L32" i="79" s="1"/>
  <c r="M32" i="79" s="1"/>
  <c r="N32" i="79" s="1"/>
  <c r="O32" i="79" s="1"/>
  <c r="P32" i="79" s="1"/>
  <c r="D31" i="79"/>
  <c r="C28" i="79"/>
  <c r="C139" i="63" s="1"/>
  <c r="C157" i="63" s="1"/>
  <c r="D33" i="79"/>
  <c r="C30" i="79"/>
  <c r="E33" i="79" l="1"/>
  <c r="D30" i="79"/>
  <c r="E31" i="79"/>
  <c r="D28" i="79"/>
  <c r="D48" i="79"/>
  <c r="E45" i="79"/>
  <c r="D41" i="79"/>
  <c r="E42" i="79"/>
  <c r="F53" i="79" s="1"/>
  <c r="C47" i="79"/>
  <c r="C40" i="79"/>
  <c r="C140" i="63" s="1"/>
  <c r="C145" i="63" s="1"/>
  <c r="F38" i="79"/>
  <c r="D39" i="79"/>
  <c r="C37" i="79"/>
  <c r="C29" i="79"/>
  <c r="C46" i="79" s="1"/>
  <c r="C158" i="63" l="1"/>
  <c r="C163" i="63" s="1"/>
  <c r="D29" i="79"/>
  <c r="D139" i="63"/>
  <c r="D157" i="63" s="1"/>
  <c r="F42" i="79"/>
  <c r="G53" i="79" s="1"/>
  <c r="E41" i="79"/>
  <c r="D40" i="79"/>
  <c r="D47" i="79"/>
  <c r="F31" i="79"/>
  <c r="E28" i="79"/>
  <c r="E139" i="63" s="1"/>
  <c r="E157" i="63" s="1"/>
  <c r="F33" i="79"/>
  <c r="E30" i="79"/>
  <c r="E39" i="79"/>
  <c r="D37" i="79"/>
  <c r="G38" i="79"/>
  <c r="D50" i="79"/>
  <c r="F45" i="79"/>
  <c r="E48" i="79"/>
  <c r="D46" i="79" l="1"/>
  <c r="D140" i="63"/>
  <c r="D145" i="63" s="1"/>
  <c r="F48" i="79"/>
  <c r="G45" i="79"/>
  <c r="E50" i="79"/>
  <c r="H38" i="79"/>
  <c r="F39" i="79"/>
  <c r="E37" i="79"/>
  <c r="G33" i="79"/>
  <c r="F30" i="79"/>
  <c r="F28" i="79"/>
  <c r="F139" i="63" s="1"/>
  <c r="F157" i="63" s="1"/>
  <c r="G31" i="79"/>
  <c r="G42" i="79"/>
  <c r="H53" i="79" s="1"/>
  <c r="F41" i="79"/>
  <c r="D49" i="79"/>
  <c r="D141" i="63" s="1"/>
  <c r="D159" i="63" s="1"/>
  <c r="D62" i="79"/>
  <c r="E40" i="79"/>
  <c r="E140" i="63" s="1"/>
  <c r="E145" i="63" s="1"/>
  <c r="E47" i="79"/>
  <c r="E29" i="79"/>
  <c r="D158" i="63" l="1"/>
  <c r="D163" i="63" s="1"/>
  <c r="E158" i="63"/>
  <c r="E163" i="63" s="1"/>
  <c r="F29" i="79"/>
  <c r="D56" i="79"/>
  <c r="D55" i="79"/>
  <c r="H42" i="79"/>
  <c r="I53" i="79" s="1"/>
  <c r="G41" i="79"/>
  <c r="H33" i="79"/>
  <c r="G30" i="79"/>
  <c r="G39" i="79"/>
  <c r="F37" i="79"/>
  <c r="I38" i="79"/>
  <c r="E46" i="79"/>
  <c r="D80" i="79"/>
  <c r="D60" i="79"/>
  <c r="D195" i="79"/>
  <c r="F40" i="79"/>
  <c r="F47" i="79"/>
  <c r="H31" i="79"/>
  <c r="G28" i="79"/>
  <c r="E49" i="79"/>
  <c r="E141" i="63" s="1"/>
  <c r="E159" i="63" s="1"/>
  <c r="E62" i="79"/>
  <c r="G48" i="79"/>
  <c r="H45" i="79"/>
  <c r="G29" i="79" l="1"/>
  <c r="G139" i="63"/>
  <c r="G157" i="63" s="1"/>
  <c r="D9" i="76"/>
  <c r="D6" i="76" s="1"/>
  <c r="D5" i="76" s="1"/>
  <c r="D20" i="76" s="1"/>
  <c r="D142" i="63"/>
  <c r="F46" i="79"/>
  <c r="F140" i="63"/>
  <c r="F145" i="63" s="1"/>
  <c r="D168" i="79"/>
  <c r="D336" i="63" s="1"/>
  <c r="D335" i="63"/>
  <c r="D348" i="63" s="1"/>
  <c r="H48" i="79"/>
  <c r="I45" i="79"/>
  <c r="E60" i="79"/>
  <c r="E195" i="79"/>
  <c r="E80" i="79"/>
  <c r="D78" i="79"/>
  <c r="G40" i="79"/>
  <c r="G47" i="79"/>
  <c r="D57" i="79"/>
  <c r="D144" i="79"/>
  <c r="D58" i="79"/>
  <c r="E56" i="79"/>
  <c r="E55" i="79"/>
  <c r="I31" i="79"/>
  <c r="H28" i="79"/>
  <c r="H139" i="63" s="1"/>
  <c r="H157" i="63" s="1"/>
  <c r="J38" i="79"/>
  <c r="H39" i="79"/>
  <c r="G37" i="79"/>
  <c r="I33" i="79"/>
  <c r="H30" i="79"/>
  <c r="I42" i="79"/>
  <c r="J53" i="79" s="1"/>
  <c r="H41" i="79"/>
  <c r="D257" i="63" l="1"/>
  <c r="C28" i="77"/>
  <c r="D349" i="63"/>
  <c r="D465" i="63" s="1"/>
  <c r="D11" i="82" s="1"/>
  <c r="S38" i="82" s="1"/>
  <c r="D186" i="79"/>
  <c r="D18" i="76"/>
  <c r="D167" i="79"/>
  <c r="D148" i="79" s="1"/>
  <c r="D437" i="63" s="1"/>
  <c r="D398" i="63" s="1"/>
  <c r="D33" i="76"/>
  <c r="D301" i="63" s="1"/>
  <c r="D19" i="76"/>
  <c r="E9" i="76"/>
  <c r="E6" i="76" s="1"/>
  <c r="E5" i="76" s="1"/>
  <c r="E142" i="63"/>
  <c r="D265" i="63"/>
  <c r="D81" i="79"/>
  <c r="D454" i="63"/>
  <c r="G46" i="79"/>
  <c r="G140" i="63"/>
  <c r="G145" i="63" s="1"/>
  <c r="E168" i="79"/>
  <c r="E336" i="63" s="1"/>
  <c r="E335" i="63"/>
  <c r="F158" i="63"/>
  <c r="F163" i="63" s="1"/>
  <c r="D144" i="63"/>
  <c r="D160" i="63"/>
  <c r="J42" i="79"/>
  <c r="K53" i="79" s="1"/>
  <c r="I41" i="79"/>
  <c r="J33" i="79"/>
  <c r="I30" i="79"/>
  <c r="I39" i="79"/>
  <c r="H37" i="79"/>
  <c r="I28" i="79"/>
  <c r="J31" i="79"/>
  <c r="D141" i="79"/>
  <c r="E78" i="79"/>
  <c r="H40" i="79"/>
  <c r="H140" i="63" s="1"/>
  <c r="H145" i="63" s="1"/>
  <c r="H47" i="79"/>
  <c r="K38" i="79"/>
  <c r="J45" i="79"/>
  <c r="I48" i="79"/>
  <c r="H29" i="79"/>
  <c r="E57" i="79"/>
  <c r="D309" i="63" l="1"/>
  <c r="D310" i="63" s="1"/>
  <c r="D337" i="63"/>
  <c r="I31" i="76"/>
  <c r="F31" i="76"/>
  <c r="J31" i="76"/>
  <c r="H31" i="76"/>
  <c r="G31" i="76"/>
  <c r="D192" i="79"/>
  <c r="D183" i="79" s="1"/>
  <c r="D193" i="79"/>
  <c r="D184" i="79" s="1"/>
  <c r="D109" i="76"/>
  <c r="D6" i="82" s="1"/>
  <c r="D4" i="82" s="1"/>
  <c r="E20" i="76"/>
  <c r="E33" i="76"/>
  <c r="E167" i="79"/>
  <c r="E148" i="79" s="1"/>
  <c r="E437" i="63" s="1"/>
  <c r="E398" i="63" s="1"/>
  <c r="D197" i="79"/>
  <c r="D188" i="79" s="1"/>
  <c r="D185" i="79" s="1"/>
  <c r="D59" i="76"/>
  <c r="D60" i="76" s="1"/>
  <c r="E186" i="79"/>
  <c r="D201" i="63"/>
  <c r="E18" i="76"/>
  <c r="E19" i="76"/>
  <c r="E81" i="79"/>
  <c r="E193" i="79" s="1"/>
  <c r="E184" i="79" s="1"/>
  <c r="G158" i="63"/>
  <c r="G163" i="63" s="1"/>
  <c r="E144" i="63"/>
  <c r="E160" i="63"/>
  <c r="H158" i="63"/>
  <c r="H163" i="63" s="1"/>
  <c r="I29" i="79"/>
  <c r="I139" i="63"/>
  <c r="I157" i="63" s="1"/>
  <c r="D256" i="63"/>
  <c r="D347" i="63" s="1"/>
  <c r="D162" i="63"/>
  <c r="D295" i="63"/>
  <c r="D173" i="79"/>
  <c r="D176" i="79" s="1"/>
  <c r="D180" i="79" s="1"/>
  <c r="D209" i="79"/>
  <c r="J39" i="79"/>
  <c r="I37" i="79"/>
  <c r="K33" i="79"/>
  <c r="J30" i="79"/>
  <c r="K42" i="79"/>
  <c r="L53" i="79" s="1"/>
  <c r="J41" i="79"/>
  <c r="E58" i="79"/>
  <c r="H46" i="79"/>
  <c r="K45" i="79"/>
  <c r="J48" i="79"/>
  <c r="L38" i="79"/>
  <c r="J28" i="79"/>
  <c r="K31" i="79"/>
  <c r="I40" i="79"/>
  <c r="I47" i="79"/>
  <c r="D108" i="76" l="1"/>
  <c r="C30" i="77" s="1"/>
  <c r="D302" i="63"/>
  <c r="G56" i="81"/>
  <c r="G54" i="81" s="1"/>
  <c r="G52" i="81"/>
  <c r="G50" i="81" s="1"/>
  <c r="J52" i="81"/>
  <c r="J56" i="81"/>
  <c r="I56" i="81"/>
  <c r="I54" i="81" s="1"/>
  <c r="I52" i="81"/>
  <c r="I50" i="81" s="1"/>
  <c r="C251" i="80"/>
  <c r="E301" i="63"/>
  <c r="H52" i="81"/>
  <c r="H50" i="81" s="1"/>
  <c r="H56" i="81"/>
  <c r="H54" i="81" s="1"/>
  <c r="F52" i="81"/>
  <c r="F50" i="81" s="1"/>
  <c r="F56" i="81"/>
  <c r="F54" i="81" s="1"/>
  <c r="D438" i="63"/>
  <c r="I82" i="75"/>
  <c r="I74" i="75"/>
  <c r="I72" i="75" s="1"/>
  <c r="I109" i="75" s="1"/>
  <c r="J82" i="75"/>
  <c r="J80" i="75" s="1"/>
  <c r="J74" i="75"/>
  <c r="H82" i="75"/>
  <c r="H74" i="75"/>
  <c r="H72" i="75" s="1"/>
  <c r="H109" i="75" s="1"/>
  <c r="G82" i="75"/>
  <c r="G74" i="75"/>
  <c r="G72" i="75" s="1"/>
  <c r="G109" i="75" s="1"/>
  <c r="F82" i="75"/>
  <c r="F74" i="75"/>
  <c r="F72" i="75" s="1"/>
  <c r="F109" i="75" s="1"/>
  <c r="H69" i="75"/>
  <c r="H67" i="75" s="1"/>
  <c r="H52" i="79"/>
  <c r="H50" i="79" s="1"/>
  <c r="I69" i="75"/>
  <c r="I67" i="75" s="1"/>
  <c r="I52" i="79"/>
  <c r="I50" i="79" s="1"/>
  <c r="I49" i="79" s="1"/>
  <c r="I141" i="63" s="1"/>
  <c r="J69" i="75"/>
  <c r="J52" i="79"/>
  <c r="K52" i="79" s="1"/>
  <c r="L52" i="79" s="1"/>
  <c r="M52" i="79" s="1"/>
  <c r="N52" i="79" s="1"/>
  <c r="O52" i="79" s="1"/>
  <c r="P52" i="79" s="1"/>
  <c r="G69" i="75"/>
  <c r="G67" i="75" s="1"/>
  <c r="G52" i="79"/>
  <c r="F52" i="79"/>
  <c r="F50" i="79" s="1"/>
  <c r="F69" i="75"/>
  <c r="F67" i="75" s="1"/>
  <c r="F51" i="78"/>
  <c r="J51" i="78"/>
  <c r="J58" i="31"/>
  <c r="J54" i="31"/>
  <c r="H51" i="78"/>
  <c r="H49" i="78" s="1"/>
  <c r="H58" i="31"/>
  <c r="H56" i="31" s="1"/>
  <c r="H54" i="31"/>
  <c r="H52" i="31" s="1"/>
  <c r="G54" i="31"/>
  <c r="G52" i="31" s="1"/>
  <c r="G51" i="78"/>
  <c r="G49" i="78" s="1"/>
  <c r="G58" i="31"/>
  <c r="G56" i="31" s="1"/>
  <c r="E197" i="79"/>
  <c r="E194" i="79" s="1"/>
  <c r="I54" i="31"/>
  <c r="I52" i="31" s="1"/>
  <c r="I51" i="78"/>
  <c r="I49" i="78" s="1"/>
  <c r="I58" i="31"/>
  <c r="I56" i="31" s="1"/>
  <c r="F49" i="78"/>
  <c r="F54" i="31"/>
  <c r="F52" i="31" s="1"/>
  <c r="D28" i="80" s="1"/>
  <c r="F58" i="31"/>
  <c r="F56" i="31" s="1"/>
  <c r="G50" i="79"/>
  <c r="E201" i="63"/>
  <c r="D194" i="79"/>
  <c r="D191" i="79" s="1"/>
  <c r="C21" i="77" s="1"/>
  <c r="D182" i="79"/>
  <c r="C6" i="77" s="1"/>
  <c r="E192" i="79"/>
  <c r="E183" i="79" s="1"/>
  <c r="I46" i="79"/>
  <c r="I140" i="63"/>
  <c r="I145" i="63" s="1"/>
  <c r="J29" i="79"/>
  <c r="J139" i="63"/>
  <c r="J157" i="63" s="1"/>
  <c r="E256" i="63"/>
  <c r="E347" i="63" s="1"/>
  <c r="E162" i="63"/>
  <c r="D289" i="63"/>
  <c r="D219" i="63"/>
  <c r="D220" i="63"/>
  <c r="D218" i="63"/>
  <c r="D145" i="76"/>
  <c r="D146" i="76" s="1"/>
  <c r="C56" i="77" s="1"/>
  <c r="D311" i="63"/>
  <c r="D312" i="63" s="1"/>
  <c r="D136" i="76"/>
  <c r="E188" i="79"/>
  <c r="E185" i="79" s="1"/>
  <c r="M38" i="79"/>
  <c r="L45" i="79"/>
  <c r="K48" i="79"/>
  <c r="L42" i="79"/>
  <c r="M53" i="79" s="1"/>
  <c r="K41" i="79"/>
  <c r="L33" i="79"/>
  <c r="K30" i="79"/>
  <c r="K39" i="79"/>
  <c r="J37" i="79"/>
  <c r="K28" i="79"/>
  <c r="L31" i="79"/>
  <c r="J40" i="79"/>
  <c r="J47" i="79"/>
  <c r="F49" i="81" l="1"/>
  <c r="F66" i="81"/>
  <c r="H49" i="81"/>
  <c r="H66" i="81"/>
  <c r="K52" i="81"/>
  <c r="J50" i="81"/>
  <c r="D98" i="79"/>
  <c r="D99" i="79" s="1"/>
  <c r="I49" i="81"/>
  <c r="I66" i="81"/>
  <c r="K56" i="81"/>
  <c r="J54" i="81"/>
  <c r="G49" i="81"/>
  <c r="G66" i="81"/>
  <c r="D305" i="63"/>
  <c r="D306" i="63" s="1"/>
  <c r="D294" i="63"/>
  <c r="D298" i="63"/>
  <c r="D292" i="63"/>
  <c r="D296" i="63"/>
  <c r="G140" i="80"/>
  <c r="F140" i="80"/>
  <c r="J50" i="79"/>
  <c r="J49" i="79" s="1"/>
  <c r="J141" i="63" s="1"/>
  <c r="D94" i="79"/>
  <c r="D95" i="79" s="1"/>
  <c r="C35" i="77"/>
  <c r="D189" i="79"/>
  <c r="D190" i="79" s="1"/>
  <c r="C49" i="77" s="1"/>
  <c r="F80" i="75"/>
  <c r="F112" i="75" s="1"/>
  <c r="G80" i="75"/>
  <c r="G112" i="75" s="1"/>
  <c r="H80" i="75"/>
  <c r="H112" i="75" s="1"/>
  <c r="I80" i="75"/>
  <c r="I112" i="75" s="1"/>
  <c r="K82" i="75"/>
  <c r="K80" i="75" s="1"/>
  <c r="J112" i="75"/>
  <c r="J72" i="75"/>
  <c r="J109" i="75" s="1"/>
  <c r="K74" i="75"/>
  <c r="F49" i="79"/>
  <c r="F62" i="79"/>
  <c r="G107" i="75"/>
  <c r="J67" i="75"/>
  <c r="K69" i="75"/>
  <c r="I107" i="75"/>
  <c r="H107" i="75"/>
  <c r="F107" i="75"/>
  <c r="G62" i="79"/>
  <c r="G49" i="79"/>
  <c r="F51" i="31"/>
  <c r="F68" i="31"/>
  <c r="G77" i="31" s="1"/>
  <c r="G76" i="31" s="1"/>
  <c r="G71" i="31" s="1"/>
  <c r="G51" i="31"/>
  <c r="J52" i="31"/>
  <c r="K54" i="31"/>
  <c r="K51" i="78"/>
  <c r="J49" i="78"/>
  <c r="I51" i="31"/>
  <c r="F48" i="78"/>
  <c r="F61" i="78"/>
  <c r="I61" i="78"/>
  <c r="I48" i="78"/>
  <c r="H49" i="79"/>
  <c r="H62" i="79"/>
  <c r="G61" i="78"/>
  <c r="G48" i="78"/>
  <c r="H51" i="31"/>
  <c r="H48" i="78"/>
  <c r="H61" i="78"/>
  <c r="K58" i="31"/>
  <c r="J56" i="31"/>
  <c r="D198" i="79"/>
  <c r="D199" i="79" s="1"/>
  <c r="C54" i="77" s="1"/>
  <c r="E182" i="79"/>
  <c r="D6" i="77" s="1"/>
  <c r="E191" i="79"/>
  <c r="D21" i="77" s="1"/>
  <c r="J46" i="79"/>
  <c r="J140" i="63"/>
  <c r="J145" i="63" s="1"/>
  <c r="K29" i="79"/>
  <c r="K139" i="63"/>
  <c r="K157" i="63" s="1"/>
  <c r="E219" i="63"/>
  <c r="E218" i="63"/>
  <c r="E220" i="63"/>
  <c r="I158" i="63"/>
  <c r="I163" i="63" s="1"/>
  <c r="C16" i="77"/>
  <c r="C37" i="77"/>
  <c r="C44" i="77" s="1"/>
  <c r="C25" i="77"/>
  <c r="D460" i="63" s="1"/>
  <c r="D458" i="63" s="1"/>
  <c r="D139" i="76"/>
  <c r="D143" i="76" s="1"/>
  <c r="D444" i="63"/>
  <c r="I56" i="79"/>
  <c r="I55" i="79"/>
  <c r="L28" i="79"/>
  <c r="L139" i="63" s="1"/>
  <c r="L157" i="63" s="1"/>
  <c r="M31" i="79"/>
  <c r="K40" i="79"/>
  <c r="K47" i="79"/>
  <c r="N38" i="79"/>
  <c r="K50" i="79"/>
  <c r="L39" i="79"/>
  <c r="K37" i="79"/>
  <c r="M33" i="79"/>
  <c r="L30" i="79"/>
  <c r="M42" i="79"/>
  <c r="N53" i="79" s="1"/>
  <c r="L41" i="79"/>
  <c r="M45" i="79"/>
  <c r="L48" i="79"/>
  <c r="G59" i="81" l="1"/>
  <c r="G60" i="81"/>
  <c r="L56" i="81"/>
  <c r="K54" i="81"/>
  <c r="I59" i="81"/>
  <c r="I60" i="81"/>
  <c r="L52" i="81"/>
  <c r="K50" i="81"/>
  <c r="H60" i="81"/>
  <c r="H59" i="81"/>
  <c r="F59" i="81"/>
  <c r="F60" i="81"/>
  <c r="E189" i="79"/>
  <c r="E190" i="79" s="1"/>
  <c r="D49" i="77" s="1"/>
  <c r="G83" i="81"/>
  <c r="G64" i="81"/>
  <c r="G155" i="81" s="1"/>
  <c r="G182" i="81"/>
  <c r="I182" i="81"/>
  <c r="I64" i="81"/>
  <c r="I155" i="81" s="1"/>
  <c r="I154" i="81" s="1"/>
  <c r="I136" i="81" s="1"/>
  <c r="I83" i="81"/>
  <c r="J49" i="81"/>
  <c r="J66" i="81"/>
  <c r="H182" i="81"/>
  <c r="H64" i="81"/>
  <c r="H155" i="81" s="1"/>
  <c r="H154" i="81" s="1"/>
  <c r="H136" i="81" s="1"/>
  <c r="H83" i="81"/>
  <c r="F182" i="81"/>
  <c r="F64" i="81"/>
  <c r="F155" i="81" s="1"/>
  <c r="F83" i="81"/>
  <c r="D210" i="79"/>
  <c r="E27" i="80"/>
  <c r="E28" i="80" s="1"/>
  <c r="H71" i="31"/>
  <c r="G320" i="63"/>
  <c r="G72" i="31"/>
  <c r="G68" i="31" s="1"/>
  <c r="G66" i="31" s="1"/>
  <c r="M138" i="80"/>
  <c r="M145" i="80" s="1"/>
  <c r="I138" i="80"/>
  <c r="I145" i="80" s="1"/>
  <c r="N138" i="80"/>
  <c r="N145" i="80" s="1"/>
  <c r="J138" i="80"/>
  <c r="J145" i="80" s="1"/>
  <c r="H138" i="80"/>
  <c r="H145" i="80" s="1"/>
  <c r="K138" i="80"/>
  <c r="K145" i="80" s="1"/>
  <c r="G138" i="80"/>
  <c r="G145" i="80" s="1"/>
  <c r="G146" i="80" s="1"/>
  <c r="L138" i="80"/>
  <c r="L145" i="80" s="1"/>
  <c r="E94" i="79"/>
  <c r="E95" i="79" s="1"/>
  <c r="E98" i="79"/>
  <c r="E99" i="79" s="1"/>
  <c r="F106" i="75"/>
  <c r="F105" i="75" s="1"/>
  <c r="H106" i="75"/>
  <c r="H105" i="75" s="1"/>
  <c r="I106" i="75"/>
  <c r="I105" i="75" s="1"/>
  <c r="G106" i="75"/>
  <c r="G105" i="75" s="1"/>
  <c r="F66" i="75"/>
  <c r="F65" i="75" s="1"/>
  <c r="F64" i="75" s="1"/>
  <c r="F101" i="75" s="1"/>
  <c r="H66" i="75"/>
  <c r="H65" i="75" s="1"/>
  <c r="H64" i="75" s="1"/>
  <c r="H101" i="75" s="1"/>
  <c r="I66" i="75"/>
  <c r="I65" i="75" s="1"/>
  <c r="I64" i="75" s="1"/>
  <c r="I101" i="75" s="1"/>
  <c r="G66" i="75"/>
  <c r="G65" i="75" s="1"/>
  <c r="G64" i="75" s="1"/>
  <c r="G101" i="75" s="1"/>
  <c r="K72" i="75"/>
  <c r="K109" i="75" s="1"/>
  <c r="L74" i="75"/>
  <c r="L82" i="75"/>
  <c r="L80" i="75" s="1"/>
  <c r="K112" i="75"/>
  <c r="F150" i="63"/>
  <c r="J66" i="75"/>
  <c r="J65" i="75" s="1"/>
  <c r="J64" i="75" s="1"/>
  <c r="J107" i="75"/>
  <c r="J106" i="75" s="1"/>
  <c r="F141" i="63"/>
  <c r="F55" i="79"/>
  <c r="F56" i="79"/>
  <c r="F169" i="75"/>
  <c r="F168" i="75" s="1"/>
  <c r="K67" i="75"/>
  <c r="L69" i="75"/>
  <c r="F60" i="79"/>
  <c r="F195" i="79"/>
  <c r="F80" i="79"/>
  <c r="L58" i="31"/>
  <c r="K56" i="31"/>
  <c r="H132" i="63"/>
  <c r="H54" i="78"/>
  <c r="H55" i="78"/>
  <c r="H62" i="31"/>
  <c r="H123" i="63"/>
  <c r="H61" i="31"/>
  <c r="G77" i="78"/>
  <c r="G189" i="78"/>
  <c r="H141" i="63"/>
  <c r="H56" i="79"/>
  <c r="H55" i="79"/>
  <c r="I189" i="78"/>
  <c r="I77" i="78"/>
  <c r="F132" i="63"/>
  <c r="F55" i="78"/>
  <c r="F54" i="78"/>
  <c r="K49" i="78"/>
  <c r="L51" i="78"/>
  <c r="G123" i="63"/>
  <c r="G62" i="31"/>
  <c r="G61" i="31"/>
  <c r="F123" i="63"/>
  <c r="F62" i="31"/>
  <c r="F61" i="31"/>
  <c r="G80" i="79"/>
  <c r="G60" i="79"/>
  <c r="G195" i="79"/>
  <c r="J51" i="31"/>
  <c r="H189" i="78"/>
  <c r="H77" i="78"/>
  <c r="I76" i="31"/>
  <c r="G132" i="63"/>
  <c r="G55" i="78"/>
  <c r="G54" i="78"/>
  <c r="I75" i="79"/>
  <c r="H80" i="79"/>
  <c r="F112" i="80" s="1"/>
  <c r="H60" i="79"/>
  <c r="H195" i="79"/>
  <c r="I132" i="63"/>
  <c r="I54" i="78"/>
  <c r="I55" i="78"/>
  <c r="F189" i="78"/>
  <c r="F77" i="78"/>
  <c r="I123" i="63"/>
  <c r="I62" i="31"/>
  <c r="I61" i="31"/>
  <c r="J61" i="78"/>
  <c r="J48" i="78"/>
  <c r="L54" i="31"/>
  <c r="K52" i="31"/>
  <c r="F87" i="31"/>
  <c r="F85" i="31" s="1"/>
  <c r="F66" i="31"/>
  <c r="F191" i="31"/>
  <c r="G141" i="63"/>
  <c r="G55" i="79"/>
  <c r="G56" i="79"/>
  <c r="I9" i="76"/>
  <c r="I142" i="63"/>
  <c r="J158" i="63"/>
  <c r="J163" i="63" s="1"/>
  <c r="K46" i="79"/>
  <c r="K140" i="63"/>
  <c r="K145" i="63" s="1"/>
  <c r="D16" i="77"/>
  <c r="C42" i="77"/>
  <c r="D213" i="75"/>
  <c r="L40" i="79"/>
  <c r="L140" i="63" s="1"/>
  <c r="L145" i="63" s="1"/>
  <c r="L47" i="79"/>
  <c r="K49" i="79"/>
  <c r="K141" i="63" s="1"/>
  <c r="N31" i="79"/>
  <c r="M28" i="79"/>
  <c r="M139" i="63" s="1"/>
  <c r="M157" i="63" s="1"/>
  <c r="N45" i="79"/>
  <c r="M48" i="79"/>
  <c r="N42" i="79"/>
  <c r="O53" i="79" s="1"/>
  <c r="M41" i="79"/>
  <c r="N33" i="79"/>
  <c r="M30" i="79"/>
  <c r="M39" i="79"/>
  <c r="L37" i="79"/>
  <c r="L50" i="79"/>
  <c r="O38" i="79"/>
  <c r="J56" i="79"/>
  <c r="J55" i="79"/>
  <c r="L29" i="79"/>
  <c r="F81" i="81" l="1"/>
  <c r="F84" i="81" s="1"/>
  <c r="J182" i="81"/>
  <c r="J83" i="81"/>
  <c r="J64" i="81"/>
  <c r="J155" i="81" s="1"/>
  <c r="J154" i="81" s="1"/>
  <c r="J136" i="81" s="1"/>
  <c r="I81" i="81"/>
  <c r="I84" i="81" s="1"/>
  <c r="G173" i="81"/>
  <c r="G154" i="81"/>
  <c r="G136" i="81" s="1"/>
  <c r="M52" i="81"/>
  <c r="L50" i="81"/>
  <c r="M56" i="81"/>
  <c r="L54" i="81"/>
  <c r="F154" i="81"/>
  <c r="F136" i="81" s="1"/>
  <c r="F173" i="81"/>
  <c r="H81" i="81"/>
  <c r="H84" i="81" s="1"/>
  <c r="J60" i="81"/>
  <c r="J59" i="81"/>
  <c r="G81" i="81"/>
  <c r="G84" i="81" s="1"/>
  <c r="F61" i="81"/>
  <c r="G61" i="81" s="1"/>
  <c r="K49" i="81"/>
  <c r="K66" i="81"/>
  <c r="G87" i="31"/>
  <c r="G85" i="31" s="1"/>
  <c r="G88" i="31" s="1"/>
  <c r="I147" i="75"/>
  <c r="I126" i="75" s="1"/>
  <c r="I340" i="63" s="1"/>
  <c r="G112" i="80"/>
  <c r="I169" i="75"/>
  <c r="I168" i="75" s="1"/>
  <c r="G191" i="31"/>
  <c r="F26" i="80"/>
  <c r="J26" i="80"/>
  <c r="N26" i="80"/>
  <c r="I26" i="80"/>
  <c r="M26" i="80"/>
  <c r="H26" i="80"/>
  <c r="L26" i="80"/>
  <c r="G26" i="80"/>
  <c r="K26" i="80"/>
  <c r="E26" i="80"/>
  <c r="I71" i="31"/>
  <c r="I320" i="63" s="1"/>
  <c r="H320" i="63"/>
  <c r="H72" i="31"/>
  <c r="H68" i="31" s="1"/>
  <c r="I99" i="75"/>
  <c r="I150" i="63"/>
  <c r="I159" i="63" s="1"/>
  <c r="F99" i="75"/>
  <c r="G99" i="75"/>
  <c r="H150" i="63"/>
  <c r="H159" i="63" s="1"/>
  <c r="F147" i="75"/>
  <c r="F126" i="75" s="1"/>
  <c r="F340" i="63" s="1"/>
  <c r="H169" i="75"/>
  <c r="H168" i="75" s="1"/>
  <c r="G150" i="63"/>
  <c r="G159" i="63" s="1"/>
  <c r="H99" i="75"/>
  <c r="G147" i="75"/>
  <c r="G126" i="75" s="1"/>
  <c r="G340" i="63" s="1"/>
  <c r="G169" i="75"/>
  <c r="G168" i="75" s="1"/>
  <c r="H147" i="75"/>
  <c r="H126" i="75" s="1"/>
  <c r="H340" i="63" s="1"/>
  <c r="L72" i="75"/>
  <c r="L109" i="75" s="1"/>
  <c r="M74" i="75"/>
  <c r="M82" i="75"/>
  <c r="M80" i="75" s="1"/>
  <c r="L112" i="75"/>
  <c r="K66" i="75"/>
  <c r="K65" i="75" s="1"/>
  <c r="K64" i="75" s="1"/>
  <c r="K107" i="75"/>
  <c r="K106" i="75" s="1"/>
  <c r="I341" i="63"/>
  <c r="I286" i="75"/>
  <c r="H341" i="63"/>
  <c r="H286" i="75"/>
  <c r="F9" i="76"/>
  <c r="F57" i="79"/>
  <c r="F58" i="79" s="1"/>
  <c r="F142" i="63"/>
  <c r="F144" i="63" s="1"/>
  <c r="F256" i="63" s="1"/>
  <c r="G11" i="76"/>
  <c r="G12" i="76" s="1"/>
  <c r="G151" i="63"/>
  <c r="G153" i="63" s="1"/>
  <c r="G260" i="63" s="1"/>
  <c r="J105" i="75"/>
  <c r="J147" i="75"/>
  <c r="J126" i="75" s="1"/>
  <c r="J340" i="63" s="1"/>
  <c r="J169" i="75"/>
  <c r="J168" i="75" s="1"/>
  <c r="H11" i="76"/>
  <c r="H12" i="76" s="1"/>
  <c r="H151" i="63"/>
  <c r="H153" i="63" s="1"/>
  <c r="H260" i="63" s="1"/>
  <c r="K51" i="31"/>
  <c r="K123" i="63" s="1"/>
  <c r="F78" i="79"/>
  <c r="F81" i="79" s="1"/>
  <c r="F335" i="63"/>
  <c r="F168" i="79"/>
  <c r="G341" i="63"/>
  <c r="G286" i="75"/>
  <c r="L67" i="75"/>
  <c r="M69" i="75"/>
  <c r="F341" i="63"/>
  <c r="F286" i="75"/>
  <c r="J150" i="63"/>
  <c r="J101" i="75"/>
  <c r="J99" i="75"/>
  <c r="I11" i="76"/>
  <c r="I12" i="76" s="1"/>
  <c r="I151" i="63"/>
  <c r="I153" i="63" s="1"/>
  <c r="I260" i="63" s="1"/>
  <c r="F11" i="76"/>
  <c r="F12" i="76" s="1"/>
  <c r="F151" i="63"/>
  <c r="F153" i="63" s="1"/>
  <c r="F260" i="63" s="1"/>
  <c r="F102" i="75"/>
  <c r="G102" i="75" s="1"/>
  <c r="H102" i="75" s="1"/>
  <c r="I102" i="75" s="1"/>
  <c r="F88" i="31"/>
  <c r="J132" i="63"/>
  <c r="J54" i="78"/>
  <c r="J55" i="78"/>
  <c r="I8" i="76"/>
  <c r="I133" i="63"/>
  <c r="I135" i="63" s="1"/>
  <c r="I252" i="63" s="1"/>
  <c r="H335" i="63"/>
  <c r="H168" i="79"/>
  <c r="G8" i="76"/>
  <c r="G133" i="63"/>
  <c r="G135" i="63" s="1"/>
  <c r="G252" i="63" s="1"/>
  <c r="G78" i="79"/>
  <c r="G81" i="79" s="1"/>
  <c r="F7" i="76"/>
  <c r="F124" i="63"/>
  <c r="F126" i="63" s="1"/>
  <c r="F248" i="63" s="1"/>
  <c r="F63" i="31"/>
  <c r="G63" i="31" s="1"/>
  <c r="H63" i="31" s="1"/>
  <c r="I63" i="31" s="1"/>
  <c r="K48" i="78"/>
  <c r="K61" i="78"/>
  <c r="F8" i="76"/>
  <c r="F56" i="78"/>
  <c r="G56" i="78" s="1"/>
  <c r="F133" i="63"/>
  <c r="H142" i="63"/>
  <c r="H9" i="76"/>
  <c r="H8" i="76"/>
  <c r="H133" i="63"/>
  <c r="H135" i="63" s="1"/>
  <c r="H252" i="63" s="1"/>
  <c r="M58" i="31"/>
  <c r="L56" i="31"/>
  <c r="G142" i="63"/>
  <c r="G9" i="76"/>
  <c r="F321" i="63"/>
  <c r="F164" i="31"/>
  <c r="G321" i="63"/>
  <c r="G164" i="31"/>
  <c r="L52" i="31"/>
  <c r="M54" i="31"/>
  <c r="J189" i="78"/>
  <c r="J77" i="78"/>
  <c r="I7" i="76"/>
  <c r="I124" i="63"/>
  <c r="I126" i="63" s="1"/>
  <c r="I248" i="63" s="1"/>
  <c r="H78" i="79"/>
  <c r="H81" i="79" s="1"/>
  <c r="J123" i="63"/>
  <c r="J62" i="31"/>
  <c r="J61" i="31"/>
  <c r="G335" i="63"/>
  <c r="G168" i="79"/>
  <c r="G7" i="76"/>
  <c r="G124" i="63"/>
  <c r="G126" i="63" s="1"/>
  <c r="G248" i="63" s="1"/>
  <c r="M51" i="78"/>
  <c r="L49" i="78"/>
  <c r="H7" i="76"/>
  <c r="H124" i="63"/>
  <c r="H126" i="63" s="1"/>
  <c r="H248" i="63" s="1"/>
  <c r="F159" i="63"/>
  <c r="J9" i="76"/>
  <c r="J142" i="63"/>
  <c r="L158" i="63"/>
  <c r="L163" i="63" s="1"/>
  <c r="K158" i="63"/>
  <c r="K163" i="63" s="1"/>
  <c r="I144" i="63"/>
  <c r="M50" i="79"/>
  <c r="N39" i="79"/>
  <c r="M37" i="79"/>
  <c r="O33" i="79"/>
  <c r="N30" i="79"/>
  <c r="O42" i="79"/>
  <c r="P53" i="79" s="1"/>
  <c r="N41" i="79"/>
  <c r="O45" i="79"/>
  <c r="N48" i="79"/>
  <c r="N28" i="79"/>
  <c r="N139" i="63" s="1"/>
  <c r="N157" i="63" s="1"/>
  <c r="O31" i="79"/>
  <c r="L46" i="79"/>
  <c r="P38" i="79"/>
  <c r="L49" i="79"/>
  <c r="L141" i="63" s="1"/>
  <c r="M40" i="79"/>
  <c r="M140" i="63" s="1"/>
  <c r="M145" i="63" s="1"/>
  <c r="M47" i="79"/>
  <c r="K56" i="79"/>
  <c r="K55" i="79"/>
  <c r="M29" i="79"/>
  <c r="F62" i="81" l="1"/>
  <c r="I184" i="81"/>
  <c r="I181" i="81" s="1"/>
  <c r="I179" i="81"/>
  <c r="I180" i="81"/>
  <c r="K60" i="81"/>
  <c r="K59" i="81"/>
  <c r="G62" i="81"/>
  <c r="H61" i="81"/>
  <c r="L49" i="81"/>
  <c r="L66" i="81"/>
  <c r="K83" i="81"/>
  <c r="K64" i="81"/>
  <c r="K155" i="81" s="1"/>
  <c r="K154" i="81" s="1"/>
  <c r="K136" i="81" s="1"/>
  <c r="K182" i="81"/>
  <c r="G184" i="81"/>
  <c r="G179" i="81"/>
  <c r="G180" i="81"/>
  <c r="G171" i="81" s="1"/>
  <c r="S73" i="81"/>
  <c r="H180" i="81"/>
  <c r="H184" i="81"/>
  <c r="H181" i="81" s="1"/>
  <c r="H179" i="81"/>
  <c r="N56" i="81"/>
  <c r="M54" i="81"/>
  <c r="N52" i="81"/>
  <c r="M50" i="81"/>
  <c r="J81" i="81"/>
  <c r="J84" i="81" s="1"/>
  <c r="F184" i="81"/>
  <c r="F179" i="81"/>
  <c r="F170" i="81" s="1"/>
  <c r="F180" i="81"/>
  <c r="H264" i="63"/>
  <c r="G264" i="63"/>
  <c r="I264" i="63"/>
  <c r="E30" i="80"/>
  <c r="I110" i="80"/>
  <c r="L110" i="80"/>
  <c r="M110" i="80"/>
  <c r="G110" i="80"/>
  <c r="G114" i="80" s="1"/>
  <c r="N110" i="80"/>
  <c r="J110" i="80"/>
  <c r="K110" i="80"/>
  <c r="H110" i="80"/>
  <c r="I72" i="31"/>
  <c r="I68" i="31" s="1"/>
  <c r="I66" i="31" s="1"/>
  <c r="J71" i="31"/>
  <c r="H66" i="31"/>
  <c r="H87" i="31"/>
  <c r="H85" i="31" s="1"/>
  <c r="H191" i="31"/>
  <c r="I6" i="76"/>
  <c r="I5" i="76" s="1"/>
  <c r="I19" i="76" s="1"/>
  <c r="K61" i="31"/>
  <c r="K62" i="31"/>
  <c r="M72" i="75"/>
  <c r="M109" i="75" s="1"/>
  <c r="N74" i="75"/>
  <c r="N82" i="75"/>
  <c r="N80" i="75" s="1"/>
  <c r="M112" i="75"/>
  <c r="G57" i="79"/>
  <c r="G58" i="79" s="1"/>
  <c r="F103" i="75"/>
  <c r="H103" i="75"/>
  <c r="J63" i="31"/>
  <c r="I160" i="63"/>
  <c r="H64" i="31"/>
  <c r="G64" i="31"/>
  <c r="L51" i="31"/>
  <c r="L123" i="63" s="1"/>
  <c r="L66" i="75"/>
  <c r="L65" i="75" s="1"/>
  <c r="L64" i="75" s="1"/>
  <c r="L107" i="75"/>
  <c r="L106" i="75" s="1"/>
  <c r="K150" i="63"/>
  <c r="K101" i="75"/>
  <c r="K99" i="75"/>
  <c r="I64" i="31"/>
  <c r="G6" i="76"/>
  <c r="G5" i="76" s="1"/>
  <c r="G33" i="76" s="1"/>
  <c r="G301" i="63" s="1"/>
  <c r="F57" i="78"/>
  <c r="J102" i="75"/>
  <c r="J103" i="75" s="1"/>
  <c r="I103" i="75"/>
  <c r="G103" i="75"/>
  <c r="J11" i="76"/>
  <c r="J12" i="76" s="1"/>
  <c r="J151" i="63"/>
  <c r="J153" i="63" s="1"/>
  <c r="J260" i="63" s="1"/>
  <c r="F342" i="63"/>
  <c r="M67" i="75"/>
  <c r="N69" i="75"/>
  <c r="G342" i="63"/>
  <c r="F336" i="63"/>
  <c r="F167" i="79"/>
  <c r="F148" i="79" s="1"/>
  <c r="F437" i="63" s="1"/>
  <c r="F186" i="79"/>
  <c r="F193" i="79"/>
  <c r="F184" i="79" s="1"/>
  <c r="F192" i="79"/>
  <c r="F183" i="79" s="1"/>
  <c r="F197" i="79"/>
  <c r="J341" i="63"/>
  <c r="J286" i="75"/>
  <c r="H342" i="63"/>
  <c r="I342" i="63"/>
  <c r="K147" i="75"/>
  <c r="K126" i="75" s="1"/>
  <c r="K340" i="63" s="1"/>
  <c r="K105" i="75"/>
  <c r="K169" i="75"/>
  <c r="K168" i="75" s="1"/>
  <c r="I87" i="31"/>
  <c r="I85" i="31" s="1"/>
  <c r="I88" i="31" s="1"/>
  <c r="I191" i="31"/>
  <c r="M49" i="78"/>
  <c r="N51" i="78"/>
  <c r="J7" i="76"/>
  <c r="J124" i="63"/>
  <c r="J126" i="63" s="1"/>
  <c r="J248" i="63" s="1"/>
  <c r="J320" i="63"/>
  <c r="J72" i="31"/>
  <c r="J68" i="31" s="1"/>
  <c r="K71" i="31"/>
  <c r="M52" i="31"/>
  <c r="N54" i="31"/>
  <c r="G163" i="31"/>
  <c r="G144" i="31" s="1"/>
  <c r="G431" i="63" s="1"/>
  <c r="G182" i="31"/>
  <c r="G322" i="63"/>
  <c r="F322" i="63"/>
  <c r="F182" i="31"/>
  <c r="F163" i="31"/>
  <c r="F144" i="31" s="1"/>
  <c r="H57" i="79"/>
  <c r="M56" i="31"/>
  <c r="N58" i="31"/>
  <c r="G57" i="78"/>
  <c r="H56" i="78"/>
  <c r="K77" i="78"/>
  <c r="K189" i="78"/>
  <c r="K7" i="76"/>
  <c r="K124" i="63"/>
  <c r="K126" i="63" s="1"/>
  <c r="K248" i="63" s="1"/>
  <c r="F193" i="31"/>
  <c r="F189" i="31"/>
  <c r="F180" i="31" s="1"/>
  <c r="F188" i="31"/>
  <c r="H6" i="76"/>
  <c r="H5" i="76" s="1"/>
  <c r="F64" i="31"/>
  <c r="F6" i="76"/>
  <c r="F5" i="76" s="1"/>
  <c r="H88" i="31"/>
  <c r="L61" i="78"/>
  <c r="L48" i="78"/>
  <c r="G336" i="63"/>
  <c r="G186" i="79"/>
  <c r="G167" i="79"/>
  <c r="G148" i="79" s="1"/>
  <c r="G437" i="63" s="1"/>
  <c r="G398" i="63" s="1"/>
  <c r="I74" i="79"/>
  <c r="I65" i="79" s="1"/>
  <c r="G111" i="80" s="1"/>
  <c r="H197" i="79"/>
  <c r="H193" i="79"/>
  <c r="H184" i="79" s="1"/>
  <c r="H192" i="79"/>
  <c r="G20" i="76"/>
  <c r="G19" i="76"/>
  <c r="G160" i="63"/>
  <c r="G144" i="63"/>
  <c r="I33" i="76"/>
  <c r="I301" i="63" s="1"/>
  <c r="I20" i="76"/>
  <c r="H160" i="63"/>
  <c r="H144" i="63"/>
  <c r="F135" i="63"/>
  <c r="F160" i="63"/>
  <c r="K132" i="63"/>
  <c r="K54" i="78"/>
  <c r="K55" i="78"/>
  <c r="G197" i="79"/>
  <c r="G193" i="79"/>
  <c r="G184" i="79" s="1"/>
  <c r="G192" i="79"/>
  <c r="H336" i="63"/>
  <c r="H167" i="79"/>
  <c r="H148" i="79" s="1"/>
  <c r="H437" i="63" s="1"/>
  <c r="H186" i="79"/>
  <c r="J133" i="63"/>
  <c r="J135" i="63" s="1"/>
  <c r="J252" i="63" s="1"/>
  <c r="J8" i="76"/>
  <c r="G193" i="31"/>
  <c r="G189" i="31"/>
  <c r="G180" i="31" s="1"/>
  <c r="G188" i="31"/>
  <c r="J6" i="76"/>
  <c r="J5" i="76" s="1"/>
  <c r="J20" i="76" s="1"/>
  <c r="J159" i="63"/>
  <c r="K9" i="76"/>
  <c r="K142" i="63"/>
  <c r="M158" i="63"/>
  <c r="M163" i="63" s="1"/>
  <c r="I256" i="63"/>
  <c r="I162" i="63"/>
  <c r="J144" i="63"/>
  <c r="N29" i="79"/>
  <c r="L56" i="79"/>
  <c r="L55" i="79"/>
  <c r="P45" i="79"/>
  <c r="P48" i="79" s="1"/>
  <c r="O48" i="79"/>
  <c r="P42" i="79"/>
  <c r="O41" i="79"/>
  <c r="P33" i="79"/>
  <c r="P30" i="79" s="1"/>
  <c r="O30" i="79"/>
  <c r="O39" i="79"/>
  <c r="N37" i="79"/>
  <c r="N50" i="79"/>
  <c r="M46" i="79"/>
  <c r="O28" i="79"/>
  <c r="O139" i="63" s="1"/>
  <c r="O157" i="63" s="1"/>
  <c r="P31" i="79"/>
  <c r="P28" i="79" s="1"/>
  <c r="P139" i="63" s="1"/>
  <c r="P157" i="63" s="1"/>
  <c r="N40" i="79"/>
  <c r="N47" i="79"/>
  <c r="M49" i="79"/>
  <c r="M141" i="63" s="1"/>
  <c r="H398" i="63" l="1"/>
  <c r="G396" i="63"/>
  <c r="F398" i="63"/>
  <c r="K159" i="63"/>
  <c r="G18" i="76"/>
  <c r="F431" i="63"/>
  <c r="F396" i="63" s="1"/>
  <c r="H178" i="81"/>
  <c r="H96" i="81" s="1"/>
  <c r="I178" i="81"/>
  <c r="I96" i="81" s="1"/>
  <c r="G323" i="63"/>
  <c r="J184" i="81"/>
  <c r="J181" i="81" s="1"/>
  <c r="J179" i="81"/>
  <c r="J180" i="81"/>
  <c r="M49" i="81"/>
  <c r="M66" i="81"/>
  <c r="G175" i="81"/>
  <c r="G172" i="81" s="1"/>
  <c r="G181" i="81"/>
  <c r="G178" i="81" s="1"/>
  <c r="G96" i="81" s="1"/>
  <c r="H97" i="81" s="1"/>
  <c r="L83" i="81"/>
  <c r="L81" i="81" s="1"/>
  <c r="L84" i="81" s="1"/>
  <c r="L182" i="81"/>
  <c r="L64" i="81"/>
  <c r="L155" i="81" s="1"/>
  <c r="L154" i="81" s="1"/>
  <c r="L136" i="81" s="1"/>
  <c r="I61" i="81"/>
  <c r="H62" i="81"/>
  <c r="I18" i="76"/>
  <c r="F171" i="81"/>
  <c r="F175" i="81"/>
  <c r="F172" i="81" s="1"/>
  <c r="F181" i="81"/>
  <c r="F178" i="81" s="1"/>
  <c r="F96" i="81" s="1"/>
  <c r="F97" i="81" s="1"/>
  <c r="O52" i="81"/>
  <c r="N50" i="81"/>
  <c r="O56" i="81"/>
  <c r="N54" i="81"/>
  <c r="G170" i="81"/>
  <c r="G169" i="81" s="1"/>
  <c r="K81" i="81"/>
  <c r="K84" i="81" s="1"/>
  <c r="L59" i="81"/>
  <c r="L60" i="81"/>
  <c r="I97" i="81"/>
  <c r="J264" i="63"/>
  <c r="H321" i="63"/>
  <c r="H164" i="31"/>
  <c r="L62" i="31"/>
  <c r="R5" i="76"/>
  <c r="J19" i="76"/>
  <c r="J18" i="76"/>
  <c r="K63" i="31"/>
  <c r="L61" i="31"/>
  <c r="J64" i="31"/>
  <c r="O82" i="75"/>
  <c r="O80" i="75" s="1"/>
  <c r="N112" i="75"/>
  <c r="N72" i="75"/>
  <c r="N109" i="75" s="1"/>
  <c r="O74" i="75"/>
  <c r="K341" i="63"/>
  <c r="K286" i="75"/>
  <c r="J342" i="63"/>
  <c r="F188" i="79"/>
  <c r="F185" i="79" s="1"/>
  <c r="F182" i="79" s="1"/>
  <c r="F194" i="79"/>
  <c r="F191" i="79" s="1"/>
  <c r="E21" i="77" s="1"/>
  <c r="N67" i="75"/>
  <c r="O69" i="75"/>
  <c r="L150" i="63"/>
  <c r="L101" i="75"/>
  <c r="L99" i="75"/>
  <c r="J160" i="63"/>
  <c r="K102" i="75"/>
  <c r="K103" i="75" s="1"/>
  <c r="M66" i="75"/>
  <c r="M65" i="75" s="1"/>
  <c r="M64" i="75" s="1"/>
  <c r="M107" i="75"/>
  <c r="M106" i="75" s="1"/>
  <c r="K11" i="76"/>
  <c r="K12" i="76" s="1"/>
  <c r="K151" i="63"/>
  <c r="K153" i="63" s="1"/>
  <c r="K260" i="63" s="1"/>
  <c r="L147" i="75"/>
  <c r="L126" i="75" s="1"/>
  <c r="L340" i="63" s="1"/>
  <c r="L105" i="75"/>
  <c r="L169" i="75"/>
  <c r="L168" i="75" s="1"/>
  <c r="G179" i="31"/>
  <c r="G184" i="31"/>
  <c r="G190" i="31"/>
  <c r="G187" i="31" s="1"/>
  <c r="F19" i="77" s="1"/>
  <c r="G183" i="79"/>
  <c r="G188" i="79"/>
  <c r="G185" i="79" s="1"/>
  <c r="G194" i="79"/>
  <c r="G191" i="79" s="1"/>
  <c r="F21" i="77" s="1"/>
  <c r="H256" i="63"/>
  <c r="H347" i="63" s="1"/>
  <c r="H162" i="63"/>
  <c r="I201" i="63"/>
  <c r="G201" i="63"/>
  <c r="L7" i="76"/>
  <c r="L124" i="63"/>
  <c r="L126" i="63" s="1"/>
  <c r="L248" i="63" s="1"/>
  <c r="H183" i="79"/>
  <c r="H188" i="79"/>
  <c r="H185" i="79" s="1"/>
  <c r="H194" i="79"/>
  <c r="H191" i="79" s="1"/>
  <c r="G21" i="77" s="1"/>
  <c r="L189" i="78"/>
  <c r="L77" i="78"/>
  <c r="F20" i="76"/>
  <c r="F19" i="76"/>
  <c r="F33" i="76"/>
  <c r="F18" i="76"/>
  <c r="H20" i="76"/>
  <c r="H18" i="76"/>
  <c r="H19" i="76"/>
  <c r="H33" i="76"/>
  <c r="N56" i="31"/>
  <c r="O58" i="31"/>
  <c r="J66" i="31"/>
  <c r="J87" i="31"/>
  <c r="J85" i="31" s="1"/>
  <c r="J88" i="31" s="1"/>
  <c r="J191" i="31"/>
  <c r="M61" i="78"/>
  <c r="M48" i="78"/>
  <c r="I193" i="31"/>
  <c r="I184" i="31" s="1"/>
  <c r="I189" i="31"/>
  <c r="I180" i="31" s="1"/>
  <c r="I188" i="31"/>
  <c r="M51" i="31"/>
  <c r="K133" i="63"/>
  <c r="K135" i="63" s="1"/>
  <c r="K252" i="63" s="1"/>
  <c r="K8" i="76"/>
  <c r="K6" i="76" s="1"/>
  <c r="F252" i="63"/>
  <c r="F162" i="63"/>
  <c r="G162" i="63"/>
  <c r="G256" i="63"/>
  <c r="G347" i="63" s="1"/>
  <c r="I334" i="63"/>
  <c r="I347" i="63" s="1"/>
  <c r="I66" i="79"/>
  <c r="I62" i="79" s="1"/>
  <c r="J65" i="79"/>
  <c r="L132" i="63"/>
  <c r="L55" i="78"/>
  <c r="L54" i="78"/>
  <c r="H193" i="31"/>
  <c r="S76" i="31"/>
  <c r="H189" i="31"/>
  <c r="H180" i="31" s="1"/>
  <c r="H188" i="31"/>
  <c r="F179" i="31"/>
  <c r="F184" i="31"/>
  <c r="F181" i="31" s="1"/>
  <c r="F190" i="31"/>
  <c r="F187" i="31" s="1"/>
  <c r="E19" i="77" s="1"/>
  <c r="H57" i="78"/>
  <c r="I56" i="78"/>
  <c r="H58" i="79"/>
  <c r="I57" i="79"/>
  <c r="N52" i="31"/>
  <c r="O54" i="31"/>
  <c r="L71" i="31"/>
  <c r="K320" i="63"/>
  <c r="K72" i="31"/>
  <c r="K68" i="31" s="1"/>
  <c r="N49" i="78"/>
  <c r="O51" i="78"/>
  <c r="I321" i="63"/>
  <c r="I164" i="31"/>
  <c r="J33" i="76"/>
  <c r="J301" i="63" s="1"/>
  <c r="F323" i="63"/>
  <c r="G181" i="31"/>
  <c r="L9" i="76"/>
  <c r="L142" i="63"/>
  <c r="I218" i="63"/>
  <c r="I220" i="63"/>
  <c r="I219" i="63"/>
  <c r="N46" i="79"/>
  <c r="N140" i="63"/>
  <c r="N145" i="63" s="1"/>
  <c r="J256" i="63"/>
  <c r="J162" i="63"/>
  <c r="K144" i="63"/>
  <c r="P29" i="79"/>
  <c r="P41" i="79"/>
  <c r="P40" i="79" s="1"/>
  <c r="P50" i="79"/>
  <c r="O29" i="79"/>
  <c r="M56" i="79"/>
  <c r="M55" i="79"/>
  <c r="O50" i="79"/>
  <c r="P39" i="79"/>
  <c r="P37" i="79" s="1"/>
  <c r="O37" i="79"/>
  <c r="N49" i="79"/>
  <c r="N141" i="63" s="1"/>
  <c r="O40" i="79"/>
  <c r="O47" i="79"/>
  <c r="K184" i="81" l="1"/>
  <c r="K181" i="81" s="1"/>
  <c r="K179" i="81"/>
  <c r="K180" i="81"/>
  <c r="D251" i="80"/>
  <c r="D275" i="80" s="1"/>
  <c r="F301" i="63"/>
  <c r="F251" i="80"/>
  <c r="F275" i="80" s="1"/>
  <c r="H301" i="63"/>
  <c r="N49" i="81"/>
  <c r="N66" i="81"/>
  <c r="J61" i="81"/>
  <c r="I62" i="81"/>
  <c r="M64" i="81"/>
  <c r="M155" i="81" s="1"/>
  <c r="M154" i="81" s="1"/>
  <c r="M136" i="81" s="1"/>
  <c r="M182" i="81"/>
  <c r="M83" i="81"/>
  <c r="M81" i="81" s="1"/>
  <c r="M84" i="81" s="1"/>
  <c r="G97" i="81"/>
  <c r="F169" i="81"/>
  <c r="J178" i="81"/>
  <c r="J96" i="81" s="1"/>
  <c r="J97" i="81" s="1"/>
  <c r="G91" i="81"/>
  <c r="G176" i="81"/>
  <c r="G177" i="81" s="1"/>
  <c r="P56" i="81"/>
  <c r="P54" i="81" s="1"/>
  <c r="O54" i="81"/>
  <c r="P52" i="81"/>
  <c r="P50" i="81" s="1"/>
  <c r="O50" i="81"/>
  <c r="L184" i="81"/>
  <c r="L181" i="81" s="1"/>
  <c r="L179" i="81"/>
  <c r="L180" i="81"/>
  <c r="M60" i="81"/>
  <c r="M59" i="81"/>
  <c r="K264" i="63"/>
  <c r="F347" i="63"/>
  <c r="F264" i="63"/>
  <c r="D274" i="80"/>
  <c r="H322" i="63"/>
  <c r="H163" i="31"/>
  <c r="H144" i="31" s="1"/>
  <c r="H431" i="63" s="1"/>
  <c r="H182" i="31"/>
  <c r="G251" i="80"/>
  <c r="G275" i="80" s="1"/>
  <c r="E251" i="80"/>
  <c r="E275" i="80" s="1"/>
  <c r="L159" i="63"/>
  <c r="K5" i="76"/>
  <c r="K19" i="76" s="1"/>
  <c r="K64" i="31"/>
  <c r="L63" i="31"/>
  <c r="L64" i="31" s="1"/>
  <c r="I190" i="31"/>
  <c r="I187" i="31" s="1"/>
  <c r="H19" i="77" s="1"/>
  <c r="O72" i="75"/>
  <c r="O109" i="75" s="1"/>
  <c r="P74" i="75"/>
  <c r="P72" i="75" s="1"/>
  <c r="P109" i="75" s="1"/>
  <c r="P82" i="75"/>
  <c r="O112" i="75"/>
  <c r="K20" i="76"/>
  <c r="E6" i="77"/>
  <c r="E16" i="77" s="1"/>
  <c r="F94" i="79"/>
  <c r="F95" i="79" s="1"/>
  <c r="F189" i="79"/>
  <c r="F190" i="79" s="1"/>
  <c r="M150" i="63"/>
  <c r="M99" i="75"/>
  <c r="M101" i="75"/>
  <c r="O67" i="75"/>
  <c r="P69" i="75"/>
  <c r="P67" i="75" s="1"/>
  <c r="K160" i="63"/>
  <c r="L102" i="75"/>
  <c r="M102" i="75" s="1"/>
  <c r="L341" i="63"/>
  <c r="L286" i="75"/>
  <c r="M169" i="75"/>
  <c r="M168" i="75" s="1"/>
  <c r="M105" i="75"/>
  <c r="M147" i="75"/>
  <c r="M126" i="75" s="1"/>
  <c r="M340" i="63" s="1"/>
  <c r="L11" i="76"/>
  <c r="L12" i="76" s="1"/>
  <c r="L151" i="63"/>
  <c r="L153" i="63" s="1"/>
  <c r="L260" i="63" s="1"/>
  <c r="N66" i="75"/>
  <c r="N65" i="75" s="1"/>
  <c r="N64" i="75" s="1"/>
  <c r="N107" i="75"/>
  <c r="N106" i="75" s="1"/>
  <c r="F98" i="79"/>
  <c r="F99" i="79" s="1"/>
  <c r="K342" i="63"/>
  <c r="H98" i="79"/>
  <c r="F100" i="31"/>
  <c r="F101" i="31" s="1"/>
  <c r="G98" i="79"/>
  <c r="J57" i="79"/>
  <c r="I58" i="79"/>
  <c r="I57" i="78"/>
  <c r="J56" i="78"/>
  <c r="H179" i="31"/>
  <c r="I322" i="63"/>
  <c r="I163" i="31"/>
  <c r="I144" i="31" s="1"/>
  <c r="I431" i="63" s="1"/>
  <c r="I182" i="31"/>
  <c r="I181" i="31" s="1"/>
  <c r="P51" i="78"/>
  <c r="P49" i="78" s="1"/>
  <c r="O49" i="78"/>
  <c r="K66" i="31"/>
  <c r="K87" i="31"/>
  <c r="K85" i="31" s="1"/>
  <c r="K88" i="31" s="1"/>
  <c r="K191" i="31"/>
  <c r="L320" i="63"/>
  <c r="L72" i="31"/>
  <c r="L68" i="31" s="1"/>
  <c r="M71" i="31"/>
  <c r="H184" i="31"/>
  <c r="H181" i="31" s="1"/>
  <c r="H190" i="31"/>
  <c r="H187" i="31" s="1"/>
  <c r="G19" i="77" s="1"/>
  <c r="L8" i="76"/>
  <c r="L6" i="76" s="1"/>
  <c r="L133" i="63"/>
  <c r="L135" i="63" s="1"/>
  <c r="L252" i="63" s="1"/>
  <c r="J334" i="63"/>
  <c r="J347" i="63" s="1"/>
  <c r="J66" i="79"/>
  <c r="J62" i="79" s="1"/>
  <c r="K65" i="79"/>
  <c r="G218" i="63"/>
  <c r="G219" i="63"/>
  <c r="G220" i="63"/>
  <c r="M62" i="31"/>
  <c r="M123" i="63"/>
  <c r="M61" i="31"/>
  <c r="M189" i="78"/>
  <c r="M77" i="78"/>
  <c r="J193" i="31"/>
  <c r="J184" i="31" s="1"/>
  <c r="J189" i="31"/>
  <c r="J180" i="31" s="1"/>
  <c r="J188" i="31"/>
  <c r="O56" i="31"/>
  <c r="P58" i="31"/>
  <c r="P56" i="31" s="1"/>
  <c r="F201" i="63"/>
  <c r="H219" i="63"/>
  <c r="H218" i="63"/>
  <c r="H220" i="63"/>
  <c r="J201" i="63"/>
  <c r="N51" i="31"/>
  <c r="G178" i="31"/>
  <c r="F4" i="77" s="1"/>
  <c r="N61" i="78"/>
  <c r="N48" i="78"/>
  <c r="P54" i="31"/>
  <c r="P52" i="31" s="1"/>
  <c r="O52" i="31"/>
  <c r="I80" i="79"/>
  <c r="I60" i="79"/>
  <c r="I195" i="79"/>
  <c r="F219" i="63"/>
  <c r="F218" i="63"/>
  <c r="F220" i="63"/>
  <c r="I179" i="31"/>
  <c r="I178" i="31" s="1"/>
  <c r="H4" i="77" s="1"/>
  <c r="M132" i="63"/>
  <c r="M55" i="78"/>
  <c r="M54" i="78"/>
  <c r="J321" i="63"/>
  <c r="J164" i="31"/>
  <c r="H201" i="63"/>
  <c r="G100" i="31"/>
  <c r="F178" i="31"/>
  <c r="E4" i="77" s="1"/>
  <c r="H182" i="79"/>
  <c r="G182" i="79"/>
  <c r="P47" i="79"/>
  <c r="P46" i="79"/>
  <c r="P140" i="63"/>
  <c r="P145" i="63" s="1"/>
  <c r="M9" i="76"/>
  <c r="M142" i="63"/>
  <c r="J220" i="63"/>
  <c r="J219" i="63"/>
  <c r="J218" i="63"/>
  <c r="N158" i="63"/>
  <c r="N163" i="63" s="1"/>
  <c r="O46" i="79"/>
  <c r="O140" i="63"/>
  <c r="O145" i="63" s="1"/>
  <c r="K256" i="63"/>
  <c r="K162" i="63"/>
  <c r="L144" i="63"/>
  <c r="N56" i="79"/>
  <c r="N55" i="79"/>
  <c r="P49" i="79"/>
  <c r="P141" i="63" s="1"/>
  <c r="O49" i="79"/>
  <c r="O141" i="63" s="1"/>
  <c r="I396" i="63" l="1"/>
  <c r="H396" i="63"/>
  <c r="O49" i="81"/>
  <c r="O66" i="81"/>
  <c r="F91" i="81"/>
  <c r="F92" i="81" s="1"/>
  <c r="F176" i="81"/>
  <c r="F177" i="81" s="1"/>
  <c r="N182" i="81"/>
  <c r="N64" i="81"/>
  <c r="N155" i="81" s="1"/>
  <c r="N154" i="81" s="1"/>
  <c r="N136" i="81" s="1"/>
  <c r="N83" i="81"/>
  <c r="N81" i="81" s="1"/>
  <c r="N84" i="81" s="1"/>
  <c r="K178" i="81"/>
  <c r="K96" i="81" s="1"/>
  <c r="K97" i="81" s="1"/>
  <c r="P49" i="81"/>
  <c r="P66" i="81"/>
  <c r="M184" i="81"/>
  <c r="M181" i="81" s="1"/>
  <c r="M179" i="81"/>
  <c r="M180" i="81"/>
  <c r="K61" i="81"/>
  <c r="J62" i="81"/>
  <c r="N59" i="81"/>
  <c r="N60" i="81"/>
  <c r="L178" i="81"/>
  <c r="L96" i="81" s="1"/>
  <c r="L97" i="81" s="1"/>
  <c r="G92" i="81"/>
  <c r="L264" i="63"/>
  <c r="K33" i="76"/>
  <c r="K301" i="63" s="1"/>
  <c r="K18" i="76"/>
  <c r="E274" i="80"/>
  <c r="H323" i="63"/>
  <c r="L5" i="76"/>
  <c r="L18" i="76" s="1"/>
  <c r="G101" i="31"/>
  <c r="P51" i="31"/>
  <c r="P123" i="63" s="1"/>
  <c r="G99" i="79"/>
  <c r="L160" i="63"/>
  <c r="P80" i="75"/>
  <c r="P112" i="75" s="1"/>
  <c r="M159" i="63"/>
  <c r="O51" i="31"/>
  <c r="O62" i="31" s="1"/>
  <c r="L20" i="76"/>
  <c r="N105" i="75"/>
  <c r="N169" i="75"/>
  <c r="N168" i="75" s="1"/>
  <c r="N147" i="75"/>
  <c r="N126" i="75" s="1"/>
  <c r="N340" i="63" s="1"/>
  <c r="O66" i="75"/>
  <c r="O65" i="75" s="1"/>
  <c r="O64" i="75" s="1"/>
  <c r="O107" i="75"/>
  <c r="O106" i="75" s="1"/>
  <c r="E49" i="77"/>
  <c r="L103" i="75"/>
  <c r="N150" i="63"/>
  <c r="N101" i="75"/>
  <c r="N102" i="75" s="1"/>
  <c r="N99" i="75"/>
  <c r="M341" i="63"/>
  <c r="M286" i="75"/>
  <c r="L342" i="63"/>
  <c r="P107" i="75"/>
  <c r="M11" i="76"/>
  <c r="M12" i="76" s="1"/>
  <c r="M151" i="63"/>
  <c r="M153" i="63" s="1"/>
  <c r="M260" i="63" s="1"/>
  <c r="M103" i="75"/>
  <c r="H178" i="31"/>
  <c r="G4" i="77" s="1"/>
  <c r="H100" i="31"/>
  <c r="H101" i="31" s="1"/>
  <c r="G94" i="79"/>
  <c r="G95" i="79" s="1"/>
  <c r="F6" i="77"/>
  <c r="F16" i="77" s="1"/>
  <c r="G189" i="79"/>
  <c r="G190" i="79" s="1"/>
  <c r="G6" i="77"/>
  <c r="G16" i="77" s="1"/>
  <c r="H189" i="79"/>
  <c r="H94" i="79"/>
  <c r="F185" i="31"/>
  <c r="F186" i="31" s="1"/>
  <c r="F95" i="31"/>
  <c r="F96" i="31" s="1"/>
  <c r="J322" i="63"/>
  <c r="J163" i="31"/>
  <c r="J144" i="31" s="1"/>
  <c r="J431" i="63" s="1"/>
  <c r="J182" i="31"/>
  <c r="J181" i="31" s="1"/>
  <c r="M133" i="63"/>
  <c r="M135" i="63" s="1"/>
  <c r="M252" i="63" s="1"/>
  <c r="M8" i="76"/>
  <c r="H14" i="77"/>
  <c r="I95" i="31"/>
  <c r="I185" i="31"/>
  <c r="I186" i="31" s="1"/>
  <c r="I78" i="79"/>
  <c r="N132" i="63"/>
  <c r="N55" i="78"/>
  <c r="N54" i="78"/>
  <c r="G95" i="31"/>
  <c r="G185" i="31"/>
  <c r="G186" i="31" s="1"/>
  <c r="N62" i="31"/>
  <c r="N123" i="63"/>
  <c r="N61" i="31"/>
  <c r="J80" i="79"/>
  <c r="J195" i="79"/>
  <c r="J60" i="79"/>
  <c r="M320" i="63"/>
  <c r="M72" i="31"/>
  <c r="M68" i="31" s="1"/>
  <c r="N71" i="31"/>
  <c r="K193" i="31"/>
  <c r="K184" i="31" s="1"/>
  <c r="K189" i="31"/>
  <c r="K180" i="31" s="1"/>
  <c r="K188" i="31"/>
  <c r="O48" i="78"/>
  <c r="O61" i="78"/>
  <c r="J58" i="79"/>
  <c r="K57" i="79"/>
  <c r="L19" i="76"/>
  <c r="J190" i="31"/>
  <c r="J187" i="31" s="1"/>
  <c r="I19" i="77" s="1"/>
  <c r="H99" i="79"/>
  <c r="I100" i="31"/>
  <c r="I335" i="63"/>
  <c r="I168" i="79"/>
  <c r="P62" i="31"/>
  <c r="P61" i="31"/>
  <c r="N189" i="78"/>
  <c r="N77" i="78"/>
  <c r="J179" i="31"/>
  <c r="M7" i="76"/>
  <c r="M124" i="63"/>
  <c r="M126" i="63" s="1"/>
  <c r="M248" i="63" s="1"/>
  <c r="M63" i="31"/>
  <c r="K66" i="79"/>
  <c r="K62" i="79" s="1"/>
  <c r="K334" i="63"/>
  <c r="K347" i="63" s="1"/>
  <c r="L65" i="79"/>
  <c r="L66" i="31"/>
  <c r="L87" i="31"/>
  <c r="L85" i="31" s="1"/>
  <c r="L88" i="31" s="1"/>
  <c r="L191" i="31"/>
  <c r="K321" i="63"/>
  <c r="K164" i="31"/>
  <c r="P48" i="78"/>
  <c r="P61" i="78"/>
  <c r="J57" i="78"/>
  <c r="K56" i="78"/>
  <c r="L256" i="63"/>
  <c r="L162" i="63"/>
  <c r="N9" i="76"/>
  <c r="N142" i="63"/>
  <c r="K218" i="63"/>
  <c r="K220" i="63"/>
  <c r="K219" i="63"/>
  <c r="O158" i="63"/>
  <c r="O163" i="63" s="1"/>
  <c r="M144" i="63"/>
  <c r="P158" i="63"/>
  <c r="P163" i="63" s="1"/>
  <c r="O56" i="79"/>
  <c r="O55" i="79"/>
  <c r="P56" i="79"/>
  <c r="P142" i="63" s="1"/>
  <c r="P55" i="79"/>
  <c r="J396" i="63" l="1"/>
  <c r="P59" i="81"/>
  <c r="P60" i="81"/>
  <c r="N184" i="81"/>
  <c r="N179" i="81"/>
  <c r="N180" i="81"/>
  <c r="O59" i="81"/>
  <c r="O60" i="81"/>
  <c r="M178" i="81"/>
  <c r="M96" i="81" s="1"/>
  <c r="M97" i="81" s="1"/>
  <c r="N181" i="81"/>
  <c r="L61" i="81"/>
  <c r="K62" i="81"/>
  <c r="P64" i="81"/>
  <c r="P155" i="81" s="1"/>
  <c r="P154" i="81" s="1"/>
  <c r="P136" i="81" s="1"/>
  <c r="P83" i="81"/>
  <c r="P182" i="81"/>
  <c r="O64" i="81"/>
  <c r="O155" i="81" s="1"/>
  <c r="O154" i="81" s="1"/>
  <c r="O136" i="81" s="1"/>
  <c r="O182" i="81"/>
  <c r="O83" i="81"/>
  <c r="O81" i="81" s="1"/>
  <c r="O84" i="81" s="1"/>
  <c r="M264" i="63"/>
  <c r="K201" i="63"/>
  <c r="F274" i="80"/>
  <c r="L33" i="76"/>
  <c r="L301" i="63" s="1"/>
  <c r="O123" i="63"/>
  <c r="G96" i="31"/>
  <c r="K190" i="31"/>
  <c r="K187" i="31" s="1"/>
  <c r="J19" i="77" s="1"/>
  <c r="H185" i="31"/>
  <c r="C230" i="31" s="1"/>
  <c r="H95" i="31"/>
  <c r="H96" i="31" s="1"/>
  <c r="H95" i="79"/>
  <c r="M160" i="63"/>
  <c r="N63" i="31"/>
  <c r="O63" i="31" s="1"/>
  <c r="P63" i="31" s="1"/>
  <c r="P64" i="31" s="1"/>
  <c r="P66" i="75"/>
  <c r="P65" i="75" s="1"/>
  <c r="P64" i="75" s="1"/>
  <c r="P99" i="75" s="1"/>
  <c r="P106" i="75"/>
  <c r="O61" i="31"/>
  <c r="M64" i="31"/>
  <c r="J178" i="31"/>
  <c r="I101" i="31"/>
  <c r="M342" i="63"/>
  <c r="O147" i="75"/>
  <c r="O126" i="75" s="1"/>
  <c r="O340" i="63" s="1"/>
  <c r="O105" i="75"/>
  <c r="O169" i="75"/>
  <c r="O168" i="75" s="1"/>
  <c r="N341" i="63"/>
  <c r="N286" i="75"/>
  <c r="M6" i="76"/>
  <c r="M5" i="76" s="1"/>
  <c r="M19" i="76" s="1"/>
  <c r="N11" i="76"/>
  <c r="N12" i="76" s="1"/>
  <c r="N151" i="63"/>
  <c r="N153" i="63" s="1"/>
  <c r="N260" i="63" s="1"/>
  <c r="N103" i="75"/>
  <c r="O150" i="63"/>
  <c r="O99" i="75"/>
  <c r="O101" i="75"/>
  <c r="O102" i="75" s="1"/>
  <c r="K57" i="78"/>
  <c r="L56" i="78"/>
  <c r="P132" i="63"/>
  <c r="P54" i="78"/>
  <c r="P55" i="78"/>
  <c r="K322" i="63"/>
  <c r="K182" i="31"/>
  <c r="K181" i="31" s="1"/>
  <c r="K163" i="31"/>
  <c r="K144" i="31" s="1"/>
  <c r="K431" i="63" s="1"/>
  <c r="K396" i="63" s="1"/>
  <c r="L321" i="63"/>
  <c r="L164" i="31"/>
  <c r="J100" i="31"/>
  <c r="J101" i="31" s="1"/>
  <c r="P7" i="76"/>
  <c r="P124" i="63"/>
  <c r="P126" i="63" s="1"/>
  <c r="P248" i="63" s="1"/>
  <c r="O132" i="63"/>
  <c r="O54" i="78"/>
  <c r="O55" i="78"/>
  <c r="N320" i="63"/>
  <c r="N72" i="31"/>
  <c r="N68" i="31" s="1"/>
  <c r="O71" i="31"/>
  <c r="O7" i="76"/>
  <c r="O124" i="63"/>
  <c r="O126" i="63" s="1"/>
  <c r="O248" i="63" s="1"/>
  <c r="H47" i="77"/>
  <c r="E47" i="77"/>
  <c r="F49" i="77"/>
  <c r="N159" i="63"/>
  <c r="I81" i="79"/>
  <c r="G14" i="77"/>
  <c r="P189" i="78"/>
  <c r="P77" i="78"/>
  <c r="L193" i="31"/>
  <c r="L184" i="31" s="1"/>
  <c r="L189" i="31"/>
  <c r="L180" i="31" s="1"/>
  <c r="L188" i="31"/>
  <c r="L66" i="79"/>
  <c r="L62" i="79" s="1"/>
  <c r="L334" i="63"/>
  <c r="L347" i="63" s="1"/>
  <c r="M65" i="79"/>
  <c r="K80" i="79"/>
  <c r="K195" i="79"/>
  <c r="K60" i="79"/>
  <c r="J95" i="31"/>
  <c r="J96" i="31" s="1"/>
  <c r="I167" i="79"/>
  <c r="I148" i="79" s="1"/>
  <c r="I437" i="63" s="1"/>
  <c r="I186" i="79"/>
  <c r="I336" i="63"/>
  <c r="K58" i="79"/>
  <c r="L57" i="79"/>
  <c r="O189" i="78"/>
  <c r="O77" i="78"/>
  <c r="K179" i="31"/>
  <c r="M66" i="31"/>
  <c r="M87" i="31"/>
  <c r="M85" i="31" s="1"/>
  <c r="M88" i="31" s="1"/>
  <c r="M191" i="31"/>
  <c r="J335" i="63"/>
  <c r="J168" i="79"/>
  <c r="J78" i="79"/>
  <c r="N7" i="76"/>
  <c r="N124" i="63"/>
  <c r="N126" i="63" s="1"/>
  <c r="N248" i="63" s="1"/>
  <c r="F47" i="77"/>
  <c r="F14" i="77"/>
  <c r="N133" i="63"/>
  <c r="N135" i="63" s="1"/>
  <c r="N252" i="63" s="1"/>
  <c r="N8" i="76"/>
  <c r="E14" i="77"/>
  <c r="C235" i="79"/>
  <c r="H190" i="79"/>
  <c r="I323" i="63"/>
  <c r="P144" i="63"/>
  <c r="O9" i="76"/>
  <c r="O142" i="63"/>
  <c r="M256" i="63"/>
  <c r="M162" i="63"/>
  <c r="N144" i="63"/>
  <c r="L220" i="63"/>
  <c r="L218" i="63"/>
  <c r="L219" i="63"/>
  <c r="P9" i="76"/>
  <c r="I398" i="63" l="1"/>
  <c r="I96" i="31"/>
  <c r="M61" i="81"/>
  <c r="L62" i="81"/>
  <c r="N178" i="81"/>
  <c r="N96" i="81" s="1"/>
  <c r="N97" i="81" s="1"/>
  <c r="O184" i="81"/>
  <c r="O181" i="81" s="1"/>
  <c r="O179" i="81"/>
  <c r="O180" i="81"/>
  <c r="P81" i="81"/>
  <c r="P84" i="81" s="1"/>
  <c r="N264" i="63"/>
  <c r="I4" i="77"/>
  <c r="I14" i="77" s="1"/>
  <c r="J185" i="31"/>
  <c r="J186" i="31" s="1"/>
  <c r="I47" i="77" s="1"/>
  <c r="G274" i="80"/>
  <c r="L201" i="63"/>
  <c r="P150" i="63"/>
  <c r="P159" i="63" s="1"/>
  <c r="H186" i="31"/>
  <c r="G47" i="77" s="1"/>
  <c r="N64" i="31"/>
  <c r="P147" i="75"/>
  <c r="P126" i="75" s="1"/>
  <c r="P340" i="63" s="1"/>
  <c r="M18" i="76"/>
  <c r="P169" i="75"/>
  <c r="P168" i="75" s="1"/>
  <c r="M33" i="76"/>
  <c r="M301" i="63" s="1"/>
  <c r="P105" i="75"/>
  <c r="P341" i="63" s="1"/>
  <c r="O64" i="31"/>
  <c r="P101" i="75"/>
  <c r="P102" i="75" s="1"/>
  <c r="L190" i="31"/>
  <c r="L187" i="31" s="1"/>
  <c r="K19" i="77" s="1"/>
  <c r="M20" i="76"/>
  <c r="K178" i="31"/>
  <c r="O341" i="63"/>
  <c r="O286" i="75"/>
  <c r="N160" i="63"/>
  <c r="N6" i="76"/>
  <c r="N5" i="76" s="1"/>
  <c r="N33" i="76" s="1"/>
  <c r="N301" i="63" s="1"/>
  <c r="O159" i="63"/>
  <c r="O11" i="76"/>
  <c r="O12" i="76" s="1"/>
  <c r="O151" i="63"/>
  <c r="O153" i="63" s="1"/>
  <c r="O260" i="63" s="1"/>
  <c r="O103" i="75"/>
  <c r="N342" i="63"/>
  <c r="G49" i="77"/>
  <c r="J336" i="63"/>
  <c r="J167" i="79"/>
  <c r="J148" i="79" s="1"/>
  <c r="J437" i="63" s="1"/>
  <c r="J186" i="79"/>
  <c r="M321" i="63"/>
  <c r="M164" i="31"/>
  <c r="L58" i="79"/>
  <c r="M57" i="79"/>
  <c r="K335" i="63"/>
  <c r="K168" i="79"/>
  <c r="K78" i="79"/>
  <c r="L179" i="31"/>
  <c r="I197" i="79"/>
  <c r="I192" i="79"/>
  <c r="I183" i="79" s="1"/>
  <c r="I193" i="79"/>
  <c r="I184" i="79" s="1"/>
  <c r="O320" i="63"/>
  <c r="O72" i="31"/>
  <c r="O68" i="31" s="1"/>
  <c r="P71" i="31"/>
  <c r="L322" i="63"/>
  <c r="L182" i="31"/>
  <c r="L181" i="31" s="1"/>
  <c r="L163" i="31"/>
  <c r="L144" i="31" s="1"/>
  <c r="L431" i="63" s="1"/>
  <c r="L396" i="63" s="1"/>
  <c r="K323" i="63"/>
  <c r="J81" i="79"/>
  <c r="J323" i="63"/>
  <c r="M193" i="31"/>
  <c r="M184" i="31" s="1"/>
  <c r="M189" i="31"/>
  <c r="M180" i="31" s="1"/>
  <c r="M188" i="31"/>
  <c r="K100" i="31"/>
  <c r="K101" i="31" s="1"/>
  <c r="M66" i="79"/>
  <c r="M62" i="79" s="1"/>
  <c r="M334" i="63"/>
  <c r="M347" i="63" s="1"/>
  <c r="N65" i="79"/>
  <c r="L80" i="79"/>
  <c r="L195" i="79"/>
  <c r="L60" i="79"/>
  <c r="N87" i="31"/>
  <c r="N85" i="31" s="1"/>
  <c r="N88" i="31" s="1"/>
  <c r="N66" i="31"/>
  <c r="N191" i="31"/>
  <c r="O8" i="76"/>
  <c r="O6" i="76" s="1"/>
  <c r="O133" i="63"/>
  <c r="O135" i="63" s="1"/>
  <c r="O252" i="63" s="1"/>
  <c r="P8" i="76"/>
  <c r="P6" i="76" s="1"/>
  <c r="P133" i="63"/>
  <c r="L57" i="78"/>
  <c r="M56" i="78"/>
  <c r="N256" i="63"/>
  <c r="N162" i="63"/>
  <c r="P256" i="63"/>
  <c r="M218" i="63"/>
  <c r="M220" i="63"/>
  <c r="M219" i="63"/>
  <c r="O144" i="63"/>
  <c r="J398" i="63" l="1"/>
  <c r="O5" i="76"/>
  <c r="O18" i="76" s="1"/>
  <c r="P184" i="81"/>
  <c r="P181" i="81" s="1"/>
  <c r="P179" i="81"/>
  <c r="P180" i="81"/>
  <c r="N61" i="81"/>
  <c r="M62" i="81"/>
  <c r="O178" i="81"/>
  <c r="O96" i="81" s="1"/>
  <c r="O97" i="81" s="1"/>
  <c r="O264" i="63"/>
  <c r="K95" i="31"/>
  <c r="K96" i="31" s="1"/>
  <c r="J4" i="77"/>
  <c r="J14" i="77" s="1"/>
  <c r="H274" i="80"/>
  <c r="I274" i="80" s="1"/>
  <c r="P286" i="75"/>
  <c r="P342" i="63" s="1"/>
  <c r="M201" i="63"/>
  <c r="N18" i="76"/>
  <c r="P11" i="76"/>
  <c r="P12" i="76" s="1"/>
  <c r="N20" i="76"/>
  <c r="P103" i="75"/>
  <c r="P151" i="63"/>
  <c r="P153" i="63" s="1"/>
  <c r="P260" i="63" s="1"/>
  <c r="K185" i="31"/>
  <c r="K186" i="31" s="1"/>
  <c r="O20" i="76"/>
  <c r="O160" i="63"/>
  <c r="N201" i="63"/>
  <c r="N19" i="76"/>
  <c r="O342" i="63"/>
  <c r="O33" i="76"/>
  <c r="O19" i="76"/>
  <c r="M57" i="78"/>
  <c r="N56" i="78"/>
  <c r="N193" i="31"/>
  <c r="N184" i="31" s="1"/>
  <c r="N189" i="31"/>
  <c r="N180" i="31" s="1"/>
  <c r="N188" i="31"/>
  <c r="N334" i="63"/>
  <c r="N347" i="63" s="1"/>
  <c r="N66" i="79"/>
  <c r="N62" i="79" s="1"/>
  <c r="O65" i="79"/>
  <c r="M195" i="79"/>
  <c r="M60" i="79"/>
  <c r="M80" i="79"/>
  <c r="J192" i="79"/>
  <c r="J183" i="79" s="1"/>
  <c r="J193" i="79"/>
  <c r="J184" i="79" s="1"/>
  <c r="J197" i="79"/>
  <c r="L323" i="63"/>
  <c r="O87" i="31"/>
  <c r="O85" i="31" s="1"/>
  <c r="O88" i="31" s="1"/>
  <c r="O66" i="31"/>
  <c r="O191" i="31"/>
  <c r="I194" i="79"/>
  <c r="I191" i="79" s="1"/>
  <c r="H21" i="77" s="1"/>
  <c r="I188" i="79"/>
  <c r="I185" i="79" s="1"/>
  <c r="I182" i="79" s="1"/>
  <c r="L100" i="31"/>
  <c r="L101" i="31" s="1"/>
  <c r="K186" i="79"/>
  <c r="K336" i="63"/>
  <c r="K167" i="79"/>
  <c r="K148" i="79" s="1"/>
  <c r="K437" i="63" s="1"/>
  <c r="J47" i="77"/>
  <c r="K81" i="79"/>
  <c r="P135" i="63"/>
  <c r="N321" i="63"/>
  <c r="N164" i="31"/>
  <c r="L168" i="79"/>
  <c r="L335" i="63"/>
  <c r="L78" i="79"/>
  <c r="M179" i="31"/>
  <c r="P320" i="63"/>
  <c r="P72" i="31"/>
  <c r="P68" i="31" s="1"/>
  <c r="M58" i="79"/>
  <c r="N57" i="79"/>
  <c r="M322" i="63"/>
  <c r="M182" i="31"/>
  <c r="M181" i="31" s="1"/>
  <c r="M163" i="31"/>
  <c r="M144" i="31" s="1"/>
  <c r="M431" i="63" s="1"/>
  <c r="M396" i="63" s="1"/>
  <c r="M190" i="31"/>
  <c r="M187" i="31" s="1"/>
  <c r="L19" i="77" s="1"/>
  <c r="L178" i="31"/>
  <c r="K4" i="77" s="1"/>
  <c r="O256" i="63"/>
  <c r="O162" i="63"/>
  <c r="N220" i="63"/>
  <c r="N219" i="63"/>
  <c r="N218" i="63"/>
  <c r="K398" i="63" l="1"/>
  <c r="O201" i="63"/>
  <c r="O301" i="63"/>
  <c r="P178" i="81"/>
  <c r="P96" i="81" s="1"/>
  <c r="P97" i="81" s="1"/>
  <c r="O61" i="81"/>
  <c r="N62" i="81"/>
  <c r="J274" i="80"/>
  <c r="P160" i="63"/>
  <c r="P5" i="76"/>
  <c r="P20" i="76" s="1"/>
  <c r="N190" i="31"/>
  <c r="N187" i="31" s="1"/>
  <c r="M19" i="77" s="1"/>
  <c r="L81" i="79"/>
  <c r="L192" i="79" s="1"/>
  <c r="L183" i="79" s="1"/>
  <c r="M100" i="31"/>
  <c r="M101" i="31" s="1"/>
  <c r="K14" i="77"/>
  <c r="L185" i="31"/>
  <c r="L186" i="31" s="1"/>
  <c r="L95" i="31"/>
  <c r="L96" i="31" s="1"/>
  <c r="M323" i="63"/>
  <c r="L186" i="79"/>
  <c r="L336" i="63"/>
  <c r="L167" i="79"/>
  <c r="L148" i="79" s="1"/>
  <c r="L437" i="63" s="1"/>
  <c r="N322" i="63"/>
  <c r="N182" i="31"/>
  <c r="N181" i="31" s="1"/>
  <c r="N163" i="31"/>
  <c r="N144" i="31" s="1"/>
  <c r="N431" i="63" s="1"/>
  <c r="N396" i="63" s="1"/>
  <c r="K192" i="79"/>
  <c r="K183" i="79" s="1"/>
  <c r="K197" i="79"/>
  <c r="K193" i="79"/>
  <c r="K184" i="79" s="1"/>
  <c r="I98" i="79"/>
  <c r="I99" i="79" s="1"/>
  <c r="O321" i="63"/>
  <c r="O164" i="31"/>
  <c r="M78" i="79"/>
  <c r="N195" i="79"/>
  <c r="N60" i="79"/>
  <c r="N80" i="79"/>
  <c r="N57" i="78"/>
  <c r="O56" i="78"/>
  <c r="I94" i="79"/>
  <c r="I95" i="79" s="1"/>
  <c r="I189" i="79"/>
  <c r="I190" i="79" s="1"/>
  <c r="H6" i="77"/>
  <c r="O57" i="79"/>
  <c r="N58" i="79"/>
  <c r="P66" i="31"/>
  <c r="P87" i="31"/>
  <c r="P85" i="31" s="1"/>
  <c r="P88" i="31" s="1"/>
  <c r="P191" i="31"/>
  <c r="P252" i="63"/>
  <c r="P264" i="63" s="1"/>
  <c r="P162" i="63"/>
  <c r="O193" i="31"/>
  <c r="O184" i="31" s="1"/>
  <c r="O189" i="31"/>
  <c r="O180" i="31" s="1"/>
  <c r="O188" i="31"/>
  <c r="J188" i="79"/>
  <c r="J185" i="79" s="1"/>
  <c r="J182" i="79" s="1"/>
  <c r="J194" i="79"/>
  <c r="J191" i="79" s="1"/>
  <c r="I21" i="77" s="1"/>
  <c r="M335" i="63"/>
  <c r="M168" i="79"/>
  <c r="O66" i="79"/>
  <c r="O62" i="79" s="1"/>
  <c r="O334" i="63"/>
  <c r="O347" i="63" s="1"/>
  <c r="P65" i="79"/>
  <c r="N179" i="31"/>
  <c r="M178" i="31"/>
  <c r="L4" i="77" s="1"/>
  <c r="O219" i="63"/>
  <c r="O220" i="63"/>
  <c r="O218" i="63"/>
  <c r="L398" i="63" l="1"/>
  <c r="P61" i="81"/>
  <c r="P62" i="81" s="1"/>
  <c r="O62" i="81"/>
  <c r="L197" i="79"/>
  <c r="K274" i="80"/>
  <c r="L193" i="79"/>
  <c r="L184" i="79" s="1"/>
  <c r="P18" i="76"/>
  <c r="P33" i="76"/>
  <c r="P301" i="63" s="1"/>
  <c r="P19" i="76"/>
  <c r="N178" i="31"/>
  <c r="L14" i="77"/>
  <c r="M95" i="31"/>
  <c r="M96" i="31" s="1"/>
  <c r="M185" i="31"/>
  <c r="M186" i="31" s="1"/>
  <c r="N100" i="31"/>
  <c r="N101" i="31" s="1"/>
  <c r="P334" i="63"/>
  <c r="P347" i="63" s="1"/>
  <c r="P66" i="79"/>
  <c r="P62" i="79" s="1"/>
  <c r="O60" i="79"/>
  <c r="O80" i="79"/>
  <c r="O195" i="79"/>
  <c r="I6" i="77"/>
  <c r="J94" i="79"/>
  <c r="J95" i="79" s="1"/>
  <c r="J189" i="79"/>
  <c r="J190" i="79" s="1"/>
  <c r="P219" i="63"/>
  <c r="P218" i="63"/>
  <c r="P220" i="63"/>
  <c r="L194" i="79"/>
  <c r="L188" i="79"/>
  <c r="L185" i="79" s="1"/>
  <c r="P193" i="31"/>
  <c r="P184" i="31" s="1"/>
  <c r="P189" i="31"/>
  <c r="P180" i="31" s="1"/>
  <c r="P188" i="31"/>
  <c r="H49" i="77"/>
  <c r="N335" i="63"/>
  <c r="N168" i="79"/>
  <c r="O322" i="63"/>
  <c r="O163" i="31"/>
  <c r="O144" i="31" s="1"/>
  <c r="O431" i="63" s="1"/>
  <c r="O182" i="31"/>
  <c r="O181" i="31" s="1"/>
  <c r="K188" i="79"/>
  <c r="K185" i="79" s="1"/>
  <c r="K182" i="79" s="1"/>
  <c r="K194" i="79"/>
  <c r="K191" i="79" s="1"/>
  <c r="J21" i="77" s="1"/>
  <c r="N323" i="63"/>
  <c r="K47" i="77"/>
  <c r="O190" i="31"/>
  <c r="O187" i="31" s="1"/>
  <c r="N19" i="77" s="1"/>
  <c r="M81" i="79"/>
  <c r="M167" i="79"/>
  <c r="M148" i="79" s="1"/>
  <c r="M437" i="63" s="1"/>
  <c r="M336" i="63"/>
  <c r="M186" i="79"/>
  <c r="J98" i="79"/>
  <c r="J99" i="79" s="1"/>
  <c r="O179" i="31"/>
  <c r="P321" i="63"/>
  <c r="P164" i="31"/>
  <c r="O58" i="79"/>
  <c r="P57" i="79"/>
  <c r="P58" i="79" s="1"/>
  <c r="H16" i="77"/>
  <c r="P56" i="78"/>
  <c r="P57" i="78" s="1"/>
  <c r="O57" i="78"/>
  <c r="N78" i="79"/>
  <c r="L182" i="79" l="1"/>
  <c r="L189" i="79" s="1"/>
  <c r="L190" i="79" s="1"/>
  <c r="K49" i="77" s="1"/>
  <c r="M398" i="63"/>
  <c r="O396" i="63"/>
  <c r="M4" i="77"/>
  <c r="M14" i="77" s="1"/>
  <c r="L191" i="79"/>
  <c r="K21" i="77" s="1"/>
  <c r="L274" i="80"/>
  <c r="N95" i="31"/>
  <c r="N96" i="31" s="1"/>
  <c r="P190" i="31"/>
  <c r="P187" i="31" s="1"/>
  <c r="O19" i="77" s="1"/>
  <c r="L94" i="79"/>
  <c r="P201" i="63"/>
  <c r="O178" i="31"/>
  <c r="N185" i="31"/>
  <c r="N186" i="31" s="1"/>
  <c r="N81" i="79"/>
  <c r="N192" i="79" s="1"/>
  <c r="N183" i="79" s="1"/>
  <c r="O323" i="63"/>
  <c r="N167" i="79"/>
  <c r="N148" i="79" s="1"/>
  <c r="N437" i="63" s="1"/>
  <c r="N336" i="63"/>
  <c r="N186" i="79"/>
  <c r="P179" i="31"/>
  <c r="I49" i="77"/>
  <c r="I16" i="77"/>
  <c r="O335" i="63"/>
  <c r="O168" i="79"/>
  <c r="L47" i="77"/>
  <c r="J6" i="77"/>
  <c r="K94" i="79"/>
  <c r="K95" i="79" s="1"/>
  <c r="K189" i="79"/>
  <c r="K190" i="79" s="1"/>
  <c r="P322" i="63"/>
  <c r="P182" i="31"/>
  <c r="P181" i="31" s="1"/>
  <c r="P163" i="31"/>
  <c r="P144" i="31" s="1"/>
  <c r="P431" i="63" s="1"/>
  <c r="P396" i="63" s="1"/>
  <c r="O100" i="31"/>
  <c r="O101" i="31" s="1"/>
  <c r="M192" i="79"/>
  <c r="M183" i="79" s="1"/>
  <c r="M193" i="79"/>
  <c r="M184" i="79" s="1"/>
  <c r="M197" i="79"/>
  <c r="K98" i="79"/>
  <c r="K99" i="79" s="1"/>
  <c r="K6" i="77"/>
  <c r="O78" i="79"/>
  <c r="P80" i="79"/>
  <c r="P195" i="79"/>
  <c r="P60" i="79"/>
  <c r="N398" i="63" l="1"/>
  <c r="L98" i="79"/>
  <c r="L99" i="79" s="1"/>
  <c r="O95" i="31"/>
  <c r="O96" i="31" s="1"/>
  <c r="N4" i="77"/>
  <c r="M274" i="80"/>
  <c r="N193" i="79"/>
  <c r="N184" i="79" s="1"/>
  <c r="N197" i="79"/>
  <c r="N188" i="79" s="1"/>
  <c r="N185" i="79" s="1"/>
  <c r="M47" i="77"/>
  <c r="N14" i="77"/>
  <c r="O185" i="31"/>
  <c r="O186" i="31" s="1"/>
  <c r="N47" i="77" s="1"/>
  <c r="O81" i="79"/>
  <c r="O197" i="79" s="1"/>
  <c r="P335" i="63"/>
  <c r="P168" i="79"/>
  <c r="P78" i="79"/>
  <c r="K16" i="77"/>
  <c r="O336" i="63"/>
  <c r="O186" i="79"/>
  <c r="O167" i="79"/>
  <c r="O148" i="79" s="1"/>
  <c r="O437" i="63" s="1"/>
  <c r="O398" i="63" s="1"/>
  <c r="P178" i="31"/>
  <c r="O4" i="77" s="1"/>
  <c r="M194" i="79"/>
  <c r="M191" i="79" s="1"/>
  <c r="L21" i="77" s="1"/>
  <c r="M188" i="79"/>
  <c r="M185" i="79" s="1"/>
  <c r="M182" i="79" s="1"/>
  <c r="P323" i="63"/>
  <c r="J49" i="77"/>
  <c r="J16" i="77"/>
  <c r="P100" i="31"/>
  <c r="P101" i="31" s="1"/>
  <c r="L95" i="79"/>
  <c r="N182" i="79" l="1"/>
  <c r="N94" i="79" s="1"/>
  <c r="N274" i="80"/>
  <c r="N194" i="79"/>
  <c r="N191" i="79" s="1"/>
  <c r="M21" i="77" s="1"/>
  <c r="O192" i="79"/>
  <c r="O183" i="79" s="1"/>
  <c r="O193" i="79"/>
  <c r="O184" i="79" s="1"/>
  <c r="P81" i="79"/>
  <c r="P192" i="79" s="1"/>
  <c r="P183" i="79" s="1"/>
  <c r="M6" i="77"/>
  <c r="N189" i="79"/>
  <c r="N190" i="79" s="1"/>
  <c r="M98" i="79"/>
  <c r="M99" i="79" s="1"/>
  <c r="L6" i="77"/>
  <c r="M94" i="79"/>
  <c r="M95" i="79" s="1"/>
  <c r="M189" i="79"/>
  <c r="M190" i="79" s="1"/>
  <c r="O194" i="79"/>
  <c r="O188" i="79"/>
  <c r="O185" i="79" s="1"/>
  <c r="O14" i="77"/>
  <c r="P95" i="31"/>
  <c r="P96" i="31" s="1"/>
  <c r="P185" i="31"/>
  <c r="P186" i="31" s="1"/>
  <c r="P167" i="79"/>
  <c r="P148" i="79" s="1"/>
  <c r="P437" i="63" s="1"/>
  <c r="P336" i="63"/>
  <c r="P186" i="79"/>
  <c r="P398" i="63" l="1"/>
  <c r="N98" i="79"/>
  <c r="P197" i="79"/>
  <c r="P188" i="79" s="1"/>
  <c r="P185" i="79" s="1"/>
  <c r="P193" i="79"/>
  <c r="P184" i="79" s="1"/>
  <c r="O182" i="79"/>
  <c r="O94" i="79" s="1"/>
  <c r="O95" i="79" s="1"/>
  <c r="O191" i="79"/>
  <c r="N21" i="77" s="1"/>
  <c r="O189" i="79"/>
  <c r="O190" i="79" s="1"/>
  <c r="N49" i="77" s="1"/>
  <c r="N99" i="79"/>
  <c r="P194" i="79"/>
  <c r="L49" i="77"/>
  <c r="M49" i="77"/>
  <c r="N95" i="79"/>
  <c r="O47" i="77"/>
  <c r="L16" i="77"/>
  <c r="M16" i="77"/>
  <c r="P182" i="79" l="1"/>
  <c r="N6" i="77"/>
  <c r="N16" i="77" s="1"/>
  <c r="O98" i="79"/>
  <c r="O99" i="79" s="1"/>
  <c r="P191" i="79"/>
  <c r="O21" i="77" s="1"/>
  <c r="P189" i="79"/>
  <c r="P190" i="79" s="1"/>
  <c r="P94" i="79"/>
  <c r="P95" i="79" s="1"/>
  <c r="O6" i="77"/>
  <c r="P98" i="79" l="1"/>
  <c r="P99" i="79" s="1"/>
  <c r="O16" i="77"/>
  <c r="O49" i="77"/>
  <c r="C161" i="78" l="1"/>
  <c r="C142" i="78" s="1"/>
  <c r="C188" i="78"/>
  <c r="C185" i="78" s="1"/>
  <c r="B20" i="77" s="1"/>
  <c r="C394" i="63"/>
  <c r="C468" i="63" s="1"/>
  <c r="C14" i="82" s="1"/>
  <c r="C192" i="78" l="1"/>
  <c r="C193" i="78" s="1"/>
  <c r="C96" i="78"/>
  <c r="C203" i="78"/>
  <c r="C167" i="78"/>
  <c r="C434" i="63"/>
  <c r="C397" i="63" s="1"/>
  <c r="C330" i="63" l="1"/>
  <c r="B53" i="77"/>
  <c r="B51" i="77" s="1"/>
  <c r="B58" i="77" s="1"/>
  <c r="C204" i="78"/>
  <c r="C435" i="63"/>
  <c r="C401" i="63"/>
  <c r="C469" i="63" s="1"/>
  <c r="C428" i="63"/>
  <c r="B18" i="77"/>
  <c r="C450" i="63" s="1"/>
  <c r="C452" i="63" s="1"/>
  <c r="B34" i="77"/>
  <c r="C170" i="78"/>
  <c r="C174" i="78" s="1"/>
  <c r="C464" i="63" l="1"/>
  <c r="C15" i="82"/>
  <c r="C10" i="82" s="1"/>
  <c r="C350" i="63"/>
  <c r="C462" i="63"/>
  <c r="B32" i="77"/>
  <c r="B41" i="77"/>
  <c r="B39" i="77" s="1"/>
  <c r="C429" i="63"/>
  <c r="C478" i="63"/>
  <c r="C480" i="63" s="1"/>
  <c r="C21" i="82" s="1"/>
  <c r="C481" i="63" l="1"/>
  <c r="C475" i="63"/>
  <c r="C484" i="63" l="1"/>
  <c r="D179" i="78"/>
  <c r="D176" i="78" s="1"/>
  <c r="C5" i="77" l="1"/>
  <c r="D446" i="63"/>
  <c r="D448" i="63" s="1"/>
  <c r="D183" i="78"/>
  <c r="D184" i="78" s="1"/>
  <c r="D92" i="78"/>
  <c r="D93" i="78" s="1"/>
  <c r="C48" i="77" l="1"/>
  <c r="C46" i="77" s="1"/>
  <c r="C3" i="77"/>
  <c r="C15" i="77"/>
  <c r="C13" i="77" l="1"/>
  <c r="D164" i="78" l="1"/>
  <c r="D390" i="63" s="1"/>
  <c r="D188" i="78"/>
  <c r="D185" i="78" s="1"/>
  <c r="C20" i="77" l="1"/>
  <c r="D192" i="78"/>
  <c r="D193" i="78" s="1"/>
  <c r="D96" i="78"/>
  <c r="D97" i="78" s="1"/>
  <c r="D161" i="78"/>
  <c r="D142" i="78" s="1"/>
  <c r="D434" i="63" s="1"/>
  <c r="D394" i="63"/>
  <c r="D468" i="63" s="1"/>
  <c r="D14" i="82" s="1"/>
  <c r="D397" i="63" l="1"/>
  <c r="D401" i="63" s="1"/>
  <c r="D469" i="63" s="1"/>
  <c r="D15" i="82" s="1"/>
  <c r="D428" i="63"/>
  <c r="D10" i="82"/>
  <c r="C18" i="77"/>
  <c r="C34" i="77"/>
  <c r="D203" i="78"/>
  <c r="D330" i="63"/>
  <c r="D167" i="78"/>
  <c r="C53" i="77"/>
  <c r="C51" i="77" s="1"/>
  <c r="C58" i="77" s="1"/>
  <c r="D204" i="78"/>
  <c r="D125" i="77" l="1"/>
  <c r="D450" i="63"/>
  <c r="D452" i="63" s="1"/>
  <c r="D126" i="77"/>
  <c r="D119" i="77" s="1"/>
  <c r="A61" i="77" s="1"/>
  <c r="D435" i="63"/>
  <c r="D350" i="63"/>
  <c r="D464" i="63"/>
  <c r="C32" i="77"/>
  <c r="C41" i="77"/>
  <c r="C39" i="77" s="1"/>
  <c r="D170" i="78"/>
  <c r="D174" i="78" s="1"/>
  <c r="D462" i="63" l="1"/>
  <c r="E98" i="31"/>
  <c r="E103" i="31" s="1"/>
  <c r="E97" i="79"/>
  <c r="E96" i="79" s="1"/>
  <c r="E144" i="79" s="1"/>
  <c r="E205" i="75"/>
  <c r="F289" i="75" s="1"/>
  <c r="E62" i="76"/>
  <c r="E63" i="76" s="1"/>
  <c r="E110" i="76" s="1"/>
  <c r="E303" i="63" s="1"/>
  <c r="E7" i="82" s="1"/>
  <c r="E95" i="78"/>
  <c r="E99" i="78" s="1"/>
  <c r="D478" i="63"/>
  <c r="D429" i="63"/>
  <c r="D480" i="63" l="1"/>
  <c r="E257" i="63"/>
  <c r="E204" i="75"/>
  <c r="E262" i="75" s="1"/>
  <c r="E261" i="63" s="1"/>
  <c r="E209" i="75"/>
  <c r="E208" i="75" s="1"/>
  <c r="E94" i="78"/>
  <c r="E138" i="78" s="1"/>
  <c r="E61" i="76"/>
  <c r="E97" i="31"/>
  <c r="E140" i="31" s="1"/>
  <c r="E101" i="79"/>
  <c r="E100" i="79" s="1"/>
  <c r="E7" i="63"/>
  <c r="E102" i="31"/>
  <c r="E107" i="31" s="1"/>
  <c r="C252" i="80" s="1"/>
  <c r="C253" i="80" s="1"/>
  <c r="C254" i="80" s="1"/>
  <c r="E198" i="79"/>
  <c r="E199" i="79" s="1"/>
  <c r="E211" i="75"/>
  <c r="E102" i="79"/>
  <c r="E145" i="79" s="1"/>
  <c r="E277" i="63" s="1"/>
  <c r="E100" i="78"/>
  <c r="E139" i="78" s="1"/>
  <c r="E98" i="78"/>
  <c r="F424" i="63"/>
  <c r="F19" i="82" s="1"/>
  <c r="F285" i="75"/>
  <c r="F265" i="75" s="1"/>
  <c r="D475" i="63"/>
  <c r="E273" i="63" l="1"/>
  <c r="E196" i="78"/>
  <c r="D481" i="63"/>
  <c r="D21" i="82"/>
  <c r="D29" i="82" s="1"/>
  <c r="D33" i="82" s="1"/>
  <c r="D482" i="63" s="1"/>
  <c r="D484" i="63"/>
  <c r="D495" i="63" s="1"/>
  <c r="D500" i="63" s="1"/>
  <c r="F440" i="63"/>
  <c r="F399" i="63" s="1"/>
  <c r="E22" i="77"/>
  <c r="E249" i="63"/>
  <c r="E291" i="63" s="1"/>
  <c r="D26" i="77"/>
  <c r="D33" i="77" s="1"/>
  <c r="D40" i="77" s="1"/>
  <c r="E253" i="63"/>
  <c r="D27" i="77"/>
  <c r="D28" i="77"/>
  <c r="D35" i="77" s="1"/>
  <c r="D42" i="77" s="1"/>
  <c r="E109" i="76"/>
  <c r="E137" i="31"/>
  <c r="E204" i="31" s="1"/>
  <c r="E194" i="31"/>
  <c r="E195" i="31" s="1"/>
  <c r="D52" i="77" s="1"/>
  <c r="E135" i="78"/>
  <c r="F206" i="75"/>
  <c r="F207" i="75" s="1"/>
  <c r="F343" i="63"/>
  <c r="E207" i="79"/>
  <c r="E208" i="79" s="1"/>
  <c r="E210" i="79" s="1"/>
  <c r="E213" i="75"/>
  <c r="E212" i="75" s="1"/>
  <c r="E263" i="75" s="1"/>
  <c r="E210" i="75"/>
  <c r="E141" i="79"/>
  <c r="E265" i="63" l="1"/>
  <c r="E6" i="82" s="1"/>
  <c r="E4" i="82" s="1"/>
  <c r="E169" i="31"/>
  <c r="E171" i="31" s="1"/>
  <c r="E174" i="31" s="1"/>
  <c r="E175" i="31" s="1"/>
  <c r="D54" i="77"/>
  <c r="E261" i="75"/>
  <c r="D29" i="77" s="1"/>
  <c r="D36" i="77" s="1"/>
  <c r="D43" i="77" s="1"/>
  <c r="E281" i="63"/>
  <c r="E285" i="63" s="1"/>
  <c r="E108" i="76"/>
  <c r="D30" i="77" s="1"/>
  <c r="E302" i="63"/>
  <c r="E311" i="63" s="1"/>
  <c r="E312" i="63" s="1"/>
  <c r="E205" i="31"/>
  <c r="E194" i="78"/>
  <c r="E201" i="78" s="1"/>
  <c r="E202" i="78" s="1"/>
  <c r="E134" i="76"/>
  <c r="E337" i="63"/>
  <c r="E209" i="79"/>
  <c r="E173" i="79"/>
  <c r="E432" i="63"/>
  <c r="E295" i="63"/>
  <c r="E293" i="63"/>
  <c r="E130" i="76" l="1"/>
  <c r="E112" i="76" s="1"/>
  <c r="D23" i="77" s="1"/>
  <c r="D37" i="77" s="1"/>
  <c r="D44" i="77" s="1"/>
  <c r="E426" i="63"/>
  <c r="E473" i="63" s="1"/>
  <c r="E291" i="75"/>
  <c r="E293" i="75" s="1"/>
  <c r="E296" i="75" s="1"/>
  <c r="E297" i="75" s="1"/>
  <c r="E172" i="31"/>
  <c r="E443" i="63"/>
  <c r="E300" i="75"/>
  <c r="E301" i="75" s="1"/>
  <c r="D55" i="77" s="1"/>
  <c r="E313" i="63"/>
  <c r="E314" i="63" s="1"/>
  <c r="E309" i="63"/>
  <c r="E310" i="63" s="1"/>
  <c r="D25" i="77"/>
  <c r="E460" i="63" s="1"/>
  <c r="E458" i="63" s="1"/>
  <c r="E287" i="63"/>
  <c r="E289" i="63" s="1"/>
  <c r="E296" i="63" s="1"/>
  <c r="E297" i="63"/>
  <c r="E441" i="63" s="1"/>
  <c r="E176" i="31"/>
  <c r="E176" i="79"/>
  <c r="E175" i="79"/>
  <c r="E178" i="79" s="1"/>
  <c r="E179" i="79" s="1"/>
  <c r="E438" i="63"/>
  <c r="E136" i="76"/>
  <c r="E294" i="75" l="1"/>
  <c r="E59" i="76"/>
  <c r="E60" i="76" s="1"/>
  <c r="E145" i="76"/>
  <c r="E146" i="76" s="1"/>
  <c r="D56" i="77" s="1"/>
  <c r="E400" i="63"/>
  <c r="E298" i="63"/>
  <c r="E305" i="63"/>
  <c r="E306" i="63" s="1"/>
  <c r="E292" i="63"/>
  <c r="E294" i="63"/>
  <c r="E180" i="79"/>
  <c r="E298" i="75"/>
  <c r="E444" i="63"/>
  <c r="E138" i="76"/>
  <c r="E141" i="76" s="1"/>
  <c r="E142" i="76" s="1"/>
  <c r="E139" i="76"/>
  <c r="E143" i="76" l="1"/>
  <c r="F63" i="76" l="1"/>
  <c r="F110" i="76" s="1"/>
  <c r="F303" i="63" s="1"/>
  <c r="F7" i="82" s="1"/>
  <c r="F100" i="78"/>
  <c r="F102" i="79"/>
  <c r="F145" i="79" s="1"/>
  <c r="F277" i="63" s="1"/>
  <c r="F139" i="78" l="1"/>
  <c r="D212" i="80"/>
  <c r="F207" i="79"/>
  <c r="F208" i="79" s="1"/>
  <c r="F273" i="63" l="1"/>
  <c r="F196" i="78"/>
  <c r="D225" i="80"/>
  <c r="D210" i="80"/>
  <c r="F194" i="78" l="1"/>
  <c r="D223" i="80"/>
  <c r="D234" i="80" s="1"/>
  <c r="D281" i="80"/>
  <c r="D233" i="80"/>
  <c r="D262" i="80" s="1"/>
  <c r="D222" i="80"/>
  <c r="D226" i="80" s="1"/>
  <c r="D209" i="80"/>
  <c r="D213" i="80" s="1"/>
  <c r="F201" i="78"/>
  <c r="F202" i="78" s="1"/>
  <c r="D279" i="80" l="1"/>
  <c r="D268" i="80"/>
  <c r="D266" i="80" s="1"/>
  <c r="D265" i="80" s="1"/>
  <c r="D261" i="80"/>
  <c r="D278" i="80"/>
  <c r="D282" i="80" s="1"/>
  <c r="G63" i="76"/>
  <c r="G110" i="76" s="1"/>
  <c r="G303" i="63" s="1"/>
  <c r="G7" i="82" s="1"/>
  <c r="D269" i="80" l="1"/>
  <c r="G102" i="79"/>
  <c r="G145" i="79" s="1"/>
  <c r="G277" i="63" s="1"/>
  <c r="G100" i="78"/>
  <c r="G139" i="78" l="1"/>
  <c r="E212" i="80"/>
  <c r="G207" i="79"/>
  <c r="G208" i="79" s="1"/>
  <c r="G273" i="63" l="1"/>
  <c r="G196" i="78"/>
  <c r="E225" i="80"/>
  <c r="E281" i="80" s="1"/>
  <c r="E268" i="80" s="1"/>
  <c r="E266" i="80" s="1"/>
  <c r="E209" i="80"/>
  <c r="E213" i="80" s="1"/>
  <c r="E210" i="80"/>
  <c r="G194" i="78"/>
  <c r="E265" i="80" l="1"/>
  <c r="E279" i="80"/>
  <c r="E278" i="80"/>
  <c r="E223" i="80"/>
  <c r="E222" i="80"/>
  <c r="G201" i="78"/>
  <c r="G202" i="78" s="1"/>
  <c r="E282" i="80" l="1"/>
  <c r="E234" i="80"/>
  <c r="E233" i="80"/>
  <c r="E226" i="80"/>
  <c r="E262" i="80" l="1"/>
  <c r="E261" i="80"/>
  <c r="H63" i="76"/>
  <c r="H110" i="76" s="1"/>
  <c r="H303" i="63" s="1"/>
  <c r="H7" i="82" s="1"/>
  <c r="E269" i="80" l="1"/>
  <c r="F261" i="80"/>
  <c r="G261" i="80" s="1"/>
  <c r="H261" i="80" s="1"/>
  <c r="I261" i="80" s="1"/>
  <c r="J261" i="80" s="1"/>
  <c r="K261" i="80" s="1"/>
  <c r="L261" i="80" s="1"/>
  <c r="M261" i="80" s="1"/>
  <c r="N261" i="80" s="1"/>
  <c r="H102" i="79"/>
  <c r="H145" i="79" s="1"/>
  <c r="H277" i="63" s="1"/>
  <c r="H100" i="78"/>
  <c r="H139" i="78" l="1"/>
  <c r="F212" i="80"/>
  <c r="H207" i="79"/>
  <c r="H208" i="79" s="1"/>
  <c r="H273" i="63" l="1"/>
  <c r="H196" i="78"/>
  <c r="F225" i="80"/>
  <c r="F281" i="80" s="1"/>
  <c r="F268" i="80" s="1"/>
  <c r="F265" i="80" s="1"/>
  <c r="F209" i="80"/>
  <c r="F213" i="80" s="1"/>
  <c r="F210" i="80"/>
  <c r="H194" i="78"/>
  <c r="F289" i="80" s="1"/>
  <c r="F287" i="80" l="1"/>
  <c r="F291" i="80" s="1"/>
  <c r="G289" i="80"/>
  <c r="F266" i="80"/>
  <c r="F279" i="80"/>
  <c r="F278" i="80"/>
  <c r="F223" i="80"/>
  <c r="F222" i="80"/>
  <c r="H201" i="78"/>
  <c r="H202" i="78" s="1"/>
  <c r="H289" i="80" l="1"/>
  <c r="G287" i="80"/>
  <c r="F282" i="80"/>
  <c r="F234" i="80"/>
  <c r="F233" i="80"/>
  <c r="F226" i="80"/>
  <c r="H287" i="80" l="1"/>
  <c r="I289" i="80"/>
  <c r="F262" i="80"/>
  <c r="F269" i="80"/>
  <c r="F270" i="80" s="1"/>
  <c r="I102" i="79"/>
  <c r="I145" i="79" s="1"/>
  <c r="I277" i="63" s="1"/>
  <c r="I100" i="78"/>
  <c r="I287" i="80" l="1"/>
  <c r="J289" i="80"/>
  <c r="I139" i="78"/>
  <c r="G212" i="80"/>
  <c r="I207" i="79"/>
  <c r="I208" i="79" s="1"/>
  <c r="I273" i="63" l="1"/>
  <c r="I196" i="78"/>
  <c r="K289" i="80"/>
  <c r="J287" i="80"/>
  <c r="G210" i="80"/>
  <c r="G225" i="80"/>
  <c r="G281" i="80" s="1"/>
  <c r="G268" i="80" s="1"/>
  <c r="G265" i="80" s="1"/>
  <c r="G209" i="80"/>
  <c r="G213" i="80" s="1"/>
  <c r="I194" i="78"/>
  <c r="L289" i="80" l="1"/>
  <c r="K287" i="80"/>
  <c r="G266" i="80"/>
  <c r="G279" i="80"/>
  <c r="G278" i="80"/>
  <c r="G282" i="80" s="1"/>
  <c r="G223" i="80"/>
  <c r="G222" i="80"/>
  <c r="I201" i="78"/>
  <c r="I202" i="78" s="1"/>
  <c r="M289" i="80" l="1"/>
  <c r="L287" i="80"/>
  <c r="G234" i="80"/>
  <c r="G233" i="80"/>
  <c r="G226" i="80"/>
  <c r="N289" i="80" l="1"/>
  <c r="N287" i="80" s="1"/>
  <c r="M287" i="80"/>
  <c r="G262" i="80"/>
  <c r="G269" i="80"/>
  <c r="J102" i="79" l="1"/>
  <c r="J145" i="79" s="1"/>
  <c r="J277" i="63" s="1"/>
  <c r="J100" i="78"/>
  <c r="J139" i="78" l="1"/>
  <c r="H212" i="80"/>
  <c r="J207" i="79"/>
  <c r="J208" i="79" s="1"/>
  <c r="J273" i="63" l="1"/>
  <c r="J196" i="78"/>
  <c r="H225" i="80"/>
  <c r="H281" i="80" s="1"/>
  <c r="H268" i="80" s="1"/>
  <c r="H265" i="80" s="1"/>
  <c r="H209" i="80"/>
  <c r="H213" i="80" s="1"/>
  <c r="H210" i="80"/>
  <c r="J194" i="78"/>
  <c r="H91" i="80" s="1"/>
  <c r="H89" i="80" l="1"/>
  <c r="H93" i="80" s="1"/>
  <c r="H94" i="80" s="1"/>
  <c r="H78" i="80"/>
  <c r="H76" i="80" s="1"/>
  <c r="H80" i="80" s="1"/>
  <c r="H81" i="80" s="1"/>
  <c r="H266" i="80"/>
  <c r="H223" i="80"/>
  <c r="H222" i="80"/>
  <c r="I91" i="80"/>
  <c r="J201" i="78"/>
  <c r="J202" i="78" s="1"/>
  <c r="H234" i="80" l="1"/>
  <c r="H233" i="80"/>
  <c r="H226" i="80"/>
  <c r="I89" i="80"/>
  <c r="I93" i="80" s="1"/>
  <c r="I78" i="80"/>
  <c r="I76" i="80" s="1"/>
  <c r="I80" i="80" s="1"/>
  <c r="J91" i="80"/>
  <c r="H237" i="80" l="1"/>
  <c r="I233" i="80"/>
  <c r="J89" i="80"/>
  <c r="J93" i="80" s="1"/>
  <c r="J78" i="80"/>
  <c r="J76" i="80" s="1"/>
  <c r="J80" i="80" s="1"/>
  <c r="K91" i="80"/>
  <c r="H262" i="80" l="1"/>
  <c r="H269" i="80"/>
  <c r="J233" i="80"/>
  <c r="K89" i="80"/>
  <c r="K93" i="80" s="1"/>
  <c r="K78" i="80"/>
  <c r="K76" i="80" s="1"/>
  <c r="K80" i="80" s="1"/>
  <c r="L91" i="80"/>
  <c r="K233" i="80" l="1"/>
  <c r="L89" i="80"/>
  <c r="L93" i="80" s="1"/>
  <c r="L78" i="80"/>
  <c r="L76" i="80" s="1"/>
  <c r="L80" i="80" s="1"/>
  <c r="M91" i="80"/>
  <c r="L233" i="80" l="1"/>
  <c r="M89" i="80"/>
  <c r="M93" i="80" s="1"/>
  <c r="M78" i="80"/>
  <c r="M76" i="80" s="1"/>
  <c r="N91" i="80"/>
  <c r="M80" i="80" l="1"/>
  <c r="M233" i="80"/>
  <c r="N89" i="80"/>
  <c r="N93" i="80" s="1"/>
  <c r="N78" i="80"/>
  <c r="N76" i="80" s="1"/>
  <c r="K102" i="79"/>
  <c r="K145" i="79" s="1"/>
  <c r="K277" i="63" s="1"/>
  <c r="N80" i="80" l="1"/>
  <c r="N233" i="80"/>
  <c r="K207" i="79"/>
  <c r="K208" i="79" s="1"/>
  <c r="L97" i="79" l="1"/>
  <c r="L101" i="79" s="1"/>
  <c r="L62" i="76"/>
  <c r="L98" i="31"/>
  <c r="L95" i="78"/>
  <c r="L205" i="75"/>
  <c r="L102" i="79"/>
  <c r="L145" i="79" s="1"/>
  <c r="L277" i="63" s="1"/>
  <c r="L209" i="75" l="1"/>
  <c r="L103" i="31"/>
  <c r="L99" i="78"/>
  <c r="L207" i="79"/>
  <c r="L208" i="79" s="1"/>
  <c r="L7" i="63" l="1"/>
  <c r="L211" i="75"/>
  <c r="L213" i="75" l="1"/>
  <c r="M205" i="75" l="1"/>
  <c r="M62" i="76"/>
  <c r="M95" i="78"/>
  <c r="M99" i="78" s="1"/>
  <c r="M97" i="79"/>
  <c r="M101" i="79" s="1"/>
  <c r="M209" i="75" l="1"/>
  <c r="M211" i="75" s="1"/>
  <c r="M98" i="31"/>
  <c r="M102" i="79"/>
  <c r="M145" i="79" s="1"/>
  <c r="M277" i="63" s="1"/>
  <c r="M103" i="31" l="1"/>
  <c r="M213" i="75"/>
  <c r="M207" i="79"/>
  <c r="M208" i="79" s="1"/>
  <c r="M7" i="63" l="1"/>
  <c r="N62" i="76" l="1"/>
  <c r="N97" i="79"/>
  <c r="N95" i="78"/>
  <c r="N205" i="75"/>
  <c r="N98" i="31"/>
  <c r="N103" i="31" l="1"/>
  <c r="N99" i="78"/>
  <c r="N209" i="75"/>
  <c r="N101" i="79"/>
  <c r="N7" i="63" l="1"/>
  <c r="N102" i="79"/>
  <c r="N145" i="79" s="1"/>
  <c r="N277" i="63" s="1"/>
  <c r="N211" i="75"/>
  <c r="N213" i="75" l="1"/>
  <c r="N207" i="79"/>
  <c r="N208" i="79" s="1"/>
  <c r="O95" i="78" l="1"/>
  <c r="O62" i="76"/>
  <c r="O98" i="31"/>
  <c r="O103" i="31" s="1"/>
  <c r="O97" i="79"/>
  <c r="O205" i="75"/>
  <c r="O209" i="75" l="1"/>
  <c r="O211" i="75" s="1"/>
  <c r="O101" i="79"/>
  <c r="O7" i="63"/>
  <c r="O99" i="78"/>
  <c r="O102" i="79" l="1"/>
  <c r="O145" i="79" s="1"/>
  <c r="O213" i="75"/>
  <c r="O207" i="79" l="1"/>
  <c r="O208" i="79" s="1"/>
  <c r="O277" i="63"/>
  <c r="P97" i="79"/>
  <c r="P101" i="79" s="1"/>
  <c r="P205" i="75"/>
  <c r="P98" i="31"/>
  <c r="P103" i="31" s="1"/>
  <c r="P95" i="78"/>
  <c r="P99" i="78" s="1"/>
  <c r="P62" i="76"/>
  <c r="P209" i="75" l="1"/>
  <c r="P211" i="75" s="1"/>
  <c r="P7" i="63"/>
  <c r="P102" i="79"/>
  <c r="P145" i="79" s="1"/>
  <c r="P277" i="63" s="1"/>
  <c r="P207" i="79" l="1"/>
  <c r="P208" i="79" s="1"/>
  <c r="P213" i="75"/>
  <c r="K100" i="78"/>
  <c r="L100" i="78" s="1"/>
  <c r="I63" i="76"/>
  <c r="J63" i="76" s="1"/>
  <c r="K139" i="78" l="1"/>
  <c r="K196" i="78" s="1"/>
  <c r="K194" i="78" s="1"/>
  <c r="K201" i="78" s="1"/>
  <c r="K202" i="78" s="1"/>
  <c r="K273" i="63"/>
  <c r="M100" i="78"/>
  <c r="J212" i="80"/>
  <c r="J225" i="80" s="1"/>
  <c r="J281" i="80" s="1"/>
  <c r="J268" i="80" s="1"/>
  <c r="I212" i="80"/>
  <c r="I225" i="80" s="1"/>
  <c r="J110" i="76"/>
  <c r="J303" i="63" s="1"/>
  <c r="J7" i="82" s="1"/>
  <c r="K63" i="76"/>
  <c r="I110" i="76"/>
  <c r="I303" i="63" s="1"/>
  <c r="I7" i="82" s="1"/>
  <c r="I209" i="80"/>
  <c r="L139" i="78"/>
  <c r="M139" i="78"/>
  <c r="M273" i="63" s="1"/>
  <c r="N100" i="78"/>
  <c r="K212" i="80"/>
  <c r="L273" i="63" l="1"/>
  <c r="L196" i="78"/>
  <c r="M196" i="78" s="1"/>
  <c r="J209" i="80"/>
  <c r="J213" i="80" s="1"/>
  <c r="I213" i="80"/>
  <c r="I214" i="80" s="1"/>
  <c r="K110" i="76"/>
  <c r="K303" i="63" s="1"/>
  <c r="K7" i="82" s="1"/>
  <c r="L63" i="76"/>
  <c r="I222" i="80"/>
  <c r="I281" i="80"/>
  <c r="I268" i="80" s="1"/>
  <c r="I265" i="80" s="1"/>
  <c r="K209" i="80"/>
  <c r="K213" i="80" s="1"/>
  <c r="K225" i="80"/>
  <c r="O100" i="78"/>
  <c r="L212" i="80"/>
  <c r="N139" i="78"/>
  <c r="N273" i="63" s="1"/>
  <c r="L194" i="78" l="1"/>
  <c r="L201" i="78" s="1"/>
  <c r="L202" i="78" s="1"/>
  <c r="N196" i="78"/>
  <c r="N194" i="78" s="1"/>
  <c r="N201" i="78" s="1"/>
  <c r="N202" i="78" s="1"/>
  <c r="M194" i="78"/>
  <c r="M201" i="78" s="1"/>
  <c r="M202" i="78" s="1"/>
  <c r="L110" i="76"/>
  <c r="L303" i="63" s="1"/>
  <c r="L7" i="82" s="1"/>
  <c r="M63" i="76"/>
  <c r="J265" i="80"/>
  <c r="I269" i="80"/>
  <c r="I226" i="80"/>
  <c r="I227" i="80" s="1"/>
  <c r="J222" i="80"/>
  <c r="J226" i="80" s="1"/>
  <c r="K281" i="80"/>
  <c r="K268" i="80" s="1"/>
  <c r="O139" i="78"/>
  <c r="O273" i="63" s="1"/>
  <c r="P100" i="78"/>
  <c r="M212" i="80"/>
  <c r="L209" i="80"/>
  <c r="L213" i="80" s="1"/>
  <c r="L225" i="80"/>
  <c r="O196" i="78" l="1"/>
  <c r="M110" i="76"/>
  <c r="M303" i="63" s="1"/>
  <c r="M7" i="82" s="1"/>
  <c r="N63" i="76"/>
  <c r="K265" i="80"/>
  <c r="J269" i="80"/>
  <c r="K222" i="80"/>
  <c r="K226" i="80" s="1"/>
  <c r="L281" i="80"/>
  <c r="L268" i="80" s="1"/>
  <c r="M209" i="80"/>
  <c r="M213" i="80" s="1"/>
  <c r="M225" i="80"/>
  <c r="O194" i="78"/>
  <c r="O201" i="78" s="1"/>
  <c r="O202" i="78" s="1"/>
  <c r="P139" i="78"/>
  <c r="P273" i="63" s="1"/>
  <c r="N212" i="80"/>
  <c r="P196" i="78" l="1"/>
  <c r="N110" i="76"/>
  <c r="N303" i="63" s="1"/>
  <c r="N7" i="82" s="1"/>
  <c r="O63" i="76"/>
  <c r="L265" i="80"/>
  <c r="K269" i="80"/>
  <c r="L222" i="80"/>
  <c r="L226" i="80" s="1"/>
  <c r="M281" i="80"/>
  <c r="M268" i="80" s="1"/>
  <c r="P194" i="78"/>
  <c r="P201" i="78" s="1"/>
  <c r="P202" i="78" s="1"/>
  <c r="N209" i="80"/>
  <c r="N213" i="80" s="1"/>
  <c r="N225" i="80"/>
  <c r="O110" i="76" l="1"/>
  <c r="O303" i="63" s="1"/>
  <c r="O7" i="82" s="1"/>
  <c r="P63" i="76"/>
  <c r="P110" i="76" s="1"/>
  <c r="P303" i="63" s="1"/>
  <c r="P7" i="82" s="1"/>
  <c r="M265" i="80"/>
  <c r="L269" i="80"/>
  <c r="M222" i="80"/>
  <c r="M226" i="80" s="1"/>
  <c r="N281" i="80"/>
  <c r="N268" i="80" s="1"/>
  <c r="E62" i="78"/>
  <c r="F62" i="78" s="1"/>
  <c r="N222" i="80" l="1"/>
  <c r="N226" i="80" s="1"/>
  <c r="N265" i="80"/>
  <c r="N269" i="80" s="1"/>
  <c r="M269" i="80"/>
  <c r="E326" i="63"/>
  <c r="E346" i="63" s="1"/>
  <c r="E63" i="78"/>
  <c r="E60" i="78" s="1"/>
  <c r="E59" i="78" l="1"/>
  <c r="E76" i="78"/>
  <c r="E75" i="78" l="1"/>
  <c r="E328" i="63"/>
  <c r="E348" i="63" s="1"/>
  <c r="E162" i="78"/>
  <c r="E180" i="78" l="1"/>
  <c r="E329" i="63"/>
  <c r="E78" i="78"/>
  <c r="E454" i="63"/>
  <c r="E178" i="78" l="1"/>
  <c r="E187" i="78"/>
  <c r="E191" i="78"/>
  <c r="E186" i="78"/>
  <c r="E182" i="78"/>
  <c r="E151" i="78"/>
  <c r="E177" i="78"/>
  <c r="E349" i="63"/>
  <c r="E465" i="63" s="1"/>
  <c r="E11" i="82" s="1"/>
  <c r="T38" i="82" s="1"/>
  <c r="E179" i="78"/>
  <c r="E143" i="78" l="1"/>
  <c r="E146" i="78" s="1"/>
  <c r="E147" i="78"/>
  <c r="E150" i="78"/>
  <c r="E149" i="78"/>
  <c r="E145" i="78"/>
  <c r="E383" i="63" s="1"/>
  <c r="E148" i="78"/>
  <c r="E153" i="78"/>
  <c r="E154" i="78"/>
  <c r="E156" i="78"/>
  <c r="E157" i="78"/>
  <c r="E158" i="78"/>
  <c r="E160" i="78"/>
  <c r="E152" i="78"/>
  <c r="E159" i="78"/>
  <c r="E155" i="78"/>
  <c r="E176" i="78"/>
  <c r="E164" i="78"/>
  <c r="E188" i="78"/>
  <c r="E185" i="78" s="1"/>
  <c r="D20" i="77" l="1"/>
  <c r="E192" i="78"/>
  <c r="E96" i="78"/>
  <c r="E97" i="78" s="1"/>
  <c r="E161" i="78"/>
  <c r="E390" i="63"/>
  <c r="E394" i="63" s="1"/>
  <c r="E468" i="63" s="1"/>
  <c r="E14" i="82" s="1"/>
  <c r="E359" i="63"/>
  <c r="E379" i="63" s="1"/>
  <c r="E418" i="63"/>
  <c r="E422" i="63" s="1"/>
  <c r="E472" i="63" s="1"/>
  <c r="E477" i="63" s="1"/>
  <c r="E485" i="63" s="1"/>
  <c r="E489" i="63" s="1"/>
  <c r="E24" i="82" s="1"/>
  <c r="E358" i="63"/>
  <c r="E142" i="78"/>
  <c r="E434" i="63" s="1"/>
  <c r="E387" i="63"/>
  <c r="E467" i="63" s="1"/>
  <c r="E13" i="82" s="1"/>
  <c r="E92" i="78"/>
  <c r="E93" i="78" s="1"/>
  <c r="D5" i="77"/>
  <c r="E446" i="63"/>
  <c r="E448" i="63" s="1"/>
  <c r="E183" i="78"/>
  <c r="E184" i="78" s="1"/>
  <c r="E491" i="63" l="1"/>
  <c r="E25" i="82" s="1"/>
  <c r="E23" i="82" s="1"/>
  <c r="E428" i="63"/>
  <c r="E360" i="63"/>
  <c r="E378" i="63"/>
  <c r="E380" i="63" s="1"/>
  <c r="E466" i="63" s="1"/>
  <c r="E12" i="82" s="1"/>
  <c r="D3" i="77"/>
  <c r="D15" i="77"/>
  <c r="D123" i="77"/>
  <c r="E124" i="77" s="1"/>
  <c r="E521" i="63"/>
  <c r="E519" i="63" s="1"/>
  <c r="E514" i="63"/>
  <c r="E511" i="63" s="1"/>
  <c r="E193" i="78"/>
  <c r="D53" i="77" s="1"/>
  <c r="D51" i="77" s="1"/>
  <c r="D48" i="77"/>
  <c r="D46" i="77" s="1"/>
  <c r="E203" i="78"/>
  <c r="E167" i="78"/>
  <c r="E330" i="63"/>
  <c r="D18" i="77"/>
  <c r="E450" i="63" s="1"/>
  <c r="E452" i="63" s="1"/>
  <c r="D34" i="77"/>
  <c r="D32" i="77" s="1"/>
  <c r="E397" i="63" l="1"/>
  <c r="E401" i="63" s="1"/>
  <c r="E469" i="63" s="1"/>
  <c r="E15" i="82" s="1"/>
  <c r="E10" i="82" s="1"/>
  <c r="D58" i="77"/>
  <c r="D63" i="77"/>
  <c r="E204" i="78"/>
  <c r="E532" i="63"/>
  <c r="E435" i="63"/>
  <c r="E170" i="78"/>
  <c r="E169" i="78"/>
  <c r="E534" i="63"/>
  <c r="E542" i="63" s="1"/>
  <c r="E125" i="77"/>
  <c r="E126" i="77" s="1"/>
  <c r="E119" i="77" s="1"/>
  <c r="D13" i="77"/>
  <c r="D41" i="77"/>
  <c r="D39" i="77" s="1"/>
  <c r="E462" i="63" l="1"/>
  <c r="E350" i="63"/>
  <c r="E535" i="63"/>
  <c r="F94" i="81"/>
  <c r="E537" i="63"/>
  <c r="E538" i="63" s="1"/>
  <c r="E541" i="63" s="1"/>
  <c r="E545" i="63" s="1"/>
  <c r="F98" i="31"/>
  <c r="F97" i="79"/>
  <c r="F95" i="78"/>
  <c r="F62" i="76"/>
  <c r="F61" i="76" s="1"/>
  <c r="F205" i="75"/>
  <c r="E172" i="78"/>
  <c r="E173" i="78" s="1"/>
  <c r="E174" i="78" s="1"/>
  <c r="E429" i="63"/>
  <c r="E464" i="63" l="1"/>
  <c r="F93" i="81"/>
  <c r="F132" i="81" s="1"/>
  <c r="F185" i="81" s="1"/>
  <c r="F186" i="81" s="1"/>
  <c r="F196" i="81" s="1"/>
  <c r="F99" i="81"/>
  <c r="F98" i="81" s="1"/>
  <c r="F103" i="81" s="1"/>
  <c r="F101" i="79"/>
  <c r="F100" i="79" s="1"/>
  <c r="F96" i="79"/>
  <c r="E550" i="63"/>
  <c r="G289" i="75"/>
  <c r="F204" i="75"/>
  <c r="F209" i="75"/>
  <c r="F99" i="78"/>
  <c r="F98" i="78" s="1"/>
  <c r="F94" i="78"/>
  <c r="F103" i="31"/>
  <c r="F97" i="31"/>
  <c r="F129" i="81" l="1"/>
  <c r="F195" i="81" s="1"/>
  <c r="E478" i="63"/>
  <c r="F7" i="63"/>
  <c r="F102" i="31"/>
  <c r="F262" i="75"/>
  <c r="F261" i="63" s="1"/>
  <c r="F144" i="79"/>
  <c r="F140" i="31"/>
  <c r="F138" i="78"/>
  <c r="F208" i="75"/>
  <c r="F211" i="75"/>
  <c r="G424" i="63"/>
  <c r="G19" i="82" s="1"/>
  <c r="G285" i="75"/>
  <c r="G265" i="75" s="1"/>
  <c r="F160" i="81" l="1"/>
  <c r="F163" i="81" s="1"/>
  <c r="E480" i="63"/>
  <c r="F22" i="77"/>
  <c r="G440" i="63"/>
  <c r="G399" i="63" s="1"/>
  <c r="E26" i="77"/>
  <c r="F249" i="63"/>
  <c r="F291" i="63" s="1"/>
  <c r="F253" i="63"/>
  <c r="E27" i="77"/>
  <c r="F257" i="63"/>
  <c r="E28" i="77"/>
  <c r="E35" i="77" s="1"/>
  <c r="E42" i="77" s="1"/>
  <c r="F162" i="81"/>
  <c r="G206" i="75"/>
  <c r="G207" i="75" s="1"/>
  <c r="F210" i="75"/>
  <c r="F213" i="75"/>
  <c r="F212" i="75" s="1"/>
  <c r="F194" i="31"/>
  <c r="F195" i="31" s="1"/>
  <c r="F137" i="31"/>
  <c r="F109" i="76"/>
  <c r="F302" i="63" s="1"/>
  <c r="F107" i="31"/>
  <c r="D252" i="80" s="1"/>
  <c r="E475" i="63"/>
  <c r="F293" i="63"/>
  <c r="F135" i="78"/>
  <c r="F295" i="63"/>
  <c r="F198" i="79"/>
  <c r="F199" i="79" s="1"/>
  <c r="F141" i="79"/>
  <c r="E481" i="63" l="1"/>
  <c r="E21" i="82"/>
  <c r="E29" i="82" s="1"/>
  <c r="E33" i="82" s="1"/>
  <c r="T40" i="82" s="1"/>
  <c r="E484" i="63"/>
  <c r="E495" i="63" s="1"/>
  <c r="G343" i="63"/>
  <c r="F265" i="63"/>
  <c r="F6" i="82" s="1"/>
  <c r="F4" i="82" s="1"/>
  <c r="F165" i="81"/>
  <c r="F166" i="81" s="1"/>
  <c r="F167" i="81" s="1"/>
  <c r="G162" i="81"/>
  <c r="F209" i="79"/>
  <c r="F173" i="79"/>
  <c r="D253" i="80"/>
  <c r="D254" i="80" s="1"/>
  <c r="F108" i="76"/>
  <c r="E30" i="77" s="1"/>
  <c r="F205" i="31"/>
  <c r="E52" i="77"/>
  <c r="E54" i="77"/>
  <c r="F210" i="79"/>
  <c r="E500" i="63"/>
  <c r="E33" i="77"/>
  <c r="F263" i="75"/>
  <c r="F281" i="63" s="1"/>
  <c r="F285" i="63" s="1"/>
  <c r="F204" i="31"/>
  <c r="F169" i="31"/>
  <c r="E482" i="63" l="1"/>
  <c r="F438" i="63"/>
  <c r="F337" i="63"/>
  <c r="F313" i="63"/>
  <c r="F314" i="63" s="1"/>
  <c r="F309" i="63"/>
  <c r="F310" i="63" s="1"/>
  <c r="F297" i="63"/>
  <c r="F441" i="63" s="1"/>
  <c r="H162" i="81"/>
  <c r="H165" i="81" s="1"/>
  <c r="H166" i="81" s="1"/>
  <c r="G165" i="81"/>
  <c r="G166" i="81" s="1"/>
  <c r="F172" i="31"/>
  <c r="F171" i="31"/>
  <c r="F432" i="63"/>
  <c r="E40" i="77"/>
  <c r="F176" i="79"/>
  <c r="F175" i="79"/>
  <c r="F134" i="76"/>
  <c r="F261" i="75"/>
  <c r="E29" i="77" s="1"/>
  <c r="F311" i="63"/>
  <c r="F312" i="63" s="1"/>
  <c r="F130" i="76" l="1"/>
  <c r="F112" i="76" s="1"/>
  <c r="F443" i="63" s="1"/>
  <c r="F426" i="63"/>
  <c r="F473" i="63" s="1"/>
  <c r="E23" i="77"/>
  <c r="F287" i="63"/>
  <c r="F289" i="63" s="1"/>
  <c r="F294" i="63" s="1"/>
  <c r="E37" i="77"/>
  <c r="E44" i="77" s="1"/>
  <c r="F174" i="31"/>
  <c r="F175" i="31" s="1"/>
  <c r="F176" i="31" s="1"/>
  <c r="F300" i="75"/>
  <c r="F301" i="75" s="1"/>
  <c r="E55" i="77" s="1"/>
  <c r="F291" i="75"/>
  <c r="F145" i="76"/>
  <c r="F146" i="76" s="1"/>
  <c r="E56" i="77" s="1"/>
  <c r="F178" i="79"/>
  <c r="F179" i="79" s="1"/>
  <c r="F180" i="79" s="1"/>
  <c r="F136" i="76" l="1"/>
  <c r="F138" i="76" s="1"/>
  <c r="F59" i="76"/>
  <c r="F60" i="76" s="1"/>
  <c r="F400" i="63"/>
  <c r="F292" i="63"/>
  <c r="F296" i="63"/>
  <c r="F305" i="63"/>
  <c r="F306" i="63" s="1"/>
  <c r="F298" i="63"/>
  <c r="F444" i="63"/>
  <c r="F139" i="76"/>
  <c r="E36" i="77"/>
  <c r="E43" i="77" s="1"/>
  <c r="E25" i="77"/>
  <c r="F460" i="63" s="1"/>
  <c r="F458" i="63" s="1"/>
  <c r="F294" i="75"/>
  <c r="F293" i="75"/>
  <c r="F296" i="75" l="1"/>
  <c r="F297" i="75" s="1"/>
  <c r="F298" i="75" s="1"/>
  <c r="F141" i="76"/>
  <c r="F142" i="76" s="1"/>
  <c r="F143" i="76" s="1"/>
  <c r="F326" i="63"/>
  <c r="F346" i="63" s="1"/>
  <c r="G62" i="78" l="1"/>
  <c r="F63" i="78"/>
  <c r="F60" i="78" s="1"/>
  <c r="F59" i="78" l="1"/>
  <c r="F76" i="78"/>
  <c r="G326" i="63"/>
  <c r="G346" i="63" s="1"/>
  <c r="G63" i="78"/>
  <c r="G60" i="78" s="1"/>
  <c r="G59" i="78" l="1"/>
  <c r="G76" i="78"/>
  <c r="F75" i="78"/>
  <c r="F78" i="78" s="1"/>
  <c r="F328" i="63"/>
  <c r="F348" i="63" s="1"/>
  <c r="F162" i="78"/>
  <c r="F187" i="78" l="1"/>
  <c r="F178" i="78"/>
  <c r="F180" i="78"/>
  <c r="F329" i="63"/>
  <c r="F177" i="78"/>
  <c r="F191" i="78"/>
  <c r="F186" i="78"/>
  <c r="F143" i="78" s="1"/>
  <c r="F182" i="78"/>
  <c r="G75" i="78"/>
  <c r="G78" i="78" s="1"/>
  <c r="G328" i="63"/>
  <c r="G348" i="63" s="1"/>
  <c r="G162" i="78"/>
  <c r="F454" i="63"/>
  <c r="G178" i="78" l="1"/>
  <c r="F151" i="78"/>
  <c r="F152" i="78" s="1"/>
  <c r="G187" i="78"/>
  <c r="F144" i="78"/>
  <c r="F148" i="78"/>
  <c r="F147" i="78"/>
  <c r="F150" i="78"/>
  <c r="F149" i="78"/>
  <c r="F145" i="78"/>
  <c r="F383" i="63" s="1"/>
  <c r="F146" i="78"/>
  <c r="F157" i="78"/>
  <c r="F160" i="78"/>
  <c r="G454" i="63"/>
  <c r="F179" i="78"/>
  <c r="G186" i="78"/>
  <c r="F176" i="78"/>
  <c r="G177" i="78"/>
  <c r="G329" i="63"/>
  <c r="G180" i="78"/>
  <c r="G182" i="78"/>
  <c r="F164" i="78"/>
  <c r="F188" i="78"/>
  <c r="F185" i="78" s="1"/>
  <c r="G191" i="78"/>
  <c r="F349" i="63"/>
  <c r="F465" i="63" s="1"/>
  <c r="F11" i="82" s="1"/>
  <c r="U38" i="82" s="1"/>
  <c r="G151" i="78"/>
  <c r="F158" i="78" l="1"/>
  <c r="F156" i="78"/>
  <c r="G156" i="78" s="1"/>
  <c r="G143" i="78"/>
  <c r="F154" i="78"/>
  <c r="G154" i="78" s="1"/>
  <c r="F153" i="78"/>
  <c r="F155" i="78"/>
  <c r="G155" i="78" s="1"/>
  <c r="F159" i="78"/>
  <c r="G145" i="78"/>
  <c r="G383" i="63" s="1"/>
  <c r="G150" i="78"/>
  <c r="G148" i="78"/>
  <c r="G146" i="78"/>
  <c r="G149" i="78"/>
  <c r="G147" i="78"/>
  <c r="G144" i="78"/>
  <c r="G153" i="78"/>
  <c r="G159" i="78"/>
  <c r="G152" i="78"/>
  <c r="G160" i="78"/>
  <c r="G158" i="78"/>
  <c r="G157" i="78"/>
  <c r="E20" i="77"/>
  <c r="G179" i="78"/>
  <c r="F96" i="78"/>
  <c r="F97" i="78" s="1"/>
  <c r="F192" i="78"/>
  <c r="G188" i="78"/>
  <c r="F161" i="78"/>
  <c r="F142" i="78" s="1"/>
  <c r="F434" i="63" s="1"/>
  <c r="F358" i="63"/>
  <c r="F378" i="63" s="1"/>
  <c r="F387" i="63"/>
  <c r="F467" i="63" s="1"/>
  <c r="F13" i="82" s="1"/>
  <c r="G185" i="78"/>
  <c r="F390" i="63"/>
  <c r="F394" i="63" s="1"/>
  <c r="F468" i="63" s="1"/>
  <c r="F14" i="82" s="1"/>
  <c r="F359" i="63"/>
  <c r="F418" i="63"/>
  <c r="F422" i="63" s="1"/>
  <c r="F472" i="63" s="1"/>
  <c r="F477" i="63" s="1"/>
  <c r="F485" i="63" s="1"/>
  <c r="F489" i="63" s="1"/>
  <c r="F24" i="82" s="1"/>
  <c r="G164" i="78"/>
  <c r="G349" i="63"/>
  <c r="G465" i="63" s="1"/>
  <c r="G11" i="82" s="1"/>
  <c r="V38" i="82" s="1"/>
  <c r="G176" i="78"/>
  <c r="F183" i="78"/>
  <c r="F446" i="63"/>
  <c r="F448" i="63" s="1"/>
  <c r="F92" i="78"/>
  <c r="F93" i="78" s="1"/>
  <c r="E5" i="77"/>
  <c r="F491" i="63" l="1"/>
  <c r="F25" i="82" s="1"/>
  <c r="F23" i="82" s="1"/>
  <c r="F428" i="63"/>
  <c r="F20" i="77"/>
  <c r="F184" i="78"/>
  <c r="E48" i="77" s="1"/>
  <c r="E46" i="77" s="1"/>
  <c r="F360" i="63"/>
  <c r="F379" i="63"/>
  <c r="F380" i="63" s="1"/>
  <c r="F466" i="63" s="1"/>
  <c r="F12" i="82" s="1"/>
  <c r="F203" i="78"/>
  <c r="F167" i="78"/>
  <c r="F330" i="63"/>
  <c r="G418" i="63"/>
  <c r="G422" i="63" s="1"/>
  <c r="G472" i="63" s="1"/>
  <c r="G477" i="63" s="1"/>
  <c r="G485" i="63" s="1"/>
  <c r="G489" i="63" s="1"/>
  <c r="G24" i="82" s="1"/>
  <c r="E123" i="77"/>
  <c r="F124" i="77" s="1"/>
  <c r="F514" i="63"/>
  <c r="F511" i="63" s="1"/>
  <c r="G358" i="63"/>
  <c r="E3" i="77"/>
  <c r="E15" i="77"/>
  <c r="G161" i="78"/>
  <c r="G142" i="78" s="1"/>
  <c r="F521" i="63"/>
  <c r="F519" i="63" s="1"/>
  <c r="G96" i="78"/>
  <c r="G97" i="78" s="1"/>
  <c r="G390" i="63"/>
  <c r="G394" i="63" s="1"/>
  <c r="G468" i="63" s="1"/>
  <c r="G14" i="82" s="1"/>
  <c r="F5" i="77"/>
  <c r="G92" i="78"/>
  <c r="G93" i="78" s="1"/>
  <c r="G446" i="63"/>
  <c r="G448" i="63" s="1"/>
  <c r="G183" i="78"/>
  <c r="G359" i="63"/>
  <c r="G379" i="63" s="1"/>
  <c r="G387" i="63"/>
  <c r="G467" i="63" s="1"/>
  <c r="G13" i="82" s="1"/>
  <c r="E18" i="77"/>
  <c r="F450" i="63" s="1"/>
  <c r="F452" i="63" s="1"/>
  <c r="E34" i="77"/>
  <c r="E32" i="77" s="1"/>
  <c r="F193" i="78"/>
  <c r="E53" i="77" s="1"/>
  <c r="E51" i="77" s="1"/>
  <c r="G491" i="63" l="1"/>
  <c r="G25" i="82" s="1"/>
  <c r="G23" i="82" s="1"/>
  <c r="F397" i="63"/>
  <c r="F401" i="63" s="1"/>
  <c r="F469" i="63" s="1"/>
  <c r="F15" i="82" s="1"/>
  <c r="F10" i="82" s="1"/>
  <c r="G434" i="63"/>
  <c r="G360" i="63"/>
  <c r="G378" i="63"/>
  <c r="G380" i="63" s="1"/>
  <c r="G466" i="63" s="1"/>
  <c r="G12" i="82" s="1"/>
  <c r="G184" i="78"/>
  <c r="F532" i="63"/>
  <c r="G521" i="63"/>
  <c r="G519" i="63" s="1"/>
  <c r="E13" i="77"/>
  <c r="E41" i="77"/>
  <c r="E39" i="77" s="1"/>
  <c r="F48" i="77"/>
  <c r="F46" i="77" s="1"/>
  <c r="G514" i="63"/>
  <c r="G511" i="63" s="1"/>
  <c r="F123" i="77"/>
  <c r="G124" i="77" s="1"/>
  <c r="F435" i="63"/>
  <c r="F125" i="77"/>
  <c r="F126" i="77" s="1"/>
  <c r="F119" i="77" s="1"/>
  <c r="E63" i="77"/>
  <c r="E58" i="77"/>
  <c r="F15" i="77"/>
  <c r="F3" i="77"/>
  <c r="F534" i="63"/>
  <c r="F542" i="63" s="1"/>
  <c r="F170" i="78"/>
  <c r="F169" i="78"/>
  <c r="F204" i="78"/>
  <c r="G397" i="63" l="1"/>
  <c r="G330" i="63"/>
  <c r="F462" i="63"/>
  <c r="F350" i="63"/>
  <c r="G94" i="81"/>
  <c r="F535" i="63"/>
  <c r="F537" i="63" s="1"/>
  <c r="F538" i="63" s="1"/>
  <c r="F541" i="63" s="1"/>
  <c r="F545" i="63" s="1"/>
  <c r="F172" i="78"/>
  <c r="F173" i="78" s="1"/>
  <c r="F174" i="78" s="1"/>
  <c r="F13" i="77"/>
  <c r="G95" i="78"/>
  <c r="G97" i="79"/>
  <c r="G98" i="31"/>
  <c r="G62" i="76"/>
  <c r="G61" i="76" s="1"/>
  <c r="G205" i="75"/>
  <c r="F429" i="63"/>
  <c r="G532" i="63"/>
  <c r="G534" i="63"/>
  <c r="G542" i="63" s="1"/>
  <c r="F464" i="63" l="1"/>
  <c r="G93" i="81"/>
  <c r="G132" i="81" s="1"/>
  <c r="G99" i="81"/>
  <c r="G98" i="81" s="1"/>
  <c r="G103" i="81" s="1"/>
  <c r="G535" i="63"/>
  <c r="G537" i="63" s="1"/>
  <c r="G538" i="63" s="1"/>
  <c r="G541" i="63" s="1"/>
  <c r="G545" i="63" s="1"/>
  <c r="G550" i="63" s="1"/>
  <c r="G101" i="79"/>
  <c r="G100" i="79" s="1"/>
  <c r="G96" i="79"/>
  <c r="F550" i="63"/>
  <c r="H289" i="75"/>
  <c r="G204" i="75"/>
  <c r="G209" i="75"/>
  <c r="G103" i="31"/>
  <c r="G97" i="31"/>
  <c r="G99" i="78"/>
  <c r="G98" i="78" s="1"/>
  <c r="G94" i="78"/>
  <c r="G129" i="81" l="1"/>
  <c r="G185" i="81"/>
  <c r="G186" i="81" s="1"/>
  <c r="G196" i="81" s="1"/>
  <c r="G7" i="63"/>
  <c r="G102" i="31"/>
  <c r="G262" i="75"/>
  <c r="G261" i="63" s="1"/>
  <c r="F478" i="63"/>
  <c r="G144" i="79"/>
  <c r="G138" i="78"/>
  <c r="G140" i="31"/>
  <c r="G208" i="75"/>
  <c r="G211" i="75"/>
  <c r="H424" i="63"/>
  <c r="H19" i="82" s="1"/>
  <c r="H285" i="75"/>
  <c r="H265" i="75" s="1"/>
  <c r="F480" i="63" l="1"/>
  <c r="H440" i="63"/>
  <c r="H399" i="63" s="1"/>
  <c r="G22" i="77"/>
  <c r="G253" i="63"/>
  <c r="G293" i="63" s="1"/>
  <c r="F27" i="77"/>
  <c r="F34" i="77" s="1"/>
  <c r="F41" i="77" s="1"/>
  <c r="G249" i="63"/>
  <c r="G291" i="63" s="1"/>
  <c r="F26" i="77"/>
  <c r="G257" i="63"/>
  <c r="G295" i="63" s="1"/>
  <c r="F28" i="77"/>
  <c r="F35" i="77" s="1"/>
  <c r="F42" i="77" s="1"/>
  <c r="G160" i="81"/>
  <c r="G195" i="81"/>
  <c r="H343" i="63"/>
  <c r="H206" i="75"/>
  <c r="H207" i="75" s="1"/>
  <c r="G210" i="75"/>
  <c r="G213" i="75"/>
  <c r="G212" i="75" s="1"/>
  <c r="F475" i="63"/>
  <c r="G107" i="31"/>
  <c r="E252" i="80" s="1"/>
  <c r="G135" i="78"/>
  <c r="G192" i="78"/>
  <c r="G193" i="78" s="1"/>
  <c r="G141" i="79"/>
  <c r="G198" i="79"/>
  <c r="G199" i="79" s="1"/>
  <c r="G194" i="31"/>
  <c r="G195" i="31" s="1"/>
  <c r="G137" i="31"/>
  <c r="G109" i="76"/>
  <c r="G302" i="63" s="1"/>
  <c r="F481" i="63" l="1"/>
  <c r="F484" i="63" s="1"/>
  <c r="F495" i="63" s="1"/>
  <c r="F500" i="63" s="1"/>
  <c r="F21" i="82"/>
  <c r="F29" i="82" s="1"/>
  <c r="F33" i="82" s="1"/>
  <c r="U40" i="82" s="1"/>
  <c r="G265" i="63"/>
  <c r="G6" i="82" s="1"/>
  <c r="G4" i="82" s="1"/>
  <c r="G163" i="81"/>
  <c r="G167" i="81" s="1"/>
  <c r="G108" i="76"/>
  <c r="F30" i="77" s="1"/>
  <c r="G204" i="31"/>
  <c r="G169" i="31"/>
  <c r="G210" i="79"/>
  <c r="F54" i="77"/>
  <c r="G209" i="79"/>
  <c r="G173" i="79"/>
  <c r="F53" i="77"/>
  <c r="G204" i="78"/>
  <c r="E253" i="80"/>
  <c r="E254" i="80" s="1"/>
  <c r="F33" i="77"/>
  <c r="G167" i="78"/>
  <c r="G203" i="78"/>
  <c r="G435" i="63"/>
  <c r="G263" i="75"/>
  <c r="G281" i="63" s="1"/>
  <c r="G285" i="63" s="1"/>
  <c r="G205" i="31"/>
  <c r="F52" i="77"/>
  <c r="F482" i="63" l="1"/>
  <c r="G438" i="63"/>
  <c r="G337" i="63"/>
  <c r="G313" i="63"/>
  <c r="G314" i="63" s="1"/>
  <c r="G309" i="63"/>
  <c r="G310" i="63" s="1"/>
  <c r="G297" i="63"/>
  <c r="G441" i="63" s="1"/>
  <c r="G134" i="76"/>
  <c r="G261" i="75"/>
  <c r="F29" i="77" s="1"/>
  <c r="G176" i="79"/>
  <c r="G175" i="79"/>
  <c r="G311" i="63"/>
  <c r="G312" i="63" s="1"/>
  <c r="G170" i="78"/>
  <c r="G169" i="78"/>
  <c r="G432" i="63"/>
  <c r="F40" i="77"/>
  <c r="G172" i="31"/>
  <c r="G171" i="31"/>
  <c r="G130" i="76" l="1"/>
  <c r="G112" i="76" s="1"/>
  <c r="G136" i="76" s="1"/>
  <c r="G138" i="76" s="1"/>
  <c r="G426" i="63"/>
  <c r="G473" i="63" s="1"/>
  <c r="G443" i="63"/>
  <c r="G444" i="63" s="1"/>
  <c r="G287" i="63"/>
  <c r="G289" i="63" s="1"/>
  <c r="G305" i="63" s="1"/>
  <c r="G306" i="63" s="1"/>
  <c r="G300" i="75"/>
  <c r="G301" i="75" s="1"/>
  <c r="F55" i="77" s="1"/>
  <c r="G291" i="75"/>
  <c r="G139" i="76"/>
  <c r="G174" i="31"/>
  <c r="G175" i="31" s="1"/>
  <c r="G176" i="31" s="1"/>
  <c r="G172" i="78"/>
  <c r="G173" i="78" s="1"/>
  <c r="G174" i="78" s="1"/>
  <c r="G178" i="79"/>
  <c r="G179" i="79" s="1"/>
  <c r="G180" i="79" s="1"/>
  <c r="G59" i="76"/>
  <c r="G60" i="76" s="1"/>
  <c r="G145" i="76" l="1"/>
  <c r="G146" i="76" s="1"/>
  <c r="F56" i="77" s="1"/>
  <c r="F51" i="77" s="1"/>
  <c r="F58" i="77" s="1"/>
  <c r="F23" i="77"/>
  <c r="F18" i="77" s="1"/>
  <c r="G450" i="63" s="1"/>
  <c r="G452" i="63" s="1"/>
  <c r="G400" i="63"/>
  <c r="G401" i="63" s="1"/>
  <c r="G428" i="63"/>
  <c r="G350" i="63" s="1"/>
  <c r="G294" i="63"/>
  <c r="G298" i="63"/>
  <c r="G296" i="63"/>
  <c r="G292" i="63"/>
  <c r="F36" i="77"/>
  <c r="F25" i="77"/>
  <c r="G460" i="63" s="1"/>
  <c r="G458" i="63" s="1"/>
  <c r="G141" i="76"/>
  <c r="G142" i="76" s="1"/>
  <c r="G143" i="76" s="1"/>
  <c r="G294" i="75"/>
  <c r="G293" i="75"/>
  <c r="G125" i="77" l="1"/>
  <c r="G126" i="77" s="1"/>
  <c r="G119" i="77" s="1"/>
  <c r="F37" i="77"/>
  <c r="F44" i="77" s="1"/>
  <c r="G469" i="63"/>
  <c r="G462" i="63"/>
  <c r="G296" i="75"/>
  <c r="G297" i="75" s="1"/>
  <c r="G298" i="75" s="1"/>
  <c r="F43" i="77"/>
  <c r="G429" i="63"/>
  <c r="H98" i="31" l="1"/>
  <c r="F32" i="77"/>
  <c r="F63" i="77" s="1"/>
  <c r="F39" i="77"/>
  <c r="G464" i="63"/>
  <c r="G478" i="63" s="1"/>
  <c r="G475" i="63" s="1"/>
  <c r="G15" i="82"/>
  <c r="G10" i="82" s="1"/>
  <c r="H95" i="78"/>
  <c r="H205" i="75"/>
  <c r="H94" i="81"/>
  <c r="H103" i="31" l="1"/>
  <c r="H97" i="31"/>
  <c r="H140" i="31" s="1"/>
  <c r="G26" i="77" s="1"/>
  <c r="H62" i="76"/>
  <c r="H61" i="76" s="1"/>
  <c r="H97" i="79"/>
  <c r="G480" i="63"/>
  <c r="G481" i="63" s="1"/>
  <c r="G484" i="63" s="1"/>
  <c r="G495" i="63" s="1"/>
  <c r="H209" i="75"/>
  <c r="H204" i="75"/>
  <c r="H262" i="75" s="1"/>
  <c r="H261" i="63" s="1"/>
  <c r="I289" i="75"/>
  <c r="H93" i="81"/>
  <c r="H132" i="81" s="1"/>
  <c r="H99" i="81"/>
  <c r="H98" i="81" s="1"/>
  <c r="H103" i="81" s="1"/>
  <c r="H94" i="78"/>
  <c r="H138" i="78" s="1"/>
  <c r="G27" i="77" s="1"/>
  <c r="H99" i="78"/>
  <c r="H98" i="78" s="1"/>
  <c r="D57" i="80" s="1"/>
  <c r="D61" i="80" l="1"/>
  <c r="D298" i="80"/>
  <c r="H194" i="31"/>
  <c r="H249" i="63"/>
  <c r="H291" i="63" s="1"/>
  <c r="H137" i="31"/>
  <c r="H169" i="31" s="1"/>
  <c r="H102" i="31"/>
  <c r="H107" i="31" s="1"/>
  <c r="F252" i="80" s="1"/>
  <c r="H7" i="63"/>
  <c r="H101" i="79"/>
  <c r="H100" i="79" s="1"/>
  <c r="H96" i="79"/>
  <c r="H144" i="79" s="1"/>
  <c r="H109" i="76" s="1"/>
  <c r="H302" i="63" s="1"/>
  <c r="G21" i="82"/>
  <c r="G29" i="82" s="1"/>
  <c r="G33" i="82" s="1"/>
  <c r="G500" i="63"/>
  <c r="H253" i="63"/>
  <c r="H293" i="63" s="1"/>
  <c r="H135" i="78"/>
  <c r="I424" i="63"/>
  <c r="I19" i="82" s="1"/>
  <c r="I285" i="75"/>
  <c r="I265" i="75" s="1"/>
  <c r="H211" i="75"/>
  <c r="H208" i="75"/>
  <c r="H129" i="81"/>
  <c r="H185" i="81"/>
  <c r="C231" i="31"/>
  <c r="D231" i="31" s="1"/>
  <c r="H195" i="31"/>
  <c r="F253" i="80"/>
  <c r="F254" i="80" s="1"/>
  <c r="G33" i="77"/>
  <c r="H204" i="31"/>
  <c r="H337" i="63"/>
  <c r="D302" i="80" l="1"/>
  <c r="E129" i="77" s="1"/>
  <c r="D299" i="80"/>
  <c r="D300" i="80" s="1"/>
  <c r="G28" i="77"/>
  <c r="G35" i="77" s="1"/>
  <c r="G42" i="77" s="1"/>
  <c r="H141" i="79"/>
  <c r="H257" i="63"/>
  <c r="H295" i="63" s="1"/>
  <c r="H198" i="79"/>
  <c r="G482" i="63"/>
  <c r="V40" i="82"/>
  <c r="H108" i="76"/>
  <c r="G30" i="77" s="1"/>
  <c r="H195" i="81"/>
  <c r="H160" i="81"/>
  <c r="H163" i="81" s="1"/>
  <c r="H167" i="81" s="1"/>
  <c r="I440" i="63"/>
  <c r="H22" i="77"/>
  <c r="I206" i="75"/>
  <c r="I207" i="75" s="1"/>
  <c r="H186" i="81"/>
  <c r="H196" i="81" s="1"/>
  <c r="C221" i="81"/>
  <c r="D221" i="81" s="1"/>
  <c r="H210" i="75"/>
  <c r="H213" i="75"/>
  <c r="H212" i="75" s="1"/>
  <c r="H263" i="75" s="1"/>
  <c r="H281" i="63" s="1"/>
  <c r="H285" i="63" s="1"/>
  <c r="H313" i="63"/>
  <c r="H314" i="63" s="1"/>
  <c r="H261" i="75"/>
  <c r="G29" i="77" s="1"/>
  <c r="H432" i="63"/>
  <c r="H311" i="63"/>
  <c r="H312" i="63" s="1"/>
  <c r="H172" i="31"/>
  <c r="H171" i="31"/>
  <c r="G40" i="77"/>
  <c r="H205" i="31"/>
  <c r="G52" i="77"/>
  <c r="H438" i="63"/>
  <c r="H265" i="63" l="1"/>
  <c r="H6" i="82" s="1"/>
  <c r="H4" i="82" s="1"/>
  <c r="H199" i="79"/>
  <c r="C236" i="79"/>
  <c r="D236" i="79" s="1"/>
  <c r="H209" i="79"/>
  <c r="H173" i="79"/>
  <c r="H134" i="76"/>
  <c r="H426" i="63" s="1"/>
  <c r="H473" i="63" s="1"/>
  <c r="H297" i="63"/>
  <c r="H441" i="63" s="1"/>
  <c r="I399" i="63"/>
  <c r="I343" i="63"/>
  <c r="H130" i="76"/>
  <c r="H112" i="76" s="1"/>
  <c r="H443" i="63" s="1"/>
  <c r="H287" i="63"/>
  <c r="H289" i="63" s="1"/>
  <c r="H174" i="31"/>
  <c r="H175" i="31" s="1"/>
  <c r="H176" i="31" s="1"/>
  <c r="H291" i="75"/>
  <c r="H300" i="75"/>
  <c r="H301" i="75" s="1"/>
  <c r="G55" i="77" s="1"/>
  <c r="H305" i="63"/>
  <c r="H306" i="63" s="1"/>
  <c r="H309" i="63" l="1"/>
  <c r="H310" i="63" s="1"/>
  <c r="H210" i="79"/>
  <c r="G54" i="77"/>
  <c r="H175" i="79"/>
  <c r="H178" i="79" s="1"/>
  <c r="H179" i="79" s="1"/>
  <c r="H176" i="79"/>
  <c r="H59" i="76"/>
  <c r="H60" i="76" s="1"/>
  <c r="H136" i="76"/>
  <c r="H139" i="76" s="1"/>
  <c r="G23" i="77"/>
  <c r="G37" i="77" s="1"/>
  <c r="G44" i="77" s="1"/>
  <c r="H298" i="63"/>
  <c r="H400" i="63"/>
  <c r="H145" i="76"/>
  <c r="H146" i="76" s="1"/>
  <c r="G56" i="77" s="1"/>
  <c r="H292" i="63"/>
  <c r="H138" i="76"/>
  <c r="H141" i="76" s="1"/>
  <c r="H142" i="76" s="1"/>
  <c r="H143" i="76" s="1"/>
  <c r="H294" i="63"/>
  <c r="H296" i="63"/>
  <c r="G36" i="77"/>
  <c r="G43" i="77" s="1"/>
  <c r="G25" i="77"/>
  <c r="H460" i="63" s="1"/>
  <c r="H458" i="63" s="1"/>
  <c r="H444" i="63"/>
  <c r="H294" i="75"/>
  <c r="H293" i="75"/>
  <c r="H180" i="79" l="1"/>
  <c r="H296" i="75"/>
  <c r="H297" i="75" s="1"/>
  <c r="H298" i="75" s="1"/>
  <c r="H62" i="78"/>
  <c r="H326" i="63" s="1"/>
  <c r="H346" i="63" s="1"/>
  <c r="H63" i="78" l="1"/>
  <c r="H60" i="78" s="1"/>
  <c r="I62" i="78"/>
  <c r="H59" i="78" l="1"/>
  <c r="H76" i="78"/>
  <c r="I326" i="63"/>
  <c r="I346" i="63" s="1"/>
  <c r="I63" i="78"/>
  <c r="I60" i="78" s="1"/>
  <c r="J62" i="78"/>
  <c r="J63" i="78" l="1"/>
  <c r="J60" i="78" s="1"/>
  <c r="J326" i="63"/>
  <c r="J346" i="63" s="1"/>
  <c r="K62" i="78"/>
  <c r="H328" i="63"/>
  <c r="H348" i="63" s="1"/>
  <c r="H162" i="78"/>
  <c r="I76" i="78"/>
  <c r="I59" i="78"/>
  <c r="H75" i="78"/>
  <c r="H454" i="63" s="1"/>
  <c r="H78" i="78" l="1"/>
  <c r="I328" i="63"/>
  <c r="I348" i="63" s="1"/>
  <c r="I162" i="78"/>
  <c r="H329" i="63"/>
  <c r="H180" i="78"/>
  <c r="K63" i="78"/>
  <c r="K60" i="78" s="1"/>
  <c r="L62" i="78"/>
  <c r="K326" i="63"/>
  <c r="K346" i="63" s="1"/>
  <c r="J76" i="78"/>
  <c r="J59" i="78"/>
  <c r="I75" i="78"/>
  <c r="I78" i="78" s="1"/>
  <c r="H187" i="78" l="1"/>
  <c r="I187" i="78" s="1"/>
  <c r="H178" i="78"/>
  <c r="I178" i="78" s="1"/>
  <c r="I454" i="63"/>
  <c r="J75" i="78"/>
  <c r="J78" i="78" s="1"/>
  <c r="L326" i="63"/>
  <c r="L346" i="63" s="1"/>
  <c r="L63" i="78"/>
  <c r="L60" i="78" s="1"/>
  <c r="M62" i="78"/>
  <c r="J328" i="63"/>
  <c r="J348" i="63" s="1"/>
  <c r="J162" i="78"/>
  <c r="K76" i="78"/>
  <c r="K59" i="78"/>
  <c r="H349" i="63"/>
  <c r="H465" i="63" s="1"/>
  <c r="H11" i="82" s="1"/>
  <c r="W38" i="82" s="1"/>
  <c r="I329" i="63"/>
  <c r="I180" i="78"/>
  <c r="H191" i="78"/>
  <c r="H182" i="78"/>
  <c r="H177" i="78"/>
  <c r="H186" i="78"/>
  <c r="H143" i="78" s="1"/>
  <c r="J178" i="78" l="1"/>
  <c r="J187" i="78"/>
  <c r="H150" i="78"/>
  <c r="H145" i="78"/>
  <c r="H383" i="63" s="1"/>
  <c r="H148" i="78"/>
  <c r="H147" i="78"/>
  <c r="H144" i="78"/>
  <c r="H146" i="78"/>
  <c r="H149" i="78"/>
  <c r="I151" i="78"/>
  <c r="H151" i="78"/>
  <c r="J151" i="78"/>
  <c r="H188" i="78"/>
  <c r="H185" i="78" s="1"/>
  <c r="I191" i="78"/>
  <c r="I186" i="78"/>
  <c r="H164" i="78"/>
  <c r="I182" i="78"/>
  <c r="I179" i="78" s="1"/>
  <c r="K75" i="78"/>
  <c r="K78" i="78" s="1"/>
  <c r="M326" i="63"/>
  <c r="M346" i="63" s="1"/>
  <c r="M63" i="78"/>
  <c r="M60" i="78" s="1"/>
  <c r="N62" i="78"/>
  <c r="J454" i="63"/>
  <c r="I177" i="78"/>
  <c r="I349" i="63"/>
  <c r="I465" i="63" s="1"/>
  <c r="I11" i="82" s="1"/>
  <c r="X38" i="82" s="1"/>
  <c r="K328" i="63"/>
  <c r="K348" i="63" s="1"/>
  <c r="K162" i="78"/>
  <c r="J180" i="78"/>
  <c r="J329" i="63"/>
  <c r="L76" i="78"/>
  <c r="L59" i="78"/>
  <c r="H179" i="78"/>
  <c r="I143" i="78" l="1"/>
  <c r="I147" i="78" s="1"/>
  <c r="H176" i="78"/>
  <c r="H92" i="78" s="1"/>
  <c r="H93" i="78" s="1"/>
  <c r="I149" i="78"/>
  <c r="I148" i="78"/>
  <c r="K178" i="78"/>
  <c r="K187" i="78"/>
  <c r="H158" i="78"/>
  <c r="I158" i="78" s="1"/>
  <c r="J158" i="78" s="1"/>
  <c r="H155" i="78"/>
  <c r="I155" i="78" s="1"/>
  <c r="J155" i="78" s="1"/>
  <c r="H157" i="78"/>
  <c r="I157" i="78" s="1"/>
  <c r="J157" i="78" s="1"/>
  <c r="H159" i="78"/>
  <c r="I159" i="78" s="1"/>
  <c r="J159" i="78" s="1"/>
  <c r="H156" i="78"/>
  <c r="I156" i="78" s="1"/>
  <c r="J156" i="78" s="1"/>
  <c r="H152" i="78"/>
  <c r="I152" i="78" s="1"/>
  <c r="J152" i="78" s="1"/>
  <c r="H154" i="78"/>
  <c r="I154" i="78" s="1"/>
  <c r="J154" i="78" s="1"/>
  <c r="H160" i="78"/>
  <c r="I160" i="78" s="1"/>
  <c r="J160" i="78" s="1"/>
  <c r="H153" i="78"/>
  <c r="I153" i="78" s="1"/>
  <c r="J153" i="78" s="1"/>
  <c r="G20" i="77"/>
  <c r="H183" i="78"/>
  <c r="G5" i="77"/>
  <c r="L162" i="78"/>
  <c r="L328" i="63"/>
  <c r="L348" i="63" s="1"/>
  <c r="J349" i="63"/>
  <c r="J465" i="63" s="1"/>
  <c r="J11" i="82" s="1"/>
  <c r="Y38" i="82" s="1"/>
  <c r="N326" i="63"/>
  <c r="N346" i="63" s="1"/>
  <c r="N63" i="78"/>
  <c r="N60" i="78" s="1"/>
  <c r="O62" i="78"/>
  <c r="H161" i="78"/>
  <c r="H142" i="78" s="1"/>
  <c r="H434" i="63" s="1"/>
  <c r="J186" i="78"/>
  <c r="K454" i="63"/>
  <c r="L75" i="78"/>
  <c r="L78" i="78" s="1"/>
  <c r="K329" i="63"/>
  <c r="K180" i="78"/>
  <c r="I176" i="78"/>
  <c r="J177" i="78"/>
  <c r="H387" i="63"/>
  <c r="H467" i="63" s="1"/>
  <c r="H13" i="82" s="1"/>
  <c r="H358" i="63"/>
  <c r="H378" i="63" s="1"/>
  <c r="M76" i="78"/>
  <c r="M59" i="78"/>
  <c r="H359" i="63"/>
  <c r="H418" i="63"/>
  <c r="H422" i="63" s="1"/>
  <c r="H472" i="63" s="1"/>
  <c r="H477" i="63" s="1"/>
  <c r="H485" i="63" s="1"/>
  <c r="H489" i="63" s="1"/>
  <c r="I164" i="78"/>
  <c r="J182" i="78"/>
  <c r="H96" i="78"/>
  <c r="H97" i="78" s="1"/>
  <c r="H192" i="78"/>
  <c r="I188" i="78"/>
  <c r="I185" i="78" s="1"/>
  <c r="J191" i="78"/>
  <c r="H490" i="63" l="1"/>
  <c r="H25" i="82" s="1"/>
  <c r="H24" i="82"/>
  <c r="H428" i="63"/>
  <c r="H446" i="63"/>
  <c r="H448" i="63" s="1"/>
  <c r="J143" i="78"/>
  <c r="J147" i="78" s="1"/>
  <c r="I150" i="78"/>
  <c r="I144" i="78"/>
  <c r="I145" i="78"/>
  <c r="I383" i="63" s="1"/>
  <c r="I146" i="78"/>
  <c r="J146" i="78" s="1"/>
  <c r="J144" i="78"/>
  <c r="J148" i="78"/>
  <c r="K151" i="78"/>
  <c r="K152" i="78" s="1"/>
  <c r="L187" i="78"/>
  <c r="K158" i="78"/>
  <c r="L178" i="78"/>
  <c r="H390" i="63"/>
  <c r="H394" i="63" s="1"/>
  <c r="H468" i="63" s="1"/>
  <c r="H14" i="82" s="1"/>
  <c r="H20" i="77"/>
  <c r="H360" i="63"/>
  <c r="H379" i="63"/>
  <c r="H380" i="63" s="1"/>
  <c r="H466" i="63" s="1"/>
  <c r="H12" i="82" s="1"/>
  <c r="L454" i="63"/>
  <c r="I390" i="63"/>
  <c r="I394" i="63" s="1"/>
  <c r="I468" i="63" s="1"/>
  <c r="I14" i="82" s="1"/>
  <c r="I96" i="78"/>
  <c r="I97" i="78" s="1"/>
  <c r="C229" i="78"/>
  <c r="D229" i="78" s="1"/>
  <c r="H193" i="78"/>
  <c r="G53" i="77" s="1"/>
  <c r="G51" i="77" s="1"/>
  <c r="J188" i="78"/>
  <c r="J185" i="78" s="1"/>
  <c r="K191" i="78"/>
  <c r="G18" i="77"/>
  <c r="H450" i="63" s="1"/>
  <c r="H452" i="63" s="1"/>
  <c r="G34" i="77"/>
  <c r="G32" i="77" s="1"/>
  <c r="J164" i="78"/>
  <c r="K182" i="78"/>
  <c r="K179" i="78" s="1"/>
  <c r="H521" i="63"/>
  <c r="H519" i="63" s="1"/>
  <c r="M162" i="78"/>
  <c r="M328" i="63"/>
  <c r="M348" i="63" s="1"/>
  <c r="H514" i="63"/>
  <c r="H511" i="63" s="1"/>
  <c r="I358" i="63"/>
  <c r="K177" i="78"/>
  <c r="K349" i="63"/>
  <c r="K465" i="63" s="1"/>
  <c r="K11" i="82" s="1"/>
  <c r="K186" i="78"/>
  <c r="O326" i="63"/>
  <c r="O346" i="63" s="1"/>
  <c r="P62" i="78"/>
  <c r="O63" i="78"/>
  <c r="O60" i="78" s="1"/>
  <c r="L180" i="78"/>
  <c r="L329" i="63"/>
  <c r="I161" i="78"/>
  <c r="I142" i="78" s="1"/>
  <c r="I418" i="63"/>
  <c r="I422" i="63" s="1"/>
  <c r="I472" i="63" s="1"/>
  <c r="I477" i="63" s="1"/>
  <c r="I485" i="63" s="1"/>
  <c r="I489" i="63" s="1"/>
  <c r="I24" i="82" s="1"/>
  <c r="G123" i="77"/>
  <c r="H124" i="77" s="1"/>
  <c r="I359" i="63"/>
  <c r="I379" i="63" s="1"/>
  <c r="M75" i="78"/>
  <c r="M78" i="78" s="1"/>
  <c r="H167" i="78"/>
  <c r="H169" i="78" s="1"/>
  <c r="H203" i="78"/>
  <c r="H330" i="63"/>
  <c r="I387" i="63"/>
  <c r="I467" i="63" s="1"/>
  <c r="I13" i="82" s="1"/>
  <c r="I92" i="78"/>
  <c r="I93" i="78" s="1"/>
  <c r="H5" i="77"/>
  <c r="I183" i="78"/>
  <c r="I446" i="63"/>
  <c r="I448" i="63" s="1"/>
  <c r="N59" i="78"/>
  <c r="N76" i="78"/>
  <c r="G3" i="77"/>
  <c r="G15" i="77"/>
  <c r="H184" i="78"/>
  <c r="C228" i="78"/>
  <c r="J179" i="78"/>
  <c r="H23" i="82" l="1"/>
  <c r="K153" i="78"/>
  <c r="K155" i="78"/>
  <c r="I490" i="63"/>
  <c r="I25" i="82" s="1"/>
  <c r="I23" i="82" s="1"/>
  <c r="H397" i="63"/>
  <c r="H401" i="63" s="1"/>
  <c r="H469" i="63" s="1"/>
  <c r="H15" i="82" s="1"/>
  <c r="H10" i="82" s="1"/>
  <c r="J149" i="78"/>
  <c r="J145" i="78"/>
  <c r="J383" i="63" s="1"/>
  <c r="J150" i="78"/>
  <c r="K156" i="78"/>
  <c r="J176" i="78"/>
  <c r="I5" i="77" s="1"/>
  <c r="K157" i="78"/>
  <c r="K154" i="78"/>
  <c r="K159" i="78"/>
  <c r="K160" i="78"/>
  <c r="K143" i="78"/>
  <c r="K149" i="78" s="1"/>
  <c r="M187" i="78"/>
  <c r="K148" i="78"/>
  <c r="K145" i="78"/>
  <c r="K383" i="63" s="1"/>
  <c r="M178" i="78"/>
  <c r="M151" i="78" s="1"/>
  <c r="L151" i="78"/>
  <c r="I434" i="63"/>
  <c r="I20" i="77"/>
  <c r="I360" i="63"/>
  <c r="I378" i="63"/>
  <c r="I380" i="63" s="1"/>
  <c r="I466" i="63" s="1"/>
  <c r="I12" i="82" s="1"/>
  <c r="I184" i="78"/>
  <c r="H48" i="77" s="1"/>
  <c r="H46" i="77" s="1"/>
  <c r="H125" i="77"/>
  <c r="H126" i="77" s="1"/>
  <c r="H119" i="77" s="1"/>
  <c r="I169" i="78"/>
  <c r="H172" i="78"/>
  <c r="H173" i="78" s="1"/>
  <c r="J390" i="63"/>
  <c r="J394" i="63" s="1"/>
  <c r="J468" i="63" s="1"/>
  <c r="J14" i="82" s="1"/>
  <c r="H532" i="63"/>
  <c r="J92" i="78"/>
  <c r="J93" i="78" s="1"/>
  <c r="J446" i="63"/>
  <c r="J448" i="63" s="1"/>
  <c r="H204" i="78"/>
  <c r="G48" i="77"/>
  <c r="G46" i="77" s="1"/>
  <c r="G58" i="77" s="1"/>
  <c r="N162" i="78"/>
  <c r="N328" i="63"/>
  <c r="N348" i="63" s="1"/>
  <c r="G13" i="77"/>
  <c r="G41" i="77"/>
  <c r="G39" i="77" s="1"/>
  <c r="N75" i="78"/>
  <c r="N78" i="78" s="1"/>
  <c r="H3" i="77"/>
  <c r="H15" i="77"/>
  <c r="J387" i="63"/>
  <c r="J467" i="63" s="1"/>
  <c r="J13" i="82" s="1"/>
  <c r="H435" i="63"/>
  <c r="H170" i="78"/>
  <c r="H123" i="77"/>
  <c r="I124" i="77" s="1"/>
  <c r="J418" i="63"/>
  <c r="J422" i="63" s="1"/>
  <c r="J472" i="63" s="1"/>
  <c r="J477" i="63" s="1"/>
  <c r="J485" i="63" s="1"/>
  <c r="O76" i="78"/>
  <c r="O59" i="78"/>
  <c r="J96" i="78"/>
  <c r="J97" i="78" s="1"/>
  <c r="I514" i="63"/>
  <c r="I511" i="63" s="1"/>
  <c r="K164" i="78"/>
  <c r="L182" i="78"/>
  <c r="K188" i="78"/>
  <c r="K185" i="78" s="1"/>
  <c r="L191" i="78"/>
  <c r="M454" i="63"/>
  <c r="L179" i="78"/>
  <c r="G63" i="77"/>
  <c r="J359" i="63"/>
  <c r="H534" i="63"/>
  <c r="H542" i="63" s="1"/>
  <c r="L349" i="63"/>
  <c r="L465" i="63" s="1"/>
  <c r="L11" i="82" s="1"/>
  <c r="P326" i="63"/>
  <c r="P346" i="63" s="1"/>
  <c r="P63" i="78"/>
  <c r="P60" i="78" s="1"/>
  <c r="L186" i="78"/>
  <c r="L177" i="78"/>
  <c r="K176" i="78"/>
  <c r="J358" i="63"/>
  <c r="J378" i="63" s="1"/>
  <c r="M180" i="78"/>
  <c r="M329" i="63"/>
  <c r="I521" i="63"/>
  <c r="I519" i="63" s="1"/>
  <c r="J161" i="78"/>
  <c r="J142" i="78" s="1"/>
  <c r="L143" i="78" l="1"/>
  <c r="K147" i="78"/>
  <c r="K150" i="78"/>
  <c r="I397" i="63"/>
  <c r="K146" i="78"/>
  <c r="K144" i="78"/>
  <c r="J183" i="78"/>
  <c r="L153" i="78"/>
  <c r="M153" i="78" s="1"/>
  <c r="L156" i="78"/>
  <c r="M156" i="78" s="1"/>
  <c r="L158" i="78"/>
  <c r="M158" i="78" s="1"/>
  <c r="L152" i="78"/>
  <c r="M152" i="78" s="1"/>
  <c r="L155" i="78"/>
  <c r="M155" i="78" s="1"/>
  <c r="L154" i="78"/>
  <c r="M154" i="78" s="1"/>
  <c r="L157" i="78"/>
  <c r="M157" i="78" s="1"/>
  <c r="L160" i="78"/>
  <c r="M160" i="78" s="1"/>
  <c r="L159" i="78"/>
  <c r="M159" i="78" s="1"/>
  <c r="L147" i="78"/>
  <c r="L145" i="78"/>
  <c r="L383" i="63" s="1"/>
  <c r="L150" i="78"/>
  <c r="L148" i="78"/>
  <c r="N178" i="78"/>
  <c r="L146" i="78"/>
  <c r="L144" i="78"/>
  <c r="L149" i="78"/>
  <c r="N187" i="78"/>
  <c r="H174" i="78"/>
  <c r="K390" i="63"/>
  <c r="K394" i="63" s="1"/>
  <c r="K468" i="63" s="1"/>
  <c r="K14" i="82" s="1"/>
  <c r="I330" i="63"/>
  <c r="J434" i="63"/>
  <c r="J20" i="77"/>
  <c r="I94" i="81"/>
  <c r="J360" i="63"/>
  <c r="J379" i="63"/>
  <c r="J380" i="63" s="1"/>
  <c r="J466" i="63" s="1"/>
  <c r="J12" i="82" s="1"/>
  <c r="H462" i="63"/>
  <c r="H350" i="63"/>
  <c r="I172" i="78"/>
  <c r="I173" i="78" s="1"/>
  <c r="H535" i="63"/>
  <c r="H537" i="63" s="1"/>
  <c r="H538" i="63" s="1"/>
  <c r="H541" i="63" s="1"/>
  <c r="H545" i="63" s="1"/>
  <c r="M349" i="63"/>
  <c r="M465" i="63" s="1"/>
  <c r="M11" i="82" s="1"/>
  <c r="J521" i="63"/>
  <c r="J519" i="63" s="1"/>
  <c r="K358" i="63"/>
  <c r="K92" i="78"/>
  <c r="K93" i="78" s="1"/>
  <c r="J5" i="77"/>
  <c r="K183" i="78"/>
  <c r="K446" i="63"/>
  <c r="K448" i="63" s="1"/>
  <c r="L176" i="78"/>
  <c r="M177" i="78"/>
  <c r="K96" i="78"/>
  <c r="K97" i="78" s="1"/>
  <c r="K161" i="78"/>
  <c r="K142" i="78" s="1"/>
  <c r="O162" i="78"/>
  <c r="O328" i="63"/>
  <c r="O348" i="63" s="1"/>
  <c r="K418" i="63"/>
  <c r="K422" i="63" s="1"/>
  <c r="K472" i="63" s="1"/>
  <c r="K477" i="63" s="1"/>
  <c r="K485" i="63" s="1"/>
  <c r="I123" i="77"/>
  <c r="J124" i="77" s="1"/>
  <c r="I534" i="63"/>
  <c r="I542" i="63" s="1"/>
  <c r="H429" i="63"/>
  <c r="K387" i="63"/>
  <c r="K467" i="63" s="1"/>
  <c r="K13" i="82" s="1"/>
  <c r="N329" i="63"/>
  <c r="N180" i="78"/>
  <c r="I532" i="63"/>
  <c r="N454" i="63"/>
  <c r="M186" i="78"/>
  <c r="P76" i="78"/>
  <c r="P59" i="78"/>
  <c r="K359" i="63"/>
  <c r="K379" i="63" s="1"/>
  <c r="L188" i="78"/>
  <c r="L185" i="78" s="1"/>
  <c r="M191" i="78"/>
  <c r="M182" i="78"/>
  <c r="L164" i="78"/>
  <c r="J514" i="63"/>
  <c r="J511" i="63" s="1"/>
  <c r="O75" i="78"/>
  <c r="O78" i="78" s="1"/>
  <c r="H13" i="77"/>
  <c r="I15" i="77"/>
  <c r="I3" i="77"/>
  <c r="J184" i="78"/>
  <c r="J397" i="63" l="1"/>
  <c r="O187" i="78"/>
  <c r="O178" i="78"/>
  <c r="M143" i="78"/>
  <c r="M144" i="78" s="1"/>
  <c r="N151" i="78"/>
  <c r="K20" i="77"/>
  <c r="J330" i="63"/>
  <c r="K434" i="63"/>
  <c r="I93" i="81"/>
  <c r="I132" i="81" s="1"/>
  <c r="I129" i="81" s="1"/>
  <c r="I99" i="81"/>
  <c r="I98" i="81" s="1"/>
  <c r="I103" i="81" s="1"/>
  <c r="I97" i="79"/>
  <c r="I98" i="31"/>
  <c r="I95" i="78"/>
  <c r="I62" i="76"/>
  <c r="I61" i="76" s="1"/>
  <c r="I205" i="75"/>
  <c r="K360" i="63"/>
  <c r="K378" i="63"/>
  <c r="K380" i="63" s="1"/>
  <c r="K466" i="63" s="1"/>
  <c r="K12" i="82" s="1"/>
  <c r="H464" i="63"/>
  <c r="J532" i="63"/>
  <c r="I535" i="63"/>
  <c r="I537" i="63" s="1"/>
  <c r="I538" i="63" s="1"/>
  <c r="I541" i="63" s="1"/>
  <c r="I545" i="63" s="1"/>
  <c r="I550" i="63" s="1"/>
  <c r="O454" i="63"/>
  <c r="L96" i="78"/>
  <c r="L97" i="78" s="1"/>
  <c r="H550" i="63"/>
  <c r="L161" i="78"/>
  <c r="L142" i="78" s="1"/>
  <c r="I13" i="77"/>
  <c r="K514" i="63"/>
  <c r="K511" i="63" s="1"/>
  <c r="M164" i="78"/>
  <c r="N182" i="78"/>
  <c r="N179" i="78" s="1"/>
  <c r="P328" i="63"/>
  <c r="P348" i="63" s="1"/>
  <c r="P162" i="78"/>
  <c r="N349" i="63"/>
  <c r="N465" i="63" s="1"/>
  <c r="N11" i="82" s="1"/>
  <c r="L387" i="63"/>
  <c r="L467" i="63" s="1"/>
  <c r="L13" i="82" s="1"/>
  <c r="J123" i="77"/>
  <c r="K124" i="77" s="1"/>
  <c r="L418" i="63"/>
  <c r="L422" i="63" s="1"/>
  <c r="L472" i="63" s="1"/>
  <c r="L477" i="63" s="1"/>
  <c r="L485" i="63" s="1"/>
  <c r="K5" i="77"/>
  <c r="L446" i="63"/>
  <c r="L448" i="63" s="1"/>
  <c r="L92" i="78"/>
  <c r="L93" i="78" s="1"/>
  <c r="L183" i="78"/>
  <c r="L184" i="78" s="1"/>
  <c r="J15" i="77"/>
  <c r="J3" i="77"/>
  <c r="K521" i="63"/>
  <c r="K519" i="63" s="1"/>
  <c r="L390" i="63"/>
  <c r="L394" i="63" s="1"/>
  <c r="L468" i="63" s="1"/>
  <c r="L14" i="82" s="1"/>
  <c r="I48" i="77"/>
  <c r="I46" i="77" s="1"/>
  <c r="M188" i="78"/>
  <c r="M185" i="78" s="1"/>
  <c r="N191" i="78"/>
  <c r="L359" i="63"/>
  <c r="P75" i="78"/>
  <c r="P78" i="78" s="1"/>
  <c r="N186" i="78"/>
  <c r="J534" i="63"/>
  <c r="J542" i="63" s="1"/>
  <c r="O329" i="63"/>
  <c r="O180" i="78"/>
  <c r="N177" i="78"/>
  <c r="L358" i="63"/>
  <c r="L378" i="63" s="1"/>
  <c r="M179" i="78"/>
  <c r="K184" i="78"/>
  <c r="I185" i="81" l="1"/>
  <c r="I186" i="81" s="1"/>
  <c r="I196" i="81" s="1"/>
  <c r="K397" i="63"/>
  <c r="M145" i="78"/>
  <c r="M383" i="63" s="1"/>
  <c r="M176" i="78"/>
  <c r="O151" i="78"/>
  <c r="M146" i="78"/>
  <c r="N143" i="78"/>
  <c r="N145" i="78" s="1"/>
  <c r="N383" i="63" s="1"/>
  <c r="M148" i="78"/>
  <c r="M149" i="78"/>
  <c r="M147" i="78"/>
  <c r="N144" i="78"/>
  <c r="M150" i="78"/>
  <c r="N154" i="78"/>
  <c r="N153" i="78"/>
  <c r="O153" i="78" s="1"/>
  <c r="N155" i="78"/>
  <c r="N159" i="78"/>
  <c r="O159" i="78" s="1"/>
  <c r="N152" i="78"/>
  <c r="N160" i="78"/>
  <c r="O160" i="78" s="1"/>
  <c r="N158" i="78"/>
  <c r="N157" i="78"/>
  <c r="O157" i="78" s="1"/>
  <c r="N156" i="78"/>
  <c r="N149" i="78"/>
  <c r="P178" i="78"/>
  <c r="P187" i="78"/>
  <c r="L20" i="77"/>
  <c r="L434" i="63"/>
  <c r="K330" i="63"/>
  <c r="I204" i="75"/>
  <c r="I262" i="75" s="1"/>
  <c r="I261" i="63" s="1"/>
  <c r="J289" i="75"/>
  <c r="I209" i="75"/>
  <c r="I99" i="78"/>
  <c r="I98" i="78" s="1"/>
  <c r="E57" i="80" s="1"/>
  <c r="E298" i="80" s="1"/>
  <c r="I94" i="78"/>
  <c r="I138" i="78" s="1"/>
  <c r="I253" i="63" s="1"/>
  <c r="I293" i="63" s="1"/>
  <c r="I101" i="79"/>
  <c r="I100" i="79" s="1"/>
  <c r="I96" i="79"/>
  <c r="I144" i="79" s="1"/>
  <c r="I257" i="63" s="1"/>
  <c r="I295" i="63" s="1"/>
  <c r="I103" i="31"/>
  <c r="I97" i="31"/>
  <c r="I140" i="31" s="1"/>
  <c r="I249" i="63" s="1"/>
  <c r="I291" i="63" s="1"/>
  <c r="L360" i="63"/>
  <c r="L379" i="63"/>
  <c r="L380" i="63" s="1"/>
  <c r="L466" i="63" s="1"/>
  <c r="L12" i="82" s="1"/>
  <c r="I195" i="81"/>
  <c r="I160" i="81"/>
  <c r="M92" i="78"/>
  <c r="M93" i="78" s="1"/>
  <c r="L5" i="77"/>
  <c r="M446" i="63"/>
  <c r="M448" i="63" s="1"/>
  <c r="M183" i="78"/>
  <c r="J48" i="77"/>
  <c r="J46" i="77" s="1"/>
  <c r="O177" i="78"/>
  <c r="N176" i="78"/>
  <c r="O349" i="63"/>
  <c r="O465" i="63" s="1"/>
  <c r="O11" i="82" s="1"/>
  <c r="M96" i="78"/>
  <c r="M97" i="78" s="1"/>
  <c r="N188" i="78"/>
  <c r="N185" i="78" s="1"/>
  <c r="O191" i="78"/>
  <c r="H478" i="63"/>
  <c r="K48" i="77"/>
  <c r="K46" i="77" s="1"/>
  <c r="M418" i="63"/>
  <c r="M422" i="63" s="1"/>
  <c r="M472" i="63" s="1"/>
  <c r="M477" i="63" s="1"/>
  <c r="M485" i="63" s="1"/>
  <c r="K123" i="77"/>
  <c r="L124" i="77" s="1"/>
  <c r="P329" i="63"/>
  <c r="P180" i="78"/>
  <c r="O182" i="78"/>
  <c r="O179" i="78" s="1"/>
  <c r="N164" i="78"/>
  <c r="L514" i="63"/>
  <c r="L511" i="63" s="1"/>
  <c r="P454" i="63"/>
  <c r="M390" i="63"/>
  <c r="M394" i="63" s="1"/>
  <c r="M468" i="63" s="1"/>
  <c r="M14" i="82" s="1"/>
  <c r="M358" i="63"/>
  <c r="O186" i="78"/>
  <c r="M359" i="63"/>
  <c r="M379" i="63" s="1"/>
  <c r="L521" i="63"/>
  <c r="L519" i="63" s="1"/>
  <c r="J13" i="77"/>
  <c r="K3" i="77"/>
  <c r="K15" i="77"/>
  <c r="K534" i="63"/>
  <c r="K542" i="63" s="1"/>
  <c r="M387" i="63"/>
  <c r="M467" i="63" s="1"/>
  <c r="M13" i="82" s="1"/>
  <c r="M161" i="78"/>
  <c r="M142" i="78" s="1"/>
  <c r="J535" i="63"/>
  <c r="K532" i="63"/>
  <c r="N146" i="78" l="1"/>
  <c r="I198" i="79"/>
  <c r="I199" i="79" s="1"/>
  <c r="H54" i="77" s="1"/>
  <c r="I135" i="78"/>
  <c r="I167" i="78" s="1"/>
  <c r="H28" i="77"/>
  <c r="H35" i="77" s="1"/>
  <c r="H42" i="77" s="1"/>
  <c r="I109" i="76"/>
  <c r="I302" i="63" s="1"/>
  <c r="H26" i="77"/>
  <c r="H33" i="77" s="1"/>
  <c r="H27" i="77"/>
  <c r="H34" i="77" s="1"/>
  <c r="H41" i="77" s="1"/>
  <c r="H480" i="63"/>
  <c r="L397" i="63"/>
  <c r="O156" i="78"/>
  <c r="O158" i="78"/>
  <c r="O152" i="78"/>
  <c r="O155" i="78"/>
  <c r="O154" i="78"/>
  <c r="N147" i="78"/>
  <c r="N148" i="78"/>
  <c r="N150" i="78"/>
  <c r="P151" i="78"/>
  <c r="P153" i="78" s="1"/>
  <c r="P154" i="78"/>
  <c r="P156" i="78"/>
  <c r="O143" i="78"/>
  <c r="O144" i="78" s="1"/>
  <c r="M434" i="63"/>
  <c r="L330" i="63"/>
  <c r="M20" i="77"/>
  <c r="I141" i="79"/>
  <c r="I209" i="79" s="1"/>
  <c r="I192" i="78"/>
  <c r="I193" i="78" s="1"/>
  <c r="H53" i="77" s="1"/>
  <c r="I137" i="31"/>
  <c r="I169" i="31" s="1"/>
  <c r="I194" i="31"/>
  <c r="I195" i="31" s="1"/>
  <c r="I205" i="31" s="1"/>
  <c r="I208" i="75"/>
  <c r="I211" i="75"/>
  <c r="I102" i="31"/>
  <c r="I107" i="31" s="1"/>
  <c r="G252" i="80" s="1"/>
  <c r="G253" i="80" s="1"/>
  <c r="G254" i="80" s="1"/>
  <c r="I7" i="63"/>
  <c r="E299" i="80"/>
  <c r="E300" i="80" s="1"/>
  <c r="E302" i="80"/>
  <c r="F129" i="77" s="1"/>
  <c r="J285" i="75"/>
  <c r="J265" i="75" s="1"/>
  <c r="J424" i="63"/>
  <c r="J19" i="82" s="1"/>
  <c r="M360" i="63"/>
  <c r="M378" i="63"/>
  <c r="M380" i="63" s="1"/>
  <c r="M466" i="63" s="1"/>
  <c r="M12" i="82" s="1"/>
  <c r="I265" i="63"/>
  <c r="I6" i="82" s="1"/>
  <c r="I4" i="82" s="1"/>
  <c r="I163" i="81"/>
  <c r="I162" i="81"/>
  <c r="K535" i="63"/>
  <c r="K537" i="63" s="1"/>
  <c r="K538" i="63" s="1"/>
  <c r="K541" i="63" s="1"/>
  <c r="K545" i="63" s="1"/>
  <c r="K550" i="63" s="1"/>
  <c r="N390" i="63"/>
  <c r="N394" i="63" s="1"/>
  <c r="N468" i="63" s="1"/>
  <c r="N14" i="82" s="1"/>
  <c r="I337" i="63"/>
  <c r="K13" i="77"/>
  <c r="M521" i="63"/>
  <c r="M519" i="63" s="1"/>
  <c r="N359" i="63"/>
  <c r="P186" i="78"/>
  <c r="N358" i="63"/>
  <c r="N378" i="63" s="1"/>
  <c r="M514" i="63"/>
  <c r="M511" i="63" s="1"/>
  <c r="O164" i="78"/>
  <c r="P182" i="78"/>
  <c r="P179" i="78" s="1"/>
  <c r="P349" i="63"/>
  <c r="P465" i="63" s="1"/>
  <c r="P11" i="82" s="1"/>
  <c r="L534" i="63"/>
  <c r="L542" i="63" s="1"/>
  <c r="H475" i="63"/>
  <c r="O188" i="78"/>
  <c r="O185" i="78" s="1"/>
  <c r="P191" i="78"/>
  <c r="P188" i="78" s="1"/>
  <c r="J537" i="63"/>
  <c r="J538" i="63" s="1"/>
  <c r="J541" i="63" s="1"/>
  <c r="J545" i="63" s="1"/>
  <c r="I210" i="79"/>
  <c r="N387" i="63"/>
  <c r="N467" i="63" s="1"/>
  <c r="N13" i="82" s="1"/>
  <c r="I435" i="63"/>
  <c r="N96" i="78"/>
  <c r="N97" i="78" s="1"/>
  <c r="N161" i="78"/>
  <c r="N142" i="78" s="1"/>
  <c r="L123" i="77"/>
  <c r="M124" i="77" s="1"/>
  <c r="N418" i="63"/>
  <c r="N422" i="63" s="1"/>
  <c r="N472" i="63" s="1"/>
  <c r="N477" i="63" s="1"/>
  <c r="N485" i="63" s="1"/>
  <c r="N183" i="78"/>
  <c r="M5" i="77"/>
  <c r="N92" i="78"/>
  <c r="N93" i="78" s="1"/>
  <c r="N446" i="63"/>
  <c r="N448" i="63" s="1"/>
  <c r="O176" i="78"/>
  <c r="P177" i="78"/>
  <c r="L3" i="77"/>
  <c r="L15" i="77"/>
  <c r="L532" i="63"/>
  <c r="M184" i="78"/>
  <c r="H481" i="63" l="1"/>
  <c r="H484" i="63" s="1"/>
  <c r="H495" i="63" s="1"/>
  <c r="H500" i="63" s="1"/>
  <c r="H21" i="82"/>
  <c r="H29" i="82" s="1"/>
  <c r="H33" i="82" s="1"/>
  <c r="W40" i="82" s="1"/>
  <c r="I204" i="31"/>
  <c r="I203" i="78"/>
  <c r="I108" i="76"/>
  <c r="H30" i="77" s="1"/>
  <c r="M397" i="63"/>
  <c r="I173" i="79"/>
  <c r="I175" i="79" s="1"/>
  <c r="J440" i="63"/>
  <c r="J399" i="63" s="1"/>
  <c r="I22" i="77"/>
  <c r="P158" i="78"/>
  <c r="P155" i="78"/>
  <c r="P159" i="78"/>
  <c r="P152" i="78"/>
  <c r="P160" i="78"/>
  <c r="P157" i="78"/>
  <c r="P143" i="78"/>
  <c r="O150" i="78"/>
  <c r="O149" i="78"/>
  <c r="O147" i="78"/>
  <c r="P147" i="78" s="1"/>
  <c r="O145" i="78"/>
  <c r="O148" i="78"/>
  <c r="P148" i="78" s="1"/>
  <c r="O146" i="78"/>
  <c r="P146" i="78" s="1"/>
  <c r="P150" i="78"/>
  <c r="P149" i="78"/>
  <c r="P144" i="78"/>
  <c r="M330" i="63"/>
  <c r="N434" i="63"/>
  <c r="N20" i="77"/>
  <c r="H52" i="77"/>
  <c r="I204" i="78"/>
  <c r="J206" i="75"/>
  <c r="J207" i="75" s="1"/>
  <c r="I210" i="75"/>
  <c r="I213" i="75"/>
  <c r="I212" i="75" s="1"/>
  <c r="I263" i="75" s="1"/>
  <c r="I281" i="63" s="1"/>
  <c r="I285" i="63" s="1"/>
  <c r="I309" i="63" s="1"/>
  <c r="I310" i="63" s="1"/>
  <c r="N360" i="63"/>
  <c r="N379" i="63"/>
  <c r="N380" i="63" s="1"/>
  <c r="N466" i="63" s="1"/>
  <c r="N12" i="82" s="1"/>
  <c r="I313" i="63"/>
  <c r="I314" i="63" s="1"/>
  <c r="I165" i="81"/>
  <c r="I166" i="81" s="1"/>
  <c r="I167" i="81" s="1"/>
  <c r="L535" i="63"/>
  <c r="L537" i="63" s="1"/>
  <c r="L538" i="63" s="1"/>
  <c r="L541" i="63" s="1"/>
  <c r="L545" i="63" s="1"/>
  <c r="L550" i="63" s="1"/>
  <c r="M532" i="63"/>
  <c r="O390" i="63"/>
  <c r="O394" i="63" s="1"/>
  <c r="O468" i="63" s="1"/>
  <c r="O14" i="82" s="1"/>
  <c r="J550" i="63"/>
  <c r="O96" i="78"/>
  <c r="O97" i="78" s="1"/>
  <c r="L48" i="77"/>
  <c r="L46" i="77" s="1"/>
  <c r="L13" i="77"/>
  <c r="P176" i="78"/>
  <c r="I311" i="63"/>
  <c r="I312" i="63" s="1"/>
  <c r="M534" i="63"/>
  <c r="M542" i="63" s="1"/>
  <c r="I170" i="78"/>
  <c r="I174" i="78" s="1"/>
  <c r="I432" i="63"/>
  <c r="H40" i="77"/>
  <c r="N514" i="63"/>
  <c r="N511" i="63" s="1"/>
  <c r="N521" i="63"/>
  <c r="N519" i="63" s="1"/>
  <c r="I176" i="79"/>
  <c r="N184" i="78"/>
  <c r="P164" i="78"/>
  <c r="P390" i="63" s="1"/>
  <c r="I438" i="63"/>
  <c r="O183" i="78"/>
  <c r="O92" i="78"/>
  <c r="O93" i="78" s="1"/>
  <c r="N5" i="77"/>
  <c r="O446" i="63"/>
  <c r="O448" i="63" s="1"/>
  <c r="M3" i="77"/>
  <c r="M15" i="77"/>
  <c r="I172" i="31"/>
  <c r="I171" i="31"/>
  <c r="O418" i="63"/>
  <c r="O422" i="63" s="1"/>
  <c r="O472" i="63" s="1"/>
  <c r="O477" i="63" s="1"/>
  <c r="O485" i="63" s="1"/>
  <c r="M123" i="77"/>
  <c r="N124" i="77" s="1"/>
  <c r="O161" i="78"/>
  <c r="O142" i="78" s="1"/>
  <c r="O358" i="63"/>
  <c r="O359" i="63"/>
  <c r="O379" i="63" s="1"/>
  <c r="P185" i="78"/>
  <c r="P145" i="78" l="1"/>
  <c r="P383" i="63" s="1"/>
  <c r="O383" i="63"/>
  <c r="O387" i="63" s="1"/>
  <c r="O467" i="63" s="1"/>
  <c r="O13" i="82" s="1"/>
  <c r="H482" i="63"/>
  <c r="N397" i="63"/>
  <c r="N330" i="63"/>
  <c r="O20" i="77"/>
  <c r="O434" i="63"/>
  <c r="I134" i="76"/>
  <c r="I297" i="63"/>
  <c r="I441" i="63" s="1"/>
  <c r="I261" i="75"/>
  <c r="H29" i="77" s="1"/>
  <c r="J343" i="63"/>
  <c r="O360" i="63"/>
  <c r="O378" i="63"/>
  <c r="O380" i="63" s="1"/>
  <c r="O466" i="63" s="1"/>
  <c r="O12" i="82" s="1"/>
  <c r="I287" i="63"/>
  <c r="I289" i="63" s="1"/>
  <c r="M535" i="63"/>
  <c r="M537" i="63" s="1"/>
  <c r="M538" i="63" s="1"/>
  <c r="M541" i="63" s="1"/>
  <c r="M545" i="63" s="1"/>
  <c r="M550" i="63" s="1"/>
  <c r="N532" i="63"/>
  <c r="P358" i="63"/>
  <c r="P378" i="63" s="1"/>
  <c r="P96" i="78"/>
  <c r="P97" i="78" s="1"/>
  <c r="N534" i="63"/>
  <c r="N542" i="63" s="1"/>
  <c r="P418" i="63"/>
  <c r="P422" i="63" s="1"/>
  <c r="P472" i="63" s="1"/>
  <c r="P477" i="63" s="1"/>
  <c r="P485" i="63" s="1"/>
  <c r="N123" i="77"/>
  <c r="O124" i="77" s="1"/>
  <c r="I174" i="31"/>
  <c r="I175" i="31" s="1"/>
  <c r="I176" i="31" s="1"/>
  <c r="N15" i="77"/>
  <c r="N3" i="77"/>
  <c r="M48" i="77"/>
  <c r="M46" i="77" s="1"/>
  <c r="I178" i="79"/>
  <c r="I179" i="79" s="1"/>
  <c r="I180" i="79" s="1"/>
  <c r="O514" i="63"/>
  <c r="O511" i="63" s="1"/>
  <c r="P514" i="63"/>
  <c r="P511" i="63" s="1"/>
  <c r="O184" i="78"/>
  <c r="P359" i="63"/>
  <c r="M13" i="77"/>
  <c r="P394" i="63"/>
  <c r="P468" i="63" s="1"/>
  <c r="P14" i="82" s="1"/>
  <c r="P161" i="78"/>
  <c r="P142" i="78" s="1"/>
  <c r="P521" i="63"/>
  <c r="P519" i="63" s="1"/>
  <c r="O521" i="63"/>
  <c r="O519" i="63" s="1"/>
  <c r="O5" i="77"/>
  <c r="P183" i="78"/>
  <c r="P184" i="78" s="1"/>
  <c r="P92" i="78"/>
  <c r="P93" i="78" s="1"/>
  <c r="P446" i="63"/>
  <c r="P448" i="63" s="1"/>
  <c r="I300" i="75"/>
  <c r="I301" i="75" s="1"/>
  <c r="H55" i="77" s="1"/>
  <c r="I130" i="76" l="1"/>
  <c r="I112" i="76" s="1"/>
  <c r="I443" i="63" s="1"/>
  <c r="I426" i="63"/>
  <c r="I473" i="63" s="1"/>
  <c r="O397" i="63"/>
  <c r="I298" i="63"/>
  <c r="I59" i="76"/>
  <c r="I60" i="76" s="1"/>
  <c r="P434" i="63"/>
  <c r="O330" i="63"/>
  <c r="I291" i="75"/>
  <c r="I294" i="75" s="1"/>
  <c r="P360" i="63"/>
  <c r="P379" i="63"/>
  <c r="P380" i="63" s="1"/>
  <c r="P466" i="63" s="1"/>
  <c r="P12" i="82" s="1"/>
  <c r="P387" i="63"/>
  <c r="P467" i="63" s="1"/>
  <c r="P13" i="82" s="1"/>
  <c r="I292" i="63"/>
  <c r="I305" i="63"/>
  <c r="I306" i="63" s="1"/>
  <c r="I296" i="63"/>
  <c r="I294" i="63"/>
  <c r="N535" i="63"/>
  <c r="N537" i="63" s="1"/>
  <c r="N538" i="63" s="1"/>
  <c r="N541" i="63" s="1"/>
  <c r="N545" i="63" s="1"/>
  <c r="N550" i="63" s="1"/>
  <c r="H36" i="77"/>
  <c r="H25" i="77"/>
  <c r="I460" i="63" s="1"/>
  <c r="I458" i="63" s="1"/>
  <c r="O48" i="77"/>
  <c r="O46" i="77" s="1"/>
  <c r="N48" i="77"/>
  <c r="N46" i="77" s="1"/>
  <c r="O534" i="63"/>
  <c r="O542" i="63" s="1"/>
  <c r="P532" i="63"/>
  <c r="O3" i="77"/>
  <c r="O15" i="77"/>
  <c r="N13" i="77"/>
  <c r="O123" i="77"/>
  <c r="O532" i="63"/>
  <c r="H23" i="77" l="1"/>
  <c r="H18" i="77" s="1"/>
  <c r="I125" i="77" s="1"/>
  <c r="I126" i="77" s="1"/>
  <c r="I119" i="77" s="1"/>
  <c r="I136" i="76"/>
  <c r="I145" i="76"/>
  <c r="I146" i="76" s="1"/>
  <c r="H56" i="77" s="1"/>
  <c r="H51" i="77" s="1"/>
  <c r="H58" i="77" s="1"/>
  <c r="I400" i="63"/>
  <c r="I401" i="63" s="1"/>
  <c r="I450" i="63"/>
  <c r="I452" i="63" s="1"/>
  <c r="I293" i="75"/>
  <c r="I296" i="75" s="1"/>
  <c r="I297" i="75" s="1"/>
  <c r="I298" i="75" s="1"/>
  <c r="P397" i="63"/>
  <c r="I428" i="63"/>
  <c r="I350" i="63" s="1"/>
  <c r="I444" i="63"/>
  <c r="P330" i="63"/>
  <c r="O535" i="63"/>
  <c r="O537" i="63" s="1"/>
  <c r="O538" i="63" s="1"/>
  <c r="O541" i="63" s="1"/>
  <c r="O545" i="63" s="1"/>
  <c r="O550" i="63" s="1"/>
  <c r="O13" i="77"/>
  <c r="H43" i="77"/>
  <c r="P534" i="63"/>
  <c r="P542" i="63" s="1"/>
  <c r="H37" i="77" l="1"/>
  <c r="I429" i="63"/>
  <c r="I139" i="76"/>
  <c r="I138" i="76"/>
  <c r="I141" i="76" s="1"/>
  <c r="I142" i="76" s="1"/>
  <c r="I462" i="63"/>
  <c r="I469" i="63"/>
  <c r="P535" i="63"/>
  <c r="P537" i="63" s="1"/>
  <c r="P538" i="63" s="1"/>
  <c r="P541" i="63" s="1"/>
  <c r="P545" i="63" s="1"/>
  <c r="P550" i="63" s="1"/>
  <c r="H44" i="77" l="1"/>
  <c r="H39" i="77" s="1"/>
  <c r="H32" i="77"/>
  <c r="H63" i="77" s="1"/>
  <c r="I464" i="63"/>
  <c r="I478" i="63" s="1"/>
  <c r="I475" i="63" s="1"/>
  <c r="I15" i="82"/>
  <c r="I10" i="82" s="1"/>
  <c r="I143" i="76"/>
  <c r="J62" i="76"/>
  <c r="J61" i="76" s="1"/>
  <c r="J95" i="78"/>
  <c r="J205" i="75"/>
  <c r="J97" i="79"/>
  <c r="J98" i="31"/>
  <c r="J94" i="81"/>
  <c r="J93" i="81" l="1"/>
  <c r="J132" i="81" s="1"/>
  <c r="J99" i="81"/>
  <c r="J98" i="81" s="1"/>
  <c r="J103" i="81" s="1"/>
  <c r="J96" i="79"/>
  <c r="J144" i="79" s="1"/>
  <c r="J101" i="79"/>
  <c r="J100" i="79" s="1"/>
  <c r="J94" i="78"/>
  <c r="J138" i="78" s="1"/>
  <c r="J99" i="78"/>
  <c r="J98" i="78" s="1"/>
  <c r="F57" i="80" s="1"/>
  <c r="F298" i="80" s="1"/>
  <c r="J97" i="31"/>
  <c r="J140" i="31" s="1"/>
  <c r="J103" i="31"/>
  <c r="J209" i="75"/>
  <c r="K289" i="75"/>
  <c r="J204" i="75"/>
  <c r="J262" i="75" s="1"/>
  <c r="J261" i="63" s="1"/>
  <c r="I480" i="63"/>
  <c r="I481" i="63" l="1"/>
  <c r="I484" i="63" s="1"/>
  <c r="I495" i="63" s="1"/>
  <c r="I500" i="63" s="1"/>
  <c r="I21" i="82"/>
  <c r="I29" i="82" s="1"/>
  <c r="I33" i="82" s="1"/>
  <c r="X40" i="82" s="1"/>
  <c r="K285" i="75"/>
  <c r="K265" i="75" s="1"/>
  <c r="K424" i="63"/>
  <c r="K19" i="82" s="1"/>
  <c r="F299" i="80"/>
  <c r="F300" i="80" s="1"/>
  <c r="F302" i="80"/>
  <c r="G129" i="77" s="1"/>
  <c r="J208" i="75"/>
  <c r="J211" i="75"/>
  <c r="J249" i="63"/>
  <c r="J194" i="31"/>
  <c r="J195" i="31" s="1"/>
  <c r="J109" i="76"/>
  <c r="I26" i="77"/>
  <c r="I33" i="77" s="1"/>
  <c r="I40" i="77" s="1"/>
  <c r="J137" i="31"/>
  <c r="I27" i="77"/>
  <c r="I34" i="77" s="1"/>
  <c r="I41" i="77" s="1"/>
  <c r="J135" i="78"/>
  <c r="J253" i="63"/>
  <c r="J293" i="63" s="1"/>
  <c r="J435" i="63" s="1"/>
  <c r="J192" i="78"/>
  <c r="J193" i="78" s="1"/>
  <c r="I28" i="77"/>
  <c r="I35" i="77" s="1"/>
  <c r="I42" i="77" s="1"/>
  <c r="J141" i="79"/>
  <c r="J257" i="63"/>
  <c r="J295" i="63" s="1"/>
  <c r="J438" i="63" s="1"/>
  <c r="J198" i="79"/>
  <c r="J199" i="79" s="1"/>
  <c r="J129" i="81"/>
  <c r="J185" i="81"/>
  <c r="J186" i="81" s="1"/>
  <c r="J196" i="81" s="1"/>
  <c r="J7" i="63"/>
  <c r="J102" i="31"/>
  <c r="J107" i="31" s="1"/>
  <c r="H252" i="80" s="1"/>
  <c r="H254" i="80" s="1"/>
  <c r="H255" i="80" s="1"/>
  <c r="J337" i="63"/>
  <c r="J313" i="63"/>
  <c r="J314" i="63" s="1"/>
  <c r="H278" i="80"/>
  <c r="H282" i="80" s="1"/>
  <c r="H283" i="80" s="1"/>
  <c r="H279" i="80"/>
  <c r="I482" i="63" l="1"/>
  <c r="J160" i="81"/>
  <c r="J195" i="81"/>
  <c r="I54" i="77"/>
  <c r="J210" i="79"/>
  <c r="J173" i="79"/>
  <c r="J209" i="79"/>
  <c r="J204" i="78"/>
  <c r="I53" i="77"/>
  <c r="J167" i="78"/>
  <c r="J203" i="78"/>
  <c r="J204" i="31"/>
  <c r="J169" i="31"/>
  <c r="J302" i="63"/>
  <c r="J311" i="63" s="1"/>
  <c r="J312" i="63" s="1"/>
  <c r="J108" i="76"/>
  <c r="I30" i="77" s="1"/>
  <c r="J291" i="63"/>
  <c r="J432" i="63" s="1"/>
  <c r="J265" i="63"/>
  <c r="J6" i="82" s="1"/>
  <c r="J4" i="82" s="1"/>
  <c r="K440" i="63"/>
  <c r="K206" i="75"/>
  <c r="K207" i="75" s="1"/>
  <c r="J22" i="77"/>
  <c r="J205" i="31"/>
  <c r="I52" i="77"/>
  <c r="J213" i="75"/>
  <c r="J212" i="75" s="1"/>
  <c r="J263" i="75" s="1"/>
  <c r="J210" i="75"/>
  <c r="I278" i="80"/>
  <c r="J281" i="63" l="1"/>
  <c r="J261" i="75"/>
  <c r="J134" i="76"/>
  <c r="J171" i="31"/>
  <c r="J174" i="31" s="1"/>
  <c r="J175" i="31" s="1"/>
  <c r="J172" i="31"/>
  <c r="K399" i="63"/>
  <c r="K343" i="63"/>
  <c r="J169" i="78"/>
  <c r="J172" i="78" s="1"/>
  <c r="J173" i="78" s="1"/>
  <c r="J170" i="78"/>
  <c r="J175" i="79"/>
  <c r="J178" i="79" s="1"/>
  <c r="J179" i="79" s="1"/>
  <c r="J176" i="79"/>
  <c r="J162" i="81"/>
  <c r="J165" i="81" s="1"/>
  <c r="J166" i="81" s="1"/>
  <c r="J163" i="81"/>
  <c r="J278" i="80"/>
  <c r="I282" i="80"/>
  <c r="J167" i="81" l="1"/>
  <c r="I29" i="77"/>
  <c r="J300" i="75"/>
  <c r="J301" i="75" s="1"/>
  <c r="I55" i="77" s="1"/>
  <c r="J291" i="75"/>
  <c r="J426" i="63"/>
  <c r="J473" i="63" s="1"/>
  <c r="J130" i="76"/>
  <c r="J112" i="76" s="1"/>
  <c r="J285" i="63"/>
  <c r="J297" i="63"/>
  <c r="J441" i="63" s="1"/>
  <c r="J180" i="79"/>
  <c r="J174" i="78"/>
  <c r="J176" i="31"/>
  <c r="K278" i="80"/>
  <c r="J282" i="80"/>
  <c r="J287" i="63" l="1"/>
  <c r="J289" i="63" s="1"/>
  <c r="J309" i="63"/>
  <c r="J310" i="63" s="1"/>
  <c r="J443" i="63"/>
  <c r="J59" i="76"/>
  <c r="J60" i="76" s="1"/>
  <c r="I23" i="77"/>
  <c r="J145" i="76"/>
  <c r="J146" i="76" s="1"/>
  <c r="I56" i="77" s="1"/>
  <c r="J136" i="76"/>
  <c r="J293" i="75"/>
  <c r="J296" i="75" s="1"/>
  <c r="J297" i="75" s="1"/>
  <c r="J294" i="75"/>
  <c r="I25" i="77"/>
  <c r="J460" i="63" s="1"/>
  <c r="J458" i="63" s="1"/>
  <c r="I36" i="77"/>
  <c r="I51" i="77"/>
  <c r="I58" i="77" s="1"/>
  <c r="L278" i="80"/>
  <c r="K282" i="80"/>
  <c r="G57" i="80"/>
  <c r="G298" i="80" s="1"/>
  <c r="I43" i="77" l="1"/>
  <c r="J138" i="76"/>
  <c r="J141" i="76" s="1"/>
  <c r="J142" i="76" s="1"/>
  <c r="J139" i="76"/>
  <c r="I18" i="77"/>
  <c r="I37" i="77"/>
  <c r="I44" i="77" s="1"/>
  <c r="J400" i="63"/>
  <c r="J401" i="63" s="1"/>
  <c r="J469" i="63" s="1"/>
  <c r="J428" i="63"/>
  <c r="J350" i="63" s="1"/>
  <c r="J444" i="63"/>
  <c r="J298" i="63"/>
  <c r="J305" i="63"/>
  <c r="J296" i="63"/>
  <c r="J292" i="63"/>
  <c r="J294" i="63"/>
  <c r="J298" i="75"/>
  <c r="G299" i="80"/>
  <c r="G300" i="80" s="1"/>
  <c r="G302" i="80"/>
  <c r="H129" i="77" s="1"/>
  <c r="M278" i="80"/>
  <c r="L282" i="80"/>
  <c r="H57" i="80"/>
  <c r="H298" i="80" s="1"/>
  <c r="J464" i="63" l="1"/>
  <c r="J478" i="63" s="1"/>
  <c r="J480" i="63" s="1"/>
  <c r="J15" i="82"/>
  <c r="J10" i="82" s="1"/>
  <c r="J306" i="63"/>
  <c r="J429" i="63"/>
  <c r="J125" i="77"/>
  <c r="J126" i="77" s="1"/>
  <c r="J119" i="77" s="1"/>
  <c r="J450" i="63"/>
  <c r="J452" i="63" s="1"/>
  <c r="J143" i="76"/>
  <c r="I39" i="77"/>
  <c r="J462" i="63"/>
  <c r="I32" i="77"/>
  <c r="I63" i="77" s="1"/>
  <c r="H299" i="80"/>
  <c r="H300" i="80" s="1"/>
  <c r="H302" i="80"/>
  <c r="I129" i="77" s="1"/>
  <c r="N278" i="80"/>
  <c r="N282" i="80" s="1"/>
  <c r="M282" i="80"/>
  <c r="I57" i="80"/>
  <c r="J475" i="63" l="1"/>
  <c r="J481" i="63"/>
  <c r="J21" i="82"/>
  <c r="J29" i="82" s="1"/>
  <c r="J33" i="82" s="1"/>
  <c r="Y40" i="82" s="1"/>
  <c r="K98" i="31"/>
  <c r="K94" i="81"/>
  <c r="K95" i="78"/>
  <c r="K97" i="79"/>
  <c r="K62" i="76"/>
  <c r="K61" i="76" s="1"/>
  <c r="K205" i="75"/>
  <c r="J484" i="63"/>
  <c r="J495" i="63" s="1"/>
  <c r="J500" i="63" s="1"/>
  <c r="K337" i="63"/>
  <c r="K313" i="63"/>
  <c r="K314" i="63" s="1"/>
  <c r="J57" i="80"/>
  <c r="L337" i="63"/>
  <c r="J482" i="63" l="1"/>
  <c r="L61" i="76"/>
  <c r="K94" i="78"/>
  <c r="K99" i="78"/>
  <c r="K98" i="78" s="1"/>
  <c r="L98" i="78" s="1"/>
  <c r="M98" i="78" s="1"/>
  <c r="N98" i="78" s="1"/>
  <c r="O98" i="78" s="1"/>
  <c r="P98" i="78" s="1"/>
  <c r="L57" i="80" s="1"/>
  <c r="K97" i="31"/>
  <c r="K103" i="31"/>
  <c r="L289" i="75"/>
  <c r="K209" i="75"/>
  <c r="K204" i="75"/>
  <c r="K96" i="79"/>
  <c r="K101" i="79"/>
  <c r="K100" i="79" s="1"/>
  <c r="L100" i="79" s="1"/>
  <c r="M100" i="79" s="1"/>
  <c r="N100" i="79" s="1"/>
  <c r="O100" i="79" s="1"/>
  <c r="P100" i="79" s="1"/>
  <c r="K93" i="81"/>
  <c r="K99" i="81"/>
  <c r="K98" i="81" s="1"/>
  <c r="L313" i="63"/>
  <c r="L314" i="63" s="1"/>
  <c r="K57" i="80"/>
  <c r="L98" i="81" l="1"/>
  <c r="K103" i="81"/>
  <c r="L204" i="75"/>
  <c r="K262" i="75"/>
  <c r="L285" i="75"/>
  <c r="L265" i="75" s="1"/>
  <c r="M289" i="75"/>
  <c r="L424" i="63"/>
  <c r="L19" i="82" s="1"/>
  <c r="L97" i="31"/>
  <c r="K140" i="31"/>
  <c r="L94" i="78"/>
  <c r="K138" i="78"/>
  <c r="M61" i="76"/>
  <c r="K132" i="81"/>
  <c r="L93" i="81"/>
  <c r="L96" i="79"/>
  <c r="K144" i="79"/>
  <c r="K208" i="75"/>
  <c r="L208" i="75" s="1"/>
  <c r="M208" i="75" s="1"/>
  <c r="N208" i="75" s="1"/>
  <c r="O208" i="75" s="1"/>
  <c r="P208" i="75" s="1"/>
  <c r="K211" i="75"/>
  <c r="K102" i="31"/>
  <c r="K7" i="63"/>
  <c r="M337" i="63"/>
  <c r="M313" i="63"/>
  <c r="M314" i="63" s="1"/>
  <c r="K210" i="75" l="1"/>
  <c r="L210" i="75" s="1"/>
  <c r="M210" i="75" s="1"/>
  <c r="N210" i="75" s="1"/>
  <c r="O210" i="75" s="1"/>
  <c r="P210" i="75" s="1"/>
  <c r="K213" i="75"/>
  <c r="K212" i="75" s="1"/>
  <c r="J28" i="77"/>
  <c r="J35" i="77" s="1"/>
  <c r="J42" i="77" s="1"/>
  <c r="K141" i="79"/>
  <c r="K198" i="79"/>
  <c r="K199" i="79" s="1"/>
  <c r="K257" i="63"/>
  <c r="K295" i="63" s="1"/>
  <c r="M93" i="81"/>
  <c r="L132" i="81"/>
  <c r="J27" i="77"/>
  <c r="J34" i="77" s="1"/>
  <c r="J41" i="77" s="1"/>
  <c r="K192" i="78"/>
  <c r="K193" i="78" s="1"/>
  <c r="K253" i="63"/>
  <c r="K293" i="63" s="1"/>
  <c r="K435" i="63" s="1"/>
  <c r="K135" i="78"/>
  <c r="K194" i="31"/>
  <c r="K195" i="31" s="1"/>
  <c r="J26" i="77"/>
  <c r="K137" i="31"/>
  <c r="K249" i="63"/>
  <c r="K109" i="76"/>
  <c r="L440" i="63"/>
  <c r="K22" i="77"/>
  <c r="L206" i="75"/>
  <c r="L207" i="75" s="1"/>
  <c r="M204" i="75"/>
  <c r="L262" i="75"/>
  <c r="L103" i="81"/>
  <c r="M98" i="81"/>
  <c r="K107" i="31"/>
  <c r="I252" i="80" s="1"/>
  <c r="I254" i="80" s="1"/>
  <c r="I298" i="80" s="1"/>
  <c r="L102" i="31"/>
  <c r="L144" i="79"/>
  <c r="M96" i="79"/>
  <c r="K129" i="81"/>
  <c r="K185" i="81"/>
  <c r="K186" i="81" s="1"/>
  <c r="K196" i="81" s="1"/>
  <c r="N61" i="76"/>
  <c r="L138" i="78"/>
  <c r="M94" i="78"/>
  <c r="L140" i="31"/>
  <c r="M97" i="31"/>
  <c r="N289" i="75"/>
  <c r="M424" i="63"/>
  <c r="M19" i="82" s="1"/>
  <c r="M285" i="75"/>
  <c r="M265" i="75" s="1"/>
  <c r="K261" i="63"/>
  <c r="N337" i="63"/>
  <c r="N313" i="63"/>
  <c r="N314" i="63" s="1"/>
  <c r="O337" i="63"/>
  <c r="M440" i="63" l="1"/>
  <c r="L22" i="77"/>
  <c r="M206" i="75"/>
  <c r="M207" i="75" s="1"/>
  <c r="N424" i="63"/>
  <c r="N19" i="82" s="1"/>
  <c r="N285" i="75"/>
  <c r="N265" i="75" s="1"/>
  <c r="O289" i="75"/>
  <c r="L249" i="63"/>
  <c r="L137" i="31"/>
  <c r="K26" i="77"/>
  <c r="L194" i="31"/>
  <c r="L195" i="31" s="1"/>
  <c r="L109" i="76"/>
  <c r="K27" i="77"/>
  <c r="K34" i="77" s="1"/>
  <c r="K41" i="77" s="1"/>
  <c r="L253" i="63"/>
  <c r="L293" i="63" s="1"/>
  <c r="L435" i="63" s="1"/>
  <c r="L135" i="78"/>
  <c r="L192" i="78"/>
  <c r="L193" i="78" s="1"/>
  <c r="O61" i="76"/>
  <c r="K160" i="81"/>
  <c r="K195" i="81"/>
  <c r="K28" i="77"/>
  <c r="K35" i="77" s="1"/>
  <c r="K42" i="77" s="1"/>
  <c r="L257" i="63"/>
  <c r="L295" i="63" s="1"/>
  <c r="L141" i="79"/>
  <c r="L198" i="79"/>
  <c r="L199" i="79" s="1"/>
  <c r="I299" i="80"/>
  <c r="I300" i="80" s="1"/>
  <c r="M262" i="75"/>
  <c r="N204" i="75"/>
  <c r="K302" i="63"/>
  <c r="K108" i="76"/>
  <c r="K204" i="31"/>
  <c r="K169" i="31"/>
  <c r="K205" i="31"/>
  <c r="J52" i="77"/>
  <c r="M132" i="81"/>
  <c r="N93" i="81"/>
  <c r="K210" i="79"/>
  <c r="J54" i="77"/>
  <c r="N97" i="31"/>
  <c r="M140" i="31"/>
  <c r="M138" i="78"/>
  <c r="N94" i="78"/>
  <c r="M144" i="79"/>
  <c r="N96" i="79"/>
  <c r="M102" i="31"/>
  <c r="L107" i="31"/>
  <c r="J252" i="80" s="1"/>
  <c r="J254" i="80" s="1"/>
  <c r="J298" i="80" s="1"/>
  <c r="M103" i="81"/>
  <c r="N98" i="81"/>
  <c r="L261" i="63"/>
  <c r="L399" i="63"/>
  <c r="L343" i="63"/>
  <c r="K291" i="63"/>
  <c r="K265" i="63"/>
  <c r="K6" i="82" s="1"/>
  <c r="K4" i="82" s="1"/>
  <c r="J33" i="77"/>
  <c r="K203" i="78"/>
  <c r="K167" i="78"/>
  <c r="K204" i="78"/>
  <c r="J53" i="77"/>
  <c r="L185" i="81"/>
  <c r="L186" i="81" s="1"/>
  <c r="L196" i="81" s="1"/>
  <c r="L129" i="81"/>
  <c r="K438" i="63"/>
  <c r="K173" i="79"/>
  <c r="K209" i="79"/>
  <c r="K263" i="75"/>
  <c r="L212" i="75"/>
  <c r="P337" i="63"/>
  <c r="P313" i="63"/>
  <c r="O313" i="63"/>
  <c r="O314" i="63" s="1"/>
  <c r="K281" i="63" l="1"/>
  <c r="K134" i="76"/>
  <c r="K261" i="75"/>
  <c r="K175" i="79"/>
  <c r="K178" i="79" s="1"/>
  <c r="K179" i="79" s="1"/>
  <c r="K176" i="79"/>
  <c r="J40" i="77"/>
  <c r="K432" i="63"/>
  <c r="N102" i="31"/>
  <c r="M107" i="31"/>
  <c r="K252" i="80" s="1"/>
  <c r="K254" i="80" s="1"/>
  <c r="K298" i="80" s="1"/>
  <c r="M257" i="63"/>
  <c r="M295" i="63" s="1"/>
  <c r="L28" i="77"/>
  <c r="L35" i="77" s="1"/>
  <c r="L42" i="77" s="1"/>
  <c r="M141" i="79"/>
  <c r="M198" i="79"/>
  <c r="M199" i="79" s="1"/>
  <c r="M253" i="63"/>
  <c r="M293" i="63" s="1"/>
  <c r="M135" i="78"/>
  <c r="L27" i="77"/>
  <c r="L34" i="77" s="1"/>
  <c r="L41" i="77" s="1"/>
  <c r="M192" i="78"/>
  <c r="M193" i="78" s="1"/>
  <c r="N140" i="31"/>
  <c r="O97" i="31"/>
  <c r="N132" i="81"/>
  <c r="O93" i="81"/>
  <c r="K171" i="31"/>
  <c r="K174" i="31" s="1"/>
  <c r="K175" i="31" s="1"/>
  <c r="K172" i="31"/>
  <c r="J30" i="77"/>
  <c r="N262" i="75"/>
  <c r="O204" i="75"/>
  <c r="L210" i="79"/>
  <c r="K54" i="77"/>
  <c r="L438" i="63"/>
  <c r="K53" i="77"/>
  <c r="L204" i="78"/>
  <c r="L302" i="63"/>
  <c r="L108" i="76"/>
  <c r="K33" i="77"/>
  <c r="L291" i="63"/>
  <c r="L265" i="63"/>
  <c r="L6" i="82" s="1"/>
  <c r="L4" i="82" s="1"/>
  <c r="N440" i="63"/>
  <c r="M22" i="77"/>
  <c r="N206" i="75"/>
  <c r="N207" i="75" s="1"/>
  <c r="M399" i="63"/>
  <c r="M343" i="63"/>
  <c r="M212" i="75"/>
  <c r="L263" i="75"/>
  <c r="L195" i="81"/>
  <c r="L160" i="81"/>
  <c r="K169" i="78"/>
  <c r="K172" i="78" s="1"/>
  <c r="K173" i="78" s="1"/>
  <c r="K170" i="78"/>
  <c r="N103" i="81"/>
  <c r="O98" i="81"/>
  <c r="J299" i="80"/>
  <c r="J300" i="80" s="1"/>
  <c r="N144" i="79"/>
  <c r="O96" i="79"/>
  <c r="N138" i="78"/>
  <c r="O94" i="78"/>
  <c r="M249" i="63"/>
  <c r="M137" i="31"/>
  <c r="L26" i="77"/>
  <c r="M194" i="31"/>
  <c r="M195" i="31" s="1"/>
  <c r="M109" i="76"/>
  <c r="M129" i="81"/>
  <c r="M185" i="81"/>
  <c r="M186" i="81" s="1"/>
  <c r="M196" i="81" s="1"/>
  <c r="K311" i="63"/>
  <c r="M261" i="63"/>
  <c r="L173" i="79"/>
  <c r="L209" i="79"/>
  <c r="K162" i="81"/>
  <c r="K165" i="81" s="1"/>
  <c r="K166" i="81" s="1"/>
  <c r="K163" i="81"/>
  <c r="P61" i="76"/>
  <c r="L167" i="78"/>
  <c r="L203" i="78"/>
  <c r="K52" i="77"/>
  <c r="L205" i="31"/>
  <c r="L169" i="31"/>
  <c r="L204" i="31"/>
  <c r="P289" i="75"/>
  <c r="O285" i="75"/>
  <c r="O265" i="75" s="1"/>
  <c r="O424" i="63"/>
  <c r="O19" i="82" s="1"/>
  <c r="P314" i="63"/>
  <c r="K174" i="78" l="1"/>
  <c r="K167" i="81"/>
  <c r="K176" i="31"/>
  <c r="P424" i="63"/>
  <c r="P19" i="82" s="1"/>
  <c r="P285" i="75"/>
  <c r="P265" i="75" s="1"/>
  <c r="L171" i="31"/>
  <c r="L174" i="31" s="1"/>
  <c r="L175" i="31" s="1"/>
  <c r="L172" i="31"/>
  <c r="L169" i="78"/>
  <c r="L172" i="78" s="1"/>
  <c r="L173" i="78" s="1"/>
  <c r="L170" i="78"/>
  <c r="M302" i="63"/>
  <c r="M311" i="63" s="1"/>
  <c r="M108" i="76"/>
  <c r="L33" i="77"/>
  <c r="M291" i="63"/>
  <c r="M265" i="63"/>
  <c r="M6" i="82" s="1"/>
  <c r="M4" i="82" s="1"/>
  <c r="M27" i="77"/>
  <c r="M34" i="77" s="1"/>
  <c r="M41" i="77" s="1"/>
  <c r="N253" i="63"/>
  <c r="N293" i="63" s="1"/>
  <c r="N135" i="78"/>
  <c r="N192" i="78"/>
  <c r="N193" i="78" s="1"/>
  <c r="M28" i="77"/>
  <c r="M35" i="77" s="1"/>
  <c r="M42" i="77" s="1"/>
  <c r="N141" i="79"/>
  <c r="N257" i="63"/>
  <c r="N295" i="63" s="1"/>
  <c r="N198" i="79"/>
  <c r="N199" i="79" s="1"/>
  <c r="L162" i="81"/>
  <c r="L165" i="81" s="1"/>
  <c r="L166" i="81" s="1"/>
  <c r="L163" i="81"/>
  <c r="L281" i="63"/>
  <c r="L134" i="76"/>
  <c r="L261" i="75"/>
  <c r="K30" i="77"/>
  <c r="P204" i="75"/>
  <c r="P262" i="75" s="1"/>
  <c r="O262" i="75"/>
  <c r="P93" i="81"/>
  <c r="P132" i="81" s="1"/>
  <c r="O132" i="81"/>
  <c r="P97" i="31"/>
  <c r="P140" i="31" s="1"/>
  <c r="O140" i="31"/>
  <c r="M204" i="78"/>
  <c r="L53" i="77"/>
  <c r="M203" i="78"/>
  <c r="M167" i="78"/>
  <c r="L54" i="77"/>
  <c r="M210" i="79"/>
  <c r="K299" i="80"/>
  <c r="K300" i="80" s="1"/>
  <c r="J29" i="77"/>
  <c r="K291" i="75"/>
  <c r="K300" i="75"/>
  <c r="K301" i="75" s="1"/>
  <c r="J55" i="77" s="1"/>
  <c r="K285" i="63"/>
  <c r="K297" i="63"/>
  <c r="K180" i="79"/>
  <c r="O440" i="63"/>
  <c r="N22" i="77"/>
  <c r="O206" i="75"/>
  <c r="O207" i="75" s="1"/>
  <c r="L175" i="79"/>
  <c r="L178" i="79" s="1"/>
  <c r="L179" i="79" s="1"/>
  <c r="L176" i="79"/>
  <c r="K312" i="63"/>
  <c r="M160" i="81"/>
  <c r="M195" i="81"/>
  <c r="M205" i="31"/>
  <c r="L52" i="77"/>
  <c r="M169" i="31"/>
  <c r="M204" i="31"/>
  <c r="O138" i="78"/>
  <c r="P94" i="78"/>
  <c r="P138" i="78" s="1"/>
  <c r="P96" i="79"/>
  <c r="P144" i="79" s="1"/>
  <c r="O144" i="79"/>
  <c r="O103" i="81"/>
  <c r="P98" i="81"/>
  <c r="P103" i="81" s="1"/>
  <c r="N212" i="75"/>
  <c r="M263" i="75"/>
  <c r="N399" i="63"/>
  <c r="N343" i="63"/>
  <c r="L432" i="63"/>
  <c r="K40" i="77"/>
  <c r="L311" i="63"/>
  <c r="N261" i="63"/>
  <c r="N185" i="81"/>
  <c r="N186" i="81" s="1"/>
  <c r="N196" i="81" s="1"/>
  <c r="N129" i="81"/>
  <c r="N249" i="63"/>
  <c r="M26" i="77"/>
  <c r="N137" i="31"/>
  <c r="N194" i="31"/>
  <c r="N195" i="31" s="1"/>
  <c r="N109" i="76"/>
  <c r="M435" i="63"/>
  <c r="M173" i="79"/>
  <c r="M209" i="79"/>
  <c r="M438" i="63"/>
  <c r="O102" i="31"/>
  <c r="N107" i="31"/>
  <c r="L252" i="80" s="1"/>
  <c r="L254" i="80" s="1"/>
  <c r="L298" i="80" s="1"/>
  <c r="K426" i="63"/>
  <c r="K473" i="63" s="1"/>
  <c r="K130" i="76"/>
  <c r="K112" i="76" s="1"/>
  <c r="L174" i="78" l="1"/>
  <c r="L176" i="31"/>
  <c r="L180" i="79"/>
  <c r="L167" i="81"/>
  <c r="J23" i="77"/>
  <c r="K443" i="63"/>
  <c r="K59" i="76"/>
  <c r="K60" i="76" s="1"/>
  <c r="K136" i="76"/>
  <c r="K145" i="76"/>
  <c r="K146" i="76" s="1"/>
  <c r="J56" i="77" s="1"/>
  <c r="J51" i="77" s="1"/>
  <c r="J58" i="77" s="1"/>
  <c r="N302" i="63"/>
  <c r="N108" i="76"/>
  <c r="N291" i="63"/>
  <c r="N265" i="63"/>
  <c r="N6" i="82" s="1"/>
  <c r="N4" i="82" s="1"/>
  <c r="P102" i="31"/>
  <c r="P107" i="31" s="1"/>
  <c r="N252" i="80" s="1"/>
  <c r="O107" i="31"/>
  <c r="M252" i="80" s="1"/>
  <c r="M254" i="80" s="1"/>
  <c r="M175" i="79"/>
  <c r="M178" i="79" s="1"/>
  <c r="M179" i="79" s="1"/>
  <c r="M176" i="79"/>
  <c r="M52" i="77"/>
  <c r="N205" i="31"/>
  <c r="M33" i="77"/>
  <c r="N195" i="81"/>
  <c r="N160" i="81"/>
  <c r="M281" i="63"/>
  <c r="M134" i="76"/>
  <c r="M261" i="75"/>
  <c r="O257" i="63"/>
  <c r="O295" i="63" s="1"/>
  <c r="N28" i="77"/>
  <c r="N35" i="77" s="1"/>
  <c r="N42" i="77" s="1"/>
  <c r="O141" i="79"/>
  <c r="O198" i="79"/>
  <c r="O199" i="79" s="1"/>
  <c r="O27" i="77"/>
  <c r="O34" i="77" s="1"/>
  <c r="O41" i="77" s="1"/>
  <c r="P253" i="63"/>
  <c r="P293" i="63" s="1"/>
  <c r="P435" i="63" s="1"/>
  <c r="P135" i="78"/>
  <c r="P192" i="78"/>
  <c r="P193" i="78" s="1"/>
  <c r="K441" i="63"/>
  <c r="J36" i="77"/>
  <c r="J25" i="77"/>
  <c r="K460" i="63" s="1"/>
  <c r="K458" i="63" s="1"/>
  <c r="P249" i="63"/>
  <c r="O26" i="77"/>
  <c r="P137" i="31"/>
  <c r="P194" i="31"/>
  <c r="P195" i="31" s="1"/>
  <c r="P129" i="81"/>
  <c r="P185" i="81"/>
  <c r="P186" i="81" s="1"/>
  <c r="P196" i="81" s="1"/>
  <c r="P261" i="63"/>
  <c r="K29" i="77"/>
  <c r="L291" i="75"/>
  <c r="L300" i="75"/>
  <c r="L301" i="75" s="1"/>
  <c r="K55" i="77" s="1"/>
  <c r="L285" i="63"/>
  <c r="L297" i="63"/>
  <c r="N438" i="63"/>
  <c r="N167" i="78"/>
  <c r="N203" i="78"/>
  <c r="M432" i="63"/>
  <c r="L40" i="77"/>
  <c r="M312" i="63"/>
  <c r="P109" i="76"/>
  <c r="L299" i="80"/>
  <c r="L300" i="80" s="1"/>
  <c r="N204" i="31"/>
  <c r="N169" i="31"/>
  <c r="L312" i="63"/>
  <c r="N263" i="75"/>
  <c r="O212" i="75"/>
  <c r="P257" i="63"/>
  <c r="P295" i="63" s="1"/>
  <c r="P438" i="63" s="1"/>
  <c r="O28" i="77"/>
  <c r="O35" i="77" s="1"/>
  <c r="O42" i="77" s="1"/>
  <c r="P141" i="79"/>
  <c r="P198" i="79"/>
  <c r="P199" i="79" s="1"/>
  <c r="O253" i="63"/>
  <c r="O293" i="63" s="1"/>
  <c r="N27" i="77"/>
  <c r="N34" i="77" s="1"/>
  <c r="N41" i="77" s="1"/>
  <c r="O192" i="78"/>
  <c r="O193" i="78" s="1"/>
  <c r="O135" i="78"/>
  <c r="M171" i="31"/>
  <c r="M174" i="31" s="1"/>
  <c r="M175" i="31" s="1"/>
  <c r="M172" i="31"/>
  <c r="M162" i="81"/>
  <c r="M165" i="81" s="1"/>
  <c r="M166" i="81" s="1"/>
  <c r="M163" i="81"/>
  <c r="O399" i="63"/>
  <c r="O343" i="63"/>
  <c r="K287" i="63"/>
  <c r="K289" i="63" s="1"/>
  <c r="K309" i="63"/>
  <c r="K310" i="63" s="1"/>
  <c r="K293" i="75"/>
  <c r="K296" i="75" s="1"/>
  <c r="K297" i="75" s="1"/>
  <c r="K294" i="75"/>
  <c r="M169" i="78"/>
  <c r="M172" i="78" s="1"/>
  <c r="M173" i="78" s="1"/>
  <c r="M170" i="78"/>
  <c r="O249" i="63"/>
  <c r="O194" i="31"/>
  <c r="O195" i="31" s="1"/>
  <c r="N26" i="77"/>
  <c r="O137" i="31"/>
  <c r="O109" i="76"/>
  <c r="O185" i="81"/>
  <c r="O186" i="81" s="1"/>
  <c r="O196" i="81" s="1"/>
  <c r="O129" i="81"/>
  <c r="O261" i="63"/>
  <c r="L426" i="63"/>
  <c r="L473" i="63" s="1"/>
  <c r="L130" i="76"/>
  <c r="L112" i="76" s="1"/>
  <c r="M54" i="77"/>
  <c r="N210" i="79"/>
  <c r="N173" i="79"/>
  <c r="N209" i="79"/>
  <c r="N204" i="78"/>
  <c r="M53" i="77"/>
  <c r="N435" i="63"/>
  <c r="L30" i="77"/>
  <c r="P440" i="63"/>
  <c r="O22" i="77"/>
  <c r="P206" i="75"/>
  <c r="P207" i="75" s="1"/>
  <c r="K298" i="75" l="1"/>
  <c r="M180" i="79"/>
  <c r="M174" i="78"/>
  <c r="M167" i="81"/>
  <c r="M176" i="31"/>
  <c r="O160" i="81"/>
  <c r="O195" i="81"/>
  <c r="N33" i="77"/>
  <c r="K294" i="63"/>
  <c r="K296" i="63"/>
  <c r="K292" i="63"/>
  <c r="K305" i="63"/>
  <c r="O203" i="78"/>
  <c r="O167" i="78"/>
  <c r="O54" i="77"/>
  <c r="P210" i="79"/>
  <c r="P399" i="63"/>
  <c r="P343" i="63"/>
  <c r="N175" i="79"/>
  <c r="N178" i="79" s="1"/>
  <c r="N179" i="79" s="1"/>
  <c r="N176" i="79"/>
  <c r="O204" i="31"/>
  <c r="O169" i="31"/>
  <c r="N52" i="77"/>
  <c r="O205" i="31"/>
  <c r="O204" i="78"/>
  <c r="N53" i="77"/>
  <c r="O435" i="63"/>
  <c r="P173" i="79"/>
  <c r="P209" i="79"/>
  <c r="N281" i="63"/>
  <c r="N134" i="76"/>
  <c r="N261" i="75"/>
  <c r="P302" i="63"/>
  <c r="P108" i="76"/>
  <c r="N169" i="78"/>
  <c r="N172" i="78" s="1"/>
  <c r="N173" i="78" s="1"/>
  <c r="N170" i="78"/>
  <c r="L287" i="63"/>
  <c r="L289" i="63" s="1"/>
  <c r="L298" i="63" s="1"/>
  <c r="L309" i="63"/>
  <c r="L310" i="63" s="1"/>
  <c r="L293" i="75"/>
  <c r="L296" i="75" s="1"/>
  <c r="L297" i="75" s="1"/>
  <c r="L294" i="75"/>
  <c r="O52" i="77"/>
  <c r="P205" i="31"/>
  <c r="O33" i="77"/>
  <c r="P204" i="78"/>
  <c r="O53" i="77"/>
  <c r="N54" i="77"/>
  <c r="O210" i="79"/>
  <c r="L29" i="77"/>
  <c r="M300" i="75"/>
  <c r="M301" i="75" s="1"/>
  <c r="L55" i="77" s="1"/>
  <c r="M291" i="75"/>
  <c r="M285" i="63"/>
  <c r="M297" i="63"/>
  <c r="M40" i="77"/>
  <c r="M298" i="80"/>
  <c r="N254" i="80"/>
  <c r="N298" i="80" s="1"/>
  <c r="M30" i="77"/>
  <c r="J18" i="77"/>
  <c r="J37" i="77"/>
  <c r="J44" i="77" s="1"/>
  <c r="K298" i="63"/>
  <c r="K23" i="77"/>
  <c r="L59" i="76"/>
  <c r="L60" i="76" s="1"/>
  <c r="L443" i="63"/>
  <c r="L145" i="76"/>
  <c r="L146" i="76" s="1"/>
  <c r="K56" i="77" s="1"/>
  <c r="L136" i="76"/>
  <c r="O302" i="63"/>
  <c r="O311" i="63" s="1"/>
  <c r="O108" i="76"/>
  <c r="O291" i="63"/>
  <c r="O265" i="63"/>
  <c r="O6" i="82" s="1"/>
  <c r="O4" i="82" s="1"/>
  <c r="P212" i="75"/>
  <c r="P263" i="75" s="1"/>
  <c r="O263" i="75"/>
  <c r="N171" i="31"/>
  <c r="N174" i="31" s="1"/>
  <c r="N175" i="31" s="1"/>
  <c r="N172" i="31"/>
  <c r="L441" i="63"/>
  <c r="K36" i="77"/>
  <c r="K25" i="77"/>
  <c r="L460" i="63" s="1"/>
  <c r="L458" i="63" s="1"/>
  <c r="P195" i="81"/>
  <c r="P160" i="81"/>
  <c r="P169" i="31"/>
  <c r="P204" i="31"/>
  <c r="P291" i="63"/>
  <c r="P265" i="63"/>
  <c r="P6" i="82" s="1"/>
  <c r="P4" i="82" s="1"/>
  <c r="J43" i="77"/>
  <c r="P203" i="78"/>
  <c r="P167" i="78"/>
  <c r="O209" i="79"/>
  <c r="O173" i="79"/>
  <c r="O438" i="63"/>
  <c r="M130" i="76"/>
  <c r="M112" i="76" s="1"/>
  <c r="M426" i="63"/>
  <c r="M473" i="63" s="1"/>
  <c r="N162" i="81"/>
  <c r="N165" i="81" s="1"/>
  <c r="N166" i="81" s="1"/>
  <c r="N163" i="81"/>
  <c r="N432" i="63"/>
  <c r="N311" i="63"/>
  <c r="K138" i="76"/>
  <c r="K141" i="76" s="1"/>
  <c r="K142" i="76" s="1"/>
  <c r="K139" i="76"/>
  <c r="K400" i="63"/>
  <c r="K401" i="63" s="1"/>
  <c r="K469" i="63" s="1"/>
  <c r="K428" i="63"/>
  <c r="K350" i="63" s="1"/>
  <c r="K444" i="63"/>
  <c r="K51" i="77"/>
  <c r="K58" i="77" s="1"/>
  <c r="K464" i="63" l="1"/>
  <c r="K478" i="63" s="1"/>
  <c r="K480" i="63" s="1"/>
  <c r="K15" i="82"/>
  <c r="K10" i="82" s="1"/>
  <c r="N180" i="79"/>
  <c r="N174" i="78"/>
  <c r="N176" i="31"/>
  <c r="J32" i="77"/>
  <c r="J63" i="77" s="1"/>
  <c r="J130" i="77" s="1"/>
  <c r="K143" i="76"/>
  <c r="N167" i="81"/>
  <c r="J39" i="77"/>
  <c r="K462" i="63"/>
  <c r="L298" i="75"/>
  <c r="O175" i="79"/>
  <c r="O176" i="79"/>
  <c r="P170" i="78"/>
  <c r="O281" i="63"/>
  <c r="O134" i="76"/>
  <c r="O261" i="75"/>
  <c r="N30" i="77"/>
  <c r="L138" i="76"/>
  <c r="L141" i="76" s="1"/>
  <c r="L142" i="76" s="1"/>
  <c r="L139" i="76"/>
  <c r="K18" i="77"/>
  <c r="K37" i="77"/>
  <c r="K44" i="77" s="1"/>
  <c r="M441" i="63"/>
  <c r="L36" i="77"/>
  <c r="L25" i="77"/>
  <c r="M460" i="63" s="1"/>
  <c r="M458" i="63" s="1"/>
  <c r="N312" i="63"/>
  <c r="M136" i="76"/>
  <c r="M443" i="63"/>
  <c r="L23" i="77"/>
  <c r="M59" i="76"/>
  <c r="M60" i="76" s="1"/>
  <c r="M145" i="76"/>
  <c r="M146" i="76" s="1"/>
  <c r="L56" i="77" s="1"/>
  <c r="P432" i="63"/>
  <c r="P172" i="31"/>
  <c r="K43" i="77"/>
  <c r="K39" i="77" s="1"/>
  <c r="P281" i="63"/>
  <c r="P134" i="76"/>
  <c r="P261" i="75"/>
  <c r="O432" i="63"/>
  <c r="O312" i="63"/>
  <c r="M299" i="80"/>
  <c r="M300" i="80" s="1"/>
  <c r="M287" i="63"/>
  <c r="M289" i="63" s="1"/>
  <c r="M298" i="63" s="1"/>
  <c r="M309" i="63"/>
  <c r="M310" i="63" s="1"/>
  <c r="L294" i="63"/>
  <c r="L296" i="63"/>
  <c r="L292" i="63"/>
  <c r="L305" i="63"/>
  <c r="O30" i="77"/>
  <c r="M29" i="77"/>
  <c r="N300" i="75"/>
  <c r="N301" i="75" s="1"/>
  <c r="M55" i="77" s="1"/>
  <c r="N291" i="75"/>
  <c r="N285" i="63"/>
  <c r="N297" i="63"/>
  <c r="P176" i="79"/>
  <c r="N40" i="77"/>
  <c r="O162" i="81"/>
  <c r="O163" i="81"/>
  <c r="L51" i="77"/>
  <c r="L58" i="77" s="1"/>
  <c r="P163" i="81"/>
  <c r="L400" i="63"/>
  <c r="L401" i="63" s="1"/>
  <c r="L469" i="63" s="1"/>
  <c r="L428" i="63"/>
  <c r="L350" i="63" s="1"/>
  <c r="L444" i="63"/>
  <c r="K450" i="63"/>
  <c r="K452" i="63" s="1"/>
  <c r="K125" i="77"/>
  <c r="I302" i="80"/>
  <c r="J129" i="77" s="1"/>
  <c r="M293" i="75"/>
  <c r="M296" i="75" s="1"/>
  <c r="M297" i="75" s="1"/>
  <c r="M294" i="75"/>
  <c r="O40" i="77"/>
  <c r="P311" i="63"/>
  <c r="N130" i="76"/>
  <c r="N112" i="76" s="1"/>
  <c r="N426" i="63"/>
  <c r="N473" i="63" s="1"/>
  <c r="O171" i="31"/>
  <c r="O172" i="31"/>
  <c r="O169" i="78"/>
  <c r="O170" i="78"/>
  <c r="K306" i="63"/>
  <c r="K429" i="63"/>
  <c r="K475" i="63" l="1"/>
  <c r="C487" i="63"/>
  <c r="C489" i="63"/>
  <c r="C24" i="82" s="1"/>
  <c r="K481" i="63"/>
  <c r="K21" i="82"/>
  <c r="K29" i="82" s="1"/>
  <c r="K33" i="82" s="1"/>
  <c r="L464" i="63"/>
  <c r="L478" i="63" s="1"/>
  <c r="L480" i="63" s="1"/>
  <c r="L15" i="82"/>
  <c r="L10" i="82" s="1"/>
  <c r="M298" i="75"/>
  <c r="K32" i="77"/>
  <c r="K63" i="77" s="1"/>
  <c r="K130" i="77" s="1"/>
  <c r="L475" i="63"/>
  <c r="O172" i="78"/>
  <c r="O173" i="78" s="1"/>
  <c r="O174" i="78" s="1"/>
  <c r="P169" i="78"/>
  <c r="P172" i="78" s="1"/>
  <c r="P173" i="78" s="1"/>
  <c r="P174" i="78" s="1"/>
  <c r="O174" i="31"/>
  <c r="O175" i="31" s="1"/>
  <c r="O176" i="31" s="1"/>
  <c r="P171" i="31"/>
  <c r="P174" i="31" s="1"/>
  <c r="P175" i="31" s="1"/>
  <c r="P176" i="31" s="1"/>
  <c r="N443" i="63"/>
  <c r="M23" i="77"/>
  <c r="N59" i="76"/>
  <c r="N60" i="76" s="1"/>
  <c r="N145" i="76"/>
  <c r="N146" i="76" s="1"/>
  <c r="M56" i="77" s="1"/>
  <c r="M51" i="77" s="1"/>
  <c r="M58" i="77" s="1"/>
  <c r="N136" i="76"/>
  <c r="P312" i="63"/>
  <c r="N441" i="63"/>
  <c r="N293" i="75"/>
  <c r="N296" i="75" s="1"/>
  <c r="N297" i="75" s="1"/>
  <c r="N294" i="75"/>
  <c r="M36" i="77"/>
  <c r="M25" i="77"/>
  <c r="N460" i="63" s="1"/>
  <c r="N458" i="63" s="1"/>
  <c r="L306" i="63"/>
  <c r="L429" i="63"/>
  <c r="O29" i="77"/>
  <c r="P291" i="75"/>
  <c r="P300" i="75"/>
  <c r="P301" i="75" s="1"/>
  <c r="O55" i="77" s="1"/>
  <c r="P285" i="63"/>
  <c r="P297" i="63"/>
  <c r="M428" i="63"/>
  <c r="M350" i="63" s="1"/>
  <c r="M400" i="63"/>
  <c r="M401" i="63" s="1"/>
  <c r="M469" i="63" s="1"/>
  <c r="M444" i="63"/>
  <c r="O426" i="63"/>
  <c r="O473" i="63" s="1"/>
  <c r="O130" i="76"/>
  <c r="O112" i="76" s="1"/>
  <c r="P175" i="79"/>
  <c r="P178" i="79" s="1"/>
  <c r="P179" i="79" s="1"/>
  <c r="P180" i="79" s="1"/>
  <c r="O178" i="79"/>
  <c r="O179" i="79" s="1"/>
  <c r="O180" i="79" s="1"/>
  <c r="K484" i="63"/>
  <c r="K495" i="63" s="1"/>
  <c r="K500" i="63" s="1"/>
  <c r="L143" i="76"/>
  <c r="L462" i="63"/>
  <c r="P162" i="81"/>
  <c r="P165" i="81" s="1"/>
  <c r="P166" i="81" s="1"/>
  <c r="P167" i="81" s="1"/>
  <c r="O165" i="81"/>
  <c r="O166" i="81" s="1"/>
  <c r="O167" i="81" s="1"/>
  <c r="N287" i="63"/>
  <c r="N289" i="63" s="1"/>
  <c r="N309" i="63"/>
  <c r="N310" i="63" s="1"/>
  <c r="M305" i="63"/>
  <c r="M294" i="63"/>
  <c r="M296" i="63"/>
  <c r="M292" i="63"/>
  <c r="P130" i="76"/>
  <c r="P112" i="76" s="1"/>
  <c r="P426" i="63"/>
  <c r="P473" i="63" s="1"/>
  <c r="L18" i="77"/>
  <c r="L37" i="77"/>
  <c r="L44" i="77" s="1"/>
  <c r="M138" i="76"/>
  <c r="M141" i="76" s="1"/>
  <c r="M142" i="76" s="1"/>
  <c r="M139" i="76"/>
  <c r="L43" i="77"/>
  <c r="L450" i="63"/>
  <c r="L452" i="63" s="1"/>
  <c r="L125" i="77"/>
  <c r="J302" i="80"/>
  <c r="K129" i="77" s="1"/>
  <c r="N29" i="77"/>
  <c r="O291" i="75"/>
  <c r="O300" i="75"/>
  <c r="O301" i="75" s="1"/>
  <c r="N55" i="77" s="1"/>
  <c r="O285" i="63"/>
  <c r="O297" i="63"/>
  <c r="N299" i="80"/>
  <c r="N300" i="80" s="1"/>
  <c r="C495" i="63"/>
  <c r="C500" i="63" s="1"/>
  <c r="C501" i="63" s="1"/>
  <c r="C502" i="63" s="1"/>
  <c r="C543" i="63"/>
  <c r="C545" i="63" s="1"/>
  <c r="C23" i="82" l="1"/>
  <c r="C29" i="82" s="1"/>
  <c r="C31" i="82" s="1"/>
  <c r="K482" i="63"/>
  <c r="M464" i="63"/>
  <c r="M478" i="63" s="1"/>
  <c r="M480" i="63" s="1"/>
  <c r="M15" i="82"/>
  <c r="M10" i="82" s="1"/>
  <c r="L481" i="63"/>
  <c r="L484" i="63" s="1"/>
  <c r="L495" i="63" s="1"/>
  <c r="L500" i="63" s="1"/>
  <c r="L21" i="82"/>
  <c r="L29" i="82" s="1"/>
  <c r="N298" i="75"/>
  <c r="L39" i="77"/>
  <c r="M143" i="76"/>
  <c r="M462" i="63"/>
  <c r="M475" i="63"/>
  <c r="O287" i="63"/>
  <c r="O289" i="63" s="1"/>
  <c r="O298" i="63" s="1"/>
  <c r="O309" i="63"/>
  <c r="O310" i="63" s="1"/>
  <c r="O293" i="75"/>
  <c r="O294" i="75"/>
  <c r="O441" i="63"/>
  <c r="N36" i="77"/>
  <c r="N25" i="77"/>
  <c r="O460" i="63" s="1"/>
  <c r="O458" i="63" s="1"/>
  <c r="M450" i="63"/>
  <c r="M452" i="63" s="1"/>
  <c r="M125" i="77"/>
  <c r="K302" i="80"/>
  <c r="L129" i="77" s="1"/>
  <c r="O23" i="77"/>
  <c r="P443" i="63"/>
  <c r="P59" i="76"/>
  <c r="P136" i="76"/>
  <c r="P145" i="76"/>
  <c r="P146" i="76" s="1"/>
  <c r="O56" i="77" s="1"/>
  <c r="O51" i="77" s="1"/>
  <c r="O58" i="77" s="1"/>
  <c r="M306" i="63"/>
  <c r="M429" i="63"/>
  <c r="N296" i="63"/>
  <c r="N294" i="63"/>
  <c r="N292" i="63"/>
  <c r="N305" i="63"/>
  <c r="N23" i="77"/>
  <c r="O443" i="63"/>
  <c r="O59" i="76"/>
  <c r="O60" i="76" s="1"/>
  <c r="O136" i="76"/>
  <c r="O145" i="76"/>
  <c r="O146" i="76" s="1"/>
  <c r="N56" i="77" s="1"/>
  <c r="N51" i="77" s="1"/>
  <c r="N58" i="77" s="1"/>
  <c r="P287" i="63"/>
  <c r="P289" i="63" s="1"/>
  <c r="P298" i="63" s="1"/>
  <c r="P309" i="63"/>
  <c r="P310" i="63" s="1"/>
  <c r="P294" i="75"/>
  <c r="M18" i="77"/>
  <c r="M37" i="77"/>
  <c r="M44" i="77" s="1"/>
  <c r="L32" i="77"/>
  <c r="L63" i="77" s="1"/>
  <c r="L130" i="77" s="1"/>
  <c r="P441" i="63"/>
  <c r="O36" i="77"/>
  <c r="O25" i="77"/>
  <c r="P460" i="63" s="1"/>
  <c r="P458" i="63" s="1"/>
  <c r="M43" i="77"/>
  <c r="M32" i="77"/>
  <c r="N138" i="76"/>
  <c r="N139" i="76"/>
  <c r="N428" i="63"/>
  <c r="N350" i="63" s="1"/>
  <c r="N400" i="63"/>
  <c r="N401" i="63" s="1"/>
  <c r="N469" i="63" s="1"/>
  <c r="N444" i="63"/>
  <c r="N298" i="63"/>
  <c r="D501" i="63"/>
  <c r="D502" i="63" s="1"/>
  <c r="C496" i="63"/>
  <c r="C497" i="63" s="1"/>
  <c r="C546" i="63"/>
  <c r="C550" i="63"/>
  <c r="C551" i="63" s="1"/>
  <c r="C33" i="82" l="1"/>
  <c r="C482" i="63" s="1"/>
  <c r="C34" i="82"/>
  <c r="D30" i="82"/>
  <c r="L33" i="82"/>
  <c r="L482" i="63" s="1"/>
  <c r="N464" i="63"/>
  <c r="N478" i="63" s="1"/>
  <c r="N480" i="63" s="1"/>
  <c r="N15" i="82"/>
  <c r="N10" i="82" s="1"/>
  <c r="M481" i="63"/>
  <c r="M484" i="63" s="1"/>
  <c r="M495" i="63" s="1"/>
  <c r="M500" i="63" s="1"/>
  <c r="M21" i="82"/>
  <c r="M29" i="82" s="1"/>
  <c r="E501" i="63"/>
  <c r="E502" i="63" s="1"/>
  <c r="M39" i="77"/>
  <c r="M63" i="77"/>
  <c r="M130" i="77" s="1"/>
  <c r="N450" i="63"/>
  <c r="N452" i="63" s="1"/>
  <c r="N125" i="77"/>
  <c r="N126" i="77" s="1"/>
  <c r="L302" i="80"/>
  <c r="M129" i="77" s="1"/>
  <c r="P296" i="63"/>
  <c r="P294" i="63"/>
  <c r="P292" i="63"/>
  <c r="P305" i="63"/>
  <c r="O139" i="76"/>
  <c r="O400" i="63"/>
  <c r="O401" i="63" s="1"/>
  <c r="O469" i="63" s="1"/>
  <c r="O428" i="63"/>
  <c r="O350" i="63" s="1"/>
  <c r="O444" i="63"/>
  <c r="N306" i="63"/>
  <c r="N429" i="63"/>
  <c r="O18" i="77"/>
  <c r="O37" i="77"/>
  <c r="O44" i="77" s="1"/>
  <c r="P293" i="75"/>
  <c r="P296" i="75" s="1"/>
  <c r="P297" i="75" s="1"/>
  <c r="P298" i="75" s="1"/>
  <c r="O296" i="75"/>
  <c r="O297" i="75" s="1"/>
  <c r="O298" i="75" s="1"/>
  <c r="O305" i="63"/>
  <c r="O294" i="63"/>
  <c r="O296" i="63"/>
  <c r="O292" i="63"/>
  <c r="N462" i="63"/>
  <c r="P60" i="76"/>
  <c r="O462" i="63"/>
  <c r="O138" i="76"/>
  <c r="N141" i="76"/>
  <c r="N142" i="76" s="1"/>
  <c r="N143" i="76" s="1"/>
  <c r="O43" i="77"/>
  <c r="N18" i="77"/>
  <c r="N37" i="77"/>
  <c r="N44" i="77" s="1"/>
  <c r="P139" i="76"/>
  <c r="P400" i="63"/>
  <c r="P401" i="63" s="1"/>
  <c r="P469" i="63" s="1"/>
  <c r="P428" i="63"/>
  <c r="P350" i="63" s="1"/>
  <c r="P444" i="63"/>
  <c r="N43" i="77"/>
  <c r="D496" i="63"/>
  <c r="D497" i="63" s="1"/>
  <c r="C552" i="63"/>
  <c r="D551" i="63"/>
  <c r="C547" i="63"/>
  <c r="D546" i="63"/>
  <c r="N475" i="63" l="1"/>
  <c r="D34" i="82"/>
  <c r="E30" i="82"/>
  <c r="O39" i="77"/>
  <c r="M33" i="82"/>
  <c r="M482" i="63" s="1"/>
  <c r="F501" i="63"/>
  <c r="G501" i="63" s="1"/>
  <c r="P464" i="63"/>
  <c r="P478" i="63" s="1"/>
  <c r="P475" i="63" s="1"/>
  <c r="P15" i="82"/>
  <c r="P10" i="82" s="1"/>
  <c r="O464" i="63"/>
  <c r="O478" i="63" s="1"/>
  <c r="O475" i="63" s="1"/>
  <c r="O15" i="82"/>
  <c r="O10" i="82" s="1"/>
  <c r="N481" i="63"/>
  <c r="N484" i="63" s="1"/>
  <c r="N495" i="63" s="1"/>
  <c r="N500" i="63" s="1"/>
  <c r="N21" i="82"/>
  <c r="N29" i="82" s="1"/>
  <c r="O32" i="77"/>
  <c r="O63" i="77" s="1"/>
  <c r="O130" i="77" s="1"/>
  <c r="N39" i="77"/>
  <c r="O450" i="63"/>
  <c r="O452" i="63" s="1"/>
  <c r="O125" i="77"/>
  <c r="O126" i="77" s="1"/>
  <c r="M302" i="80"/>
  <c r="N129" i="77" s="1"/>
  <c r="O141" i="76"/>
  <c r="O142" i="76" s="1"/>
  <c r="O143" i="76" s="1"/>
  <c r="P138" i="76"/>
  <c r="P141" i="76" s="1"/>
  <c r="P142" i="76" s="1"/>
  <c r="P143" i="76" s="1"/>
  <c r="O306" i="63"/>
  <c r="O429" i="63"/>
  <c r="P450" i="63"/>
  <c r="P452" i="63" s="1"/>
  <c r="N302" i="80"/>
  <c r="O129" i="77" s="1"/>
  <c r="P306" i="63"/>
  <c r="P429" i="63"/>
  <c r="N32" i="77"/>
  <c r="N63" i="77" s="1"/>
  <c r="N130" i="77" s="1"/>
  <c r="P462" i="63"/>
  <c r="E496" i="63"/>
  <c r="E497" i="63" s="1"/>
  <c r="D547" i="63"/>
  <c r="E546" i="63"/>
  <c r="E551" i="63"/>
  <c r="D552" i="63"/>
  <c r="F502" i="63" l="1"/>
  <c r="P480" i="63"/>
  <c r="P21" i="82" s="1"/>
  <c r="P29" i="82" s="1"/>
  <c r="E34" i="82"/>
  <c r="F30" i="82"/>
  <c r="F496" i="63"/>
  <c r="F497" i="63" s="1"/>
  <c r="N33" i="82"/>
  <c r="N482" i="63" s="1"/>
  <c r="O480" i="63"/>
  <c r="O21" i="82" s="1"/>
  <c r="O29" i="82" s="1"/>
  <c r="P481" i="63"/>
  <c r="P484" i="63" s="1"/>
  <c r="P495" i="63" s="1"/>
  <c r="G502" i="63"/>
  <c r="H501" i="63"/>
  <c r="E547" i="63"/>
  <c r="F546" i="63"/>
  <c r="E552" i="63"/>
  <c r="F551" i="63"/>
  <c r="F34" i="82" l="1"/>
  <c r="G30" i="82"/>
  <c r="O481" i="63"/>
  <c r="O484" i="63" s="1"/>
  <c r="O495" i="63" s="1"/>
  <c r="O500" i="63" s="1"/>
  <c r="P500" i="63"/>
  <c r="C507" i="63"/>
  <c r="G496" i="63"/>
  <c r="G497" i="63" s="1"/>
  <c r="P33" i="82"/>
  <c r="P482" i="63" s="1"/>
  <c r="O33" i="82"/>
  <c r="O482" i="63" s="1"/>
  <c r="F552" i="63"/>
  <c r="G551" i="63"/>
  <c r="F547" i="63"/>
  <c r="G546" i="63"/>
  <c r="I501" i="63"/>
  <c r="H502" i="63"/>
  <c r="G34" i="82" l="1"/>
  <c r="H30" i="82"/>
  <c r="C504" i="63"/>
  <c r="H496" i="63"/>
  <c r="H497" i="63" s="1"/>
  <c r="H546" i="63"/>
  <c r="G547" i="63"/>
  <c r="G552" i="63"/>
  <c r="H551" i="63"/>
  <c r="I502" i="63"/>
  <c r="J501" i="63"/>
  <c r="H34" i="82" l="1"/>
  <c r="I30" i="82"/>
  <c r="I496" i="63"/>
  <c r="I497" i="63" s="1"/>
  <c r="J502" i="63"/>
  <c r="K501" i="63"/>
  <c r="H552" i="63"/>
  <c r="I551" i="63"/>
  <c r="H547" i="63"/>
  <c r="I546" i="63"/>
  <c r="I34" i="82" l="1"/>
  <c r="J30" i="82"/>
  <c r="J496" i="63"/>
  <c r="J497" i="63" s="1"/>
  <c r="J546" i="63"/>
  <c r="I547" i="63"/>
  <c r="I552" i="63"/>
  <c r="J551" i="63"/>
  <c r="L501" i="63"/>
  <c r="K502" i="63"/>
  <c r="J34" i="82" l="1"/>
  <c r="Z40" i="82" s="1"/>
  <c r="K30" i="82"/>
  <c r="K496" i="63"/>
  <c r="K497" i="63" s="1"/>
  <c r="J552" i="63"/>
  <c r="K551" i="63"/>
  <c r="M501" i="63"/>
  <c r="L502" i="63"/>
  <c r="J547" i="63"/>
  <c r="K546" i="63"/>
  <c r="K34" i="82" l="1"/>
  <c r="L30" i="82"/>
  <c r="L496" i="63"/>
  <c r="L497" i="63" s="1"/>
  <c r="L546" i="63"/>
  <c r="K547" i="63"/>
  <c r="K552" i="63"/>
  <c r="L551" i="63"/>
  <c r="M502" i="63"/>
  <c r="N501" i="63"/>
  <c r="L34" i="82" l="1"/>
  <c r="M30" i="82"/>
  <c r="M496" i="63"/>
  <c r="M497" i="63" s="1"/>
  <c r="N502" i="63"/>
  <c r="O501" i="63"/>
  <c r="L552" i="63"/>
  <c r="M551" i="63"/>
  <c r="L547" i="63"/>
  <c r="M546" i="63"/>
  <c r="M34" i="82" l="1"/>
  <c r="N30" i="82"/>
  <c r="N496" i="63"/>
  <c r="N497" i="63" s="1"/>
  <c r="M547" i="63"/>
  <c r="N546" i="63"/>
  <c r="M552" i="63"/>
  <c r="N551" i="63"/>
  <c r="O502" i="63"/>
  <c r="P501" i="63"/>
  <c r="N34" i="82" l="1"/>
  <c r="O30" i="82"/>
  <c r="O496" i="63"/>
  <c r="O497" i="63" s="1"/>
  <c r="P502" i="63"/>
  <c r="C506" i="63" s="1"/>
  <c r="O551" i="63"/>
  <c r="N552" i="63"/>
  <c r="N547" i="63"/>
  <c r="O546" i="63"/>
  <c r="O34" i="82" l="1"/>
  <c r="P30" i="82"/>
  <c r="P34" i="82" s="1"/>
  <c r="P496" i="63"/>
  <c r="P497" i="63" s="1"/>
  <c r="C505" i="63" s="1"/>
  <c r="O547" i="63"/>
  <c r="P546" i="63"/>
  <c r="O552" i="63"/>
  <c r="P551" i="63"/>
  <c r="P552" i="63" l="1"/>
  <c r="P547" i="63"/>
</calcChain>
</file>

<file path=xl/comments1.xml><?xml version="1.0" encoding="utf-8"?>
<comments xmlns="http://schemas.openxmlformats.org/spreadsheetml/2006/main">
  <authors>
    <author>cherepanov</author>
  </authors>
  <commentList>
    <comment ref="C30" authorId="0">
      <text>
        <r>
          <rPr>
            <b/>
            <sz val="9"/>
            <color indexed="81"/>
            <rFont val="Tahoma"/>
            <family val="2"/>
            <charset val="204"/>
          </rPr>
          <t>cherepanov:</t>
        </r>
        <r>
          <rPr>
            <sz val="9"/>
            <color indexed="81"/>
            <rFont val="Tahoma"/>
            <family val="2"/>
            <charset val="204"/>
          </rPr>
          <t xml:space="preserve">
сверено с фактическими данными (Фомина) </t>
        </r>
      </text>
    </comment>
  </commentList>
</comments>
</file>

<file path=xl/comments2.xml><?xml version="1.0" encoding="utf-8"?>
<comments xmlns="http://schemas.openxmlformats.org/spreadsheetml/2006/main">
  <authors>
    <author>cherepanov</author>
  </authors>
  <commentList>
    <comment ref="I61" authorId="0">
      <text>
        <r>
          <rPr>
            <b/>
            <sz val="9"/>
            <color indexed="81"/>
            <rFont val="Tahoma"/>
            <family val="2"/>
            <charset val="204"/>
          </rPr>
          <t>cherepanov:</t>
        </r>
        <r>
          <rPr>
            <sz val="9"/>
            <color indexed="81"/>
            <rFont val="Tahoma"/>
            <family val="2"/>
            <charset val="204"/>
          </rPr>
          <t xml:space="preserve">
ограничение до ключевой ставки ЦБ РФ</t>
        </r>
      </text>
    </comment>
  </commentList>
</comments>
</file>

<file path=xl/comments3.xml><?xml version="1.0" encoding="utf-8"?>
<comments xmlns="http://schemas.openxmlformats.org/spreadsheetml/2006/main">
  <authors>
    <author>cherepanovaa</author>
  </authors>
  <commentList>
    <comment ref="C16" author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comments4.xml><?xml version="1.0" encoding="utf-8"?>
<comments xmlns="http://schemas.openxmlformats.org/spreadsheetml/2006/main">
  <authors>
    <author>cherepanovaa</author>
  </authors>
  <commentList>
    <comment ref="C16" author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comments5.xml><?xml version="1.0" encoding="utf-8"?>
<comments xmlns="http://schemas.openxmlformats.org/spreadsheetml/2006/main">
  <authors>
    <author>cherepanovaa</author>
  </authors>
  <commentList>
    <comment ref="C16" author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comments6.xml><?xml version="1.0" encoding="utf-8"?>
<comments xmlns="http://schemas.openxmlformats.org/spreadsheetml/2006/main">
  <authors>
    <author>cherepanovaa</author>
  </authors>
  <commentList>
    <comment ref="D278" author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Аренда котельной Тверьэнергогаз (АП в размере амортизации 300 млн / 7 лет)</t>
        </r>
      </text>
    </comment>
    <comment ref="E278" author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Аренда котельной Тверьэнергогаз (АП в размере амортизации 300 млн / 7 лет)</t>
        </r>
      </text>
    </comment>
  </commentList>
</comments>
</file>

<file path=xl/comments7.xml><?xml version="1.0" encoding="utf-8"?>
<comments xmlns="http://schemas.openxmlformats.org/spreadsheetml/2006/main">
  <authors>
    <author>cherepanovaa</author>
  </authors>
  <commentList>
    <comment ref="C16" author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sharedStrings.xml><?xml version="1.0" encoding="utf-8"?>
<sst xmlns="http://schemas.openxmlformats.org/spreadsheetml/2006/main" count="2445" uniqueCount="733">
  <si>
    <t>4.2.</t>
  </si>
  <si>
    <t>4.3.</t>
  </si>
  <si>
    <t>4.4.</t>
  </si>
  <si>
    <t>4.5.</t>
  </si>
  <si>
    <t>Срок полезного использования, месяцев</t>
  </si>
  <si>
    <t>Инфляция, %</t>
  </si>
  <si>
    <t>Темп роста стоимости,%</t>
  </si>
  <si>
    <t>Темп роста тарифа,%</t>
  </si>
  <si>
    <t>Темп роста цены,%</t>
  </si>
  <si>
    <t>Таблица 2. Прогноз изменения цен и тарифов</t>
  </si>
  <si>
    <t xml:space="preserve">Таблица 3. Инвестиционный бюджет </t>
  </si>
  <si>
    <t>Налог на имущество, тыс.руб. (по ставке 2,2% с учетом налоговых льгот)</t>
  </si>
  <si>
    <t>Таблица 1. Расчет нагрузок и объемов выработки  тепловой энергии</t>
  </si>
  <si>
    <t>Возврат НДС, тыс. руб.</t>
  </si>
  <si>
    <t>Наименование</t>
  </si>
  <si>
    <t>тыс. руб.</t>
  </si>
  <si>
    <t>тыс. Гкал</t>
  </si>
  <si>
    <t>Электрическая энергия</t>
  </si>
  <si>
    <t>КИУМ</t>
  </si>
  <si>
    <t>23.</t>
  </si>
  <si>
    <t>24.</t>
  </si>
  <si>
    <t>1 полугодие, Гкал</t>
  </si>
  <si>
    <t>2 полугодие, Гкал</t>
  </si>
  <si>
    <t>Налог на прибыль, тыс. руб.</t>
  </si>
  <si>
    <t>Чистая прибыль</t>
  </si>
  <si>
    <t>Амортизация</t>
  </si>
  <si>
    <t>Инвестиции</t>
  </si>
  <si>
    <t>Фактор дисконтирования</t>
  </si>
  <si>
    <t>Инфляция</t>
  </si>
  <si>
    <t>%</t>
  </si>
  <si>
    <t>руб./Гкал</t>
  </si>
  <si>
    <t>МВт</t>
  </si>
  <si>
    <t>Гкал/ч</t>
  </si>
  <si>
    <t>руб./МВт</t>
  </si>
  <si>
    <t>Налог на имущество</t>
  </si>
  <si>
    <t>Присоединенная нагрузка</t>
  </si>
  <si>
    <t>Выручка от продажи тепловой энергии</t>
  </si>
  <si>
    <t>тыс. м3</t>
  </si>
  <si>
    <t>Отчисления на социальные нужды</t>
  </si>
  <si>
    <t>12.3.</t>
  </si>
  <si>
    <t>12.4.</t>
  </si>
  <si>
    <t>Коэффициент перевода в натуральное топливо</t>
  </si>
  <si>
    <t>Таблица 4. Расчет инвестиционной составляющей (арендная плата)</t>
  </si>
  <si>
    <t>Кредитные средства</t>
  </si>
  <si>
    <t>Срок погашения, лет</t>
  </si>
  <si>
    <t>Остаток кредита к погашению</t>
  </si>
  <si>
    <t>проценты за пользование кредитом</t>
  </si>
  <si>
    <t>4.1.</t>
  </si>
  <si>
    <t>12.1.</t>
  </si>
  <si>
    <t>12.2.</t>
  </si>
  <si>
    <t>18.1.</t>
  </si>
  <si>
    <t>18.2.</t>
  </si>
  <si>
    <t>накопленная инфляция,%</t>
  </si>
  <si>
    <t>1.1.</t>
  </si>
  <si>
    <t>1 год</t>
  </si>
  <si>
    <t>2 год</t>
  </si>
  <si>
    <t>3 год</t>
  </si>
  <si>
    <t>4 год</t>
  </si>
  <si>
    <t>5 год</t>
  </si>
  <si>
    <t>6 год</t>
  </si>
  <si>
    <t>7 год</t>
  </si>
  <si>
    <t>8 год</t>
  </si>
  <si>
    <t>9 год</t>
  </si>
  <si>
    <t>10 год</t>
  </si>
  <si>
    <t>11 год</t>
  </si>
  <si>
    <t>12 год</t>
  </si>
  <si>
    <t>1.2.</t>
  </si>
  <si>
    <t>2.1.</t>
  </si>
  <si>
    <t>2.2.</t>
  </si>
  <si>
    <t>2.3.</t>
  </si>
  <si>
    <t>3.1.</t>
  </si>
  <si>
    <t>3.2.</t>
  </si>
  <si>
    <t>себестоимость производства т/э с учетом инвестиционных расходов, руб./Гкал</t>
  </si>
  <si>
    <t>22.1.</t>
  </si>
  <si>
    <t>22.2.</t>
  </si>
  <si>
    <t>темп роста себестоимости производства и передачи т/э, %</t>
  </si>
  <si>
    <t>Таблица 1. Расчет нагрузок и объемов выработки  тепловой (электрической) энергии</t>
  </si>
  <si>
    <t>Отпуск тепловой  энергии в сеть, Гкал</t>
  </si>
  <si>
    <t>темп роста себестоимости производства э/э, %</t>
  </si>
  <si>
    <t>43.1.</t>
  </si>
  <si>
    <t>43.2.</t>
  </si>
  <si>
    <t>43.3.</t>
  </si>
  <si>
    <t>Ед. изм.</t>
  </si>
  <si>
    <t>Дефляторы</t>
  </si>
  <si>
    <t>Рост тарифов на т/э</t>
  </si>
  <si>
    <t>Рост тарифов на газ</t>
  </si>
  <si>
    <t>Рост тарифов на э/э (розница)</t>
  </si>
  <si>
    <t>Рост тарифов на э/э (опт)</t>
  </si>
  <si>
    <t>лет</t>
  </si>
  <si>
    <t>млн. руб.</t>
  </si>
  <si>
    <t>ИНВЕСТИЦИИ ВСЕГО</t>
  </si>
  <si>
    <t>План производства</t>
  </si>
  <si>
    <t>Полезный отпуск тепловой энергии</t>
  </si>
  <si>
    <t>Отпуск тепла с коллекторов</t>
  </si>
  <si>
    <t>Присоединенные электрические нагрузки</t>
  </si>
  <si>
    <t>Полезный отпуск электрической энергии</t>
  </si>
  <si>
    <t>млн. кВтч</t>
  </si>
  <si>
    <t>Отпуск электрической энергии</t>
  </si>
  <si>
    <t>Выработка электрической энергии</t>
  </si>
  <si>
    <t>Тарифы</t>
  </si>
  <si>
    <t>руб./кВт*ч</t>
  </si>
  <si>
    <t>газ (натуральное топливо)</t>
  </si>
  <si>
    <t>руб/тыс. м3</t>
  </si>
  <si>
    <t>газ (условное топливо)</t>
  </si>
  <si>
    <t>руб/т у.т.</t>
  </si>
  <si>
    <t>водоснабжение</t>
  </si>
  <si>
    <t>руб/м3</t>
  </si>
  <si>
    <t>водоотведение</t>
  </si>
  <si>
    <t>Тарифы продажи э/э</t>
  </si>
  <si>
    <t>Суммарная установленная мощность</t>
  </si>
  <si>
    <t>Суммарная установленная электрическая мощность</t>
  </si>
  <si>
    <t>План доходов</t>
  </si>
  <si>
    <t>Объем</t>
  </si>
  <si>
    <t>Выручка</t>
  </si>
  <si>
    <t>План затрат</t>
  </si>
  <si>
    <t>Расход топлива</t>
  </si>
  <si>
    <t>Удельный расход условного топлива на отпуск (э/э)</t>
  </si>
  <si>
    <t>г.у.т./кВтч</t>
  </si>
  <si>
    <t>Удельный расход условного топлива на отпуск (тепло)</t>
  </si>
  <si>
    <t>кг.у.т./Гкал</t>
  </si>
  <si>
    <t>Затраты на топливо</t>
  </si>
  <si>
    <t>Оплата труда</t>
  </si>
  <si>
    <t>Заработная плата</t>
  </si>
  <si>
    <t>Страховые взносы</t>
  </si>
  <si>
    <t>Затраты на оплату труда</t>
  </si>
  <si>
    <t>Водоснабжение/водоотведение</t>
  </si>
  <si>
    <t>Прочие расходы</t>
  </si>
  <si>
    <t>Аренда имущества</t>
  </si>
  <si>
    <t xml:space="preserve">Выручка от реализации </t>
  </si>
  <si>
    <t>Затраты</t>
  </si>
  <si>
    <t>EBITDA</t>
  </si>
  <si>
    <t xml:space="preserve">Прибыль (убыток) до налогообложения </t>
  </si>
  <si>
    <t>Налог на прибыль</t>
  </si>
  <si>
    <t>Чистый денежный поток и экономическая эффективность</t>
  </si>
  <si>
    <t>Чистый денежный поток</t>
  </si>
  <si>
    <t>Накопленным итогом</t>
  </si>
  <si>
    <t>Приведенная стоимость</t>
  </si>
  <si>
    <t>Приведенный денежный поток (NPV)</t>
  </si>
  <si>
    <t>Простой срок окупаемости (PP)</t>
  </si>
  <si>
    <t>Дисконтированный срок окупаемости (DPB)</t>
  </si>
  <si>
    <t>Внутренняя норма доходности (IRR)</t>
  </si>
  <si>
    <t>присоединения</t>
  </si>
  <si>
    <t>План инвестиций /без НДС/</t>
  </si>
  <si>
    <t>тыс.  руб.</t>
  </si>
  <si>
    <t>Суммарно (справочно) с НДС</t>
  </si>
  <si>
    <t>тариф на тепло (среднегодовой)для населения</t>
  </si>
  <si>
    <t>Объем потребления натурального топлива</t>
  </si>
  <si>
    <t>Котельная ХБК</t>
  </si>
  <si>
    <t>Котельная УПК</t>
  </si>
  <si>
    <t>Котельная Керамический завод</t>
  </si>
  <si>
    <t>Котельная Сахаровское шоссе, 16</t>
  </si>
  <si>
    <t>ТЭЦ 1</t>
  </si>
  <si>
    <t>на природный газ, МВтч</t>
  </si>
  <si>
    <t>в том числе на нужды котельных, млн. кВтч</t>
  </si>
  <si>
    <t>себестоимость производства э/э с учетом инвестиционных расходов, руб./квтч</t>
  </si>
  <si>
    <t>цена тепловой энергии из т\сети , руб./Гкал</t>
  </si>
  <si>
    <t>44.1.</t>
  </si>
  <si>
    <t xml:space="preserve">ОПЕРАЦИОННЫЕ РАСХОДЫ (ПОДКОНТРОЛЬНЫЕ) </t>
  </si>
  <si>
    <t>44.2.</t>
  </si>
  <si>
    <t>НЕПОДКОНТРОЛЬНЫЕ РАСХОДЫ</t>
  </si>
  <si>
    <t>44.3.</t>
  </si>
  <si>
    <t>топливо</t>
  </si>
  <si>
    <t>э/энергия</t>
  </si>
  <si>
    <t>вода</t>
  </si>
  <si>
    <t>покупка т/энергии</t>
  </si>
  <si>
    <t>Установленная суммарная электрическая мощность энергоцентров, МВт</t>
  </si>
  <si>
    <t>то же, % от установленной мощности</t>
  </si>
  <si>
    <t>Объем выработки э/энергии, млн. кВт ч в т.ч.:</t>
  </si>
  <si>
    <t>Собственные нужды, млн. кВтч</t>
  </si>
  <si>
    <t>Прочие нужды (хозяйственные нужды ТЭЦ, производственные нужды ВК-2 на шинах ТЭЦ, потери в пристанционных сетях), млн. кВтч</t>
  </si>
  <si>
    <t>Отпуск электрической  энергии в сеть (сальдо-переток), млн. кВтч</t>
  </si>
  <si>
    <t>6.1.</t>
  </si>
  <si>
    <t>6.2.</t>
  </si>
  <si>
    <t>Собственные нужды ТЭЦ и ограничения системного оператора, МВт</t>
  </si>
  <si>
    <t>Собственное энергопотребление, % от выработки</t>
  </si>
  <si>
    <t>7.1.</t>
  </si>
  <si>
    <t>Отпуск т/энергии с коллекторов, тыс. Гкал</t>
  </si>
  <si>
    <t>8.1.</t>
  </si>
  <si>
    <t>Хозяйственные нужды, тыс. Гкал</t>
  </si>
  <si>
    <t>то же, % от отпуска</t>
  </si>
  <si>
    <t>8.2.</t>
  </si>
  <si>
    <t>всего расход натурального топлива на производство э/э, тыс. м3</t>
  </si>
  <si>
    <t>всего расход натурального топлива на производство т/э, тыс. м3</t>
  </si>
  <si>
    <t>Расход натурального топлива (природный газ), тыс. м3, в т.ч.</t>
  </si>
  <si>
    <r>
      <t xml:space="preserve">Цена покупки топлива </t>
    </r>
    <r>
      <rPr>
        <i/>
        <sz val="8"/>
        <rFont val="Arial"/>
        <family val="2"/>
        <charset val="204"/>
      </rPr>
      <t>(природный газ, группа потребления 3 - от 10 до 100 млн нм куб.), руб./тыс.м3 без НДС</t>
    </r>
  </si>
  <si>
    <t>Тариф на т/э для потребителей с коллекторов, руб./Гкал</t>
  </si>
  <si>
    <t>Амортизация в год, тыс. руб.</t>
  </si>
  <si>
    <t>Первоначальная стоимость на начало периода, тыс. руб.</t>
  </si>
  <si>
    <t>Остаточная стоимость на конец периода, тыс. руб.</t>
  </si>
  <si>
    <t>То же, в %</t>
  </si>
  <si>
    <t>Износ ("накопленная" амортизация) на начало периода</t>
  </si>
  <si>
    <t>Ввод/выбытие основных фондов в течение периода, тыс. руб.</t>
  </si>
  <si>
    <t>цена продажи э/э (мощность) тыс. руб./МВт в месяц</t>
  </si>
  <si>
    <t>Выручка от продажи электрической энергии</t>
  </si>
  <si>
    <t>Выручка от продажи электрической мощности</t>
  </si>
  <si>
    <t>43.4.</t>
  </si>
  <si>
    <t>Расходы на приобретение сырья и материалов</t>
  </si>
  <si>
    <t>Расходы на оплату труда</t>
  </si>
  <si>
    <t>Расходы на оплату работ и услуг производственного характера, выполняемых по договорам со сторонними организациями</t>
  </si>
  <si>
    <t>Расходы на оплату иных работ и услуг, выполняемых по договорам с организациями</t>
  </si>
  <si>
    <t>Плата за землю</t>
  </si>
  <si>
    <t>Проценты за кредит</t>
  </si>
  <si>
    <t>Расходы на оплату услуг, оказываемых организациями, осуществляющими регулируемые виды деятельности</t>
  </si>
  <si>
    <t>Прочие налоги и иные обязательные платежи</t>
  </si>
  <si>
    <t>6.3.</t>
  </si>
  <si>
    <t>по водогрейным котлам ТЭЦ</t>
  </si>
  <si>
    <t>по водогрейным котлам котельной ВК-2</t>
  </si>
  <si>
    <t>8.3.</t>
  </si>
  <si>
    <t>8.4.</t>
  </si>
  <si>
    <t>Отпуск т/энергии с коллекторов ТЭЦ</t>
  </si>
  <si>
    <t>Отпуск т/энергии с коллекторов котельной ВК-2</t>
  </si>
  <si>
    <t>Удельный расход условного топлива на производство т/э (котельная ВК-2), кг/Гкал</t>
  </si>
  <si>
    <t>Удельный расход натурального топлива на производство т/э (котельная ВК-2), нм куб./Гкал</t>
  </si>
  <si>
    <t>по турбоагрегатам ТЭЦ:</t>
  </si>
  <si>
    <t>в воде</t>
  </si>
  <si>
    <t>в паре</t>
  </si>
  <si>
    <t>6.4.</t>
  </si>
  <si>
    <t>по РОУ энергетических котлов ТЭЦ</t>
  </si>
  <si>
    <t>6.5.</t>
  </si>
  <si>
    <t>(справочно) располагаемая тепловая мощность ТЭЦ (с учетом технических ограничений)</t>
  </si>
  <si>
    <t>Коэффициент использования установленной тепловой мощности в воде, %</t>
  </si>
  <si>
    <t>7.2.</t>
  </si>
  <si>
    <t>Коэффициент использования располагаемой тепловой мощности в воде, %</t>
  </si>
  <si>
    <t>7.3.</t>
  </si>
  <si>
    <t>Предельный размер денежных средств на оплату инвестиций, тыс. руб. (EBITDA)</t>
  </si>
  <si>
    <t>Совокупный расчетный размер инвестиций, тыс. руб.</t>
  </si>
  <si>
    <t>Задолженность по оплате инвестиций (накопленная), тыс. руб.</t>
  </si>
  <si>
    <t>Оплата инвестиций, тыс. руб.</t>
  </si>
  <si>
    <t>Погашение задолженности по оплате инвестиций, тыс. руб.</t>
  </si>
  <si>
    <t>Налогооблагаемая прибыль, тыс. руб.</t>
  </si>
  <si>
    <t>Денежный поток  по операционной деятельности, тыс. руб.</t>
  </si>
  <si>
    <t>Суммарная выручка от продажи тепловой и электрической энергии, тыс. руб. без НДС, в т.ч.</t>
  </si>
  <si>
    <t>Совокупные затраты на производство  тепловой и электрической энергии, тыс. руб. без НДС в т.ч.</t>
  </si>
  <si>
    <t>Затраты на производство  тепловой энергии, тыс. руб. без НДС, в т.ч.:</t>
  </si>
  <si>
    <t>Расходы на энергоресурсы</t>
  </si>
  <si>
    <t>Расходы на энергоресурсы:</t>
  </si>
  <si>
    <t>Расход условного топлива (тыс. т у т), в том числе:</t>
  </si>
  <si>
    <t>на производство э/э</t>
  </si>
  <si>
    <t>на производство т/э</t>
  </si>
  <si>
    <t>Доля расхода условного топлива на производство т/э</t>
  </si>
  <si>
    <t>Затраты на производство  электрической энергии (мощности), тыс. руб. без НДС, в т.ч.:</t>
  </si>
  <si>
    <t>Присоединенная электрическая нагрузка, МВт</t>
  </si>
  <si>
    <t>Удельный расход условного топлива на производство э/э (физический метод, переходный период 2017-2019 г.г.), г/кВт ч</t>
  </si>
  <si>
    <t>Удельный расход натурального топлива на производство э/э (физический метод, переходный период 2017-2019 г.г.), нм куб./кВт ч</t>
  </si>
  <si>
    <t>Удельный расход условного топлива на производство т/э (физический метод, переходный период 2017-2019 г.г.), кг/Гкал</t>
  </si>
  <si>
    <t>Удельный расход натурального топлива на производство т/э (физический метод, переходный период 2017-2019 г.г.), нм куб./Гкал</t>
  </si>
  <si>
    <t>тариф на тепло (среднегодовой)с коллекторов</t>
  </si>
  <si>
    <t>э/э (энергия)</t>
  </si>
  <si>
    <t>э/э (мощность)</t>
  </si>
  <si>
    <t>руб./МВтч</t>
  </si>
  <si>
    <t>себестоимость э/э (энергия)</t>
  </si>
  <si>
    <t>на собственные нужды станции</t>
  </si>
  <si>
    <t>на нужды котельной</t>
  </si>
  <si>
    <t>План прибылей и убытков ООО Тверская генерация</t>
  </si>
  <si>
    <t>Денежный поток Инвестора</t>
  </si>
  <si>
    <t>э/э средняя цена</t>
  </si>
  <si>
    <t>период окупаемости (РВ)</t>
  </si>
  <si>
    <t>Всего затраты на производство э/э</t>
  </si>
  <si>
    <t>Себестоимость производства э/э</t>
  </si>
  <si>
    <t>руб./кВтч</t>
  </si>
  <si>
    <t>Прибыль (убыток)</t>
  </si>
  <si>
    <t>Предстоящие инвестиции ТЭЦ 1</t>
  </si>
  <si>
    <t>Предстоящие инвестиции ТЭЦ 3</t>
  </si>
  <si>
    <t>Цена ЭЭ на розничном рынке</t>
  </si>
  <si>
    <t>руб./КкВтч</t>
  </si>
  <si>
    <t>тариф на передачу ТЭ  (среднегодовой)</t>
  </si>
  <si>
    <t>себестоимость передачи т/э, руб./Гкал</t>
  </si>
  <si>
    <t>Предстоящие инвестиции Котельные</t>
  </si>
  <si>
    <t>Предстоящие инвестиции т/сети</t>
  </si>
  <si>
    <t>Выручка от продажи теплоносителя</t>
  </si>
  <si>
    <t>Выручка от прочих нерегулируемых видов деятельности (аренда, конденсат)</t>
  </si>
  <si>
    <t>удельный вес затрат на топливо в структуре расходов</t>
  </si>
  <si>
    <t>руб./чел.</t>
  </si>
  <si>
    <t>теплоноситель</t>
  </si>
  <si>
    <t>Тепловая энергия ТЭЦ 3</t>
  </si>
  <si>
    <t>Тепловая энергия ТЭЦ 4</t>
  </si>
  <si>
    <t>Тепловая энергия СВОД (генерация ТЭ ООО ТГ)</t>
  </si>
  <si>
    <t>Полезный отпуск тепловой энергии в сеть</t>
  </si>
  <si>
    <t>Электрическая энергия ТЭЦ 1</t>
  </si>
  <si>
    <t>Электрическая энергия ТЭЦ 3</t>
  </si>
  <si>
    <t>Электрическая энергия ТЭЦ 4</t>
  </si>
  <si>
    <t>Электрическая энергия СВОД</t>
  </si>
  <si>
    <t>Реализация тепловой энергии ТЭЦ 1</t>
  </si>
  <si>
    <t>Реализация электрической энергии ТЭЦ 1</t>
  </si>
  <si>
    <t>Реализация электрической энергии ТЭЦ 3</t>
  </si>
  <si>
    <t>Реализация тепловой энергии ТЭЦ 3</t>
  </si>
  <si>
    <t>Реализация тепловой энергии ТЭЦ 4</t>
  </si>
  <si>
    <t>Реализация тепловой энергии Котельные</t>
  </si>
  <si>
    <t>Реализация электрической энергии ТЭЦ 4</t>
  </si>
  <si>
    <t>Итого выручка ТЭЦ 1</t>
  </si>
  <si>
    <t>Реализация электрической энергии СВОД</t>
  </si>
  <si>
    <t>Итого выручка от прочих видов деятельности</t>
  </si>
  <si>
    <t>Итого выручка ТЭЦ 3</t>
  </si>
  <si>
    <t>Итого выручка ТЭЦ 4</t>
  </si>
  <si>
    <t>Итого выручка Котельные</t>
  </si>
  <si>
    <t>в % к суммарной выручке</t>
  </si>
  <si>
    <t>Оплата труда ТЭЦ 1</t>
  </si>
  <si>
    <t>Расход топлива ТЭЦ 3</t>
  </si>
  <si>
    <t>Полезный отпуск тепловой энергии потребителям</t>
  </si>
  <si>
    <t>Расход э/энергии на производственные нужды, млн. кВт ч:</t>
  </si>
  <si>
    <t>Расчет нагрузок и объемов выработки теплоносителя</t>
  </si>
  <si>
    <t>тыс. тн</t>
  </si>
  <si>
    <t>Производство (отпуск в сеть) теплоносителя, тыс. тн</t>
  </si>
  <si>
    <t>Тверская ТЭЦ-3</t>
  </si>
  <si>
    <t>Тверская ТЭЦ-4</t>
  </si>
  <si>
    <t>Покупка теплоносителя от сторонних источников</t>
  </si>
  <si>
    <t>Потери теплоносителя (сетевой воды) при передаче, тыс. тн</t>
  </si>
  <si>
    <t>нормативные</t>
  </si>
  <si>
    <t>сверхнормативные</t>
  </si>
  <si>
    <t>Полезный отпуск теплоносителя потребителям в рамках услуги ГВС по открытой схеме, тыс. тн</t>
  </si>
  <si>
    <t>Потери тепловой энергии при передаче, тыс. Гкал</t>
  </si>
  <si>
    <t>то же, в % от отпуска в сеть</t>
  </si>
  <si>
    <t xml:space="preserve">Передача тепловой энергии  </t>
  </si>
  <si>
    <t>Расход топлива ТЭЦ 4</t>
  </si>
  <si>
    <t>Расход топлива Котельные</t>
  </si>
  <si>
    <t>Расход топлива ВСЕГО</t>
  </si>
  <si>
    <t>Оплата труда ТЭЦ 3</t>
  </si>
  <si>
    <t>Оплата труда ТЭЦ 4</t>
  </si>
  <si>
    <t>Оплата труда Котельные</t>
  </si>
  <si>
    <t>Оплата труда ВСЕГО</t>
  </si>
  <si>
    <t>Водоснабжение/водоотведение ТЭЦ 1</t>
  </si>
  <si>
    <t>Водоснабжение/водоотведение ТЭЦ 3</t>
  </si>
  <si>
    <t>Водоснабжение/водоотведение ТЭЦ 4</t>
  </si>
  <si>
    <t>Водоснабжение/водоотведение Котельные</t>
  </si>
  <si>
    <t>Водоснабжение/водоотведение ВСЕГО</t>
  </si>
  <si>
    <t>Прочие расходы ТЭЦ 1</t>
  </si>
  <si>
    <t>Всего затраты ТЭЦ 1</t>
  </si>
  <si>
    <t>Прочие расходы ТЭЦ 3</t>
  </si>
  <si>
    <t>Прочие расходы ТЭЦ 4</t>
  </si>
  <si>
    <t>Прочие расходы Котельные</t>
  </si>
  <si>
    <t>Прочие расходы ВСЕГО</t>
  </si>
  <si>
    <t>Э/энергия ТЭЦ 3</t>
  </si>
  <si>
    <t>Э/энергия ТЭЦ 4</t>
  </si>
  <si>
    <t>Э\энергия Котельные</t>
  </si>
  <si>
    <t>Э\энергия ВСЕГО</t>
  </si>
  <si>
    <t>Амортизация ТЭЦ 1</t>
  </si>
  <si>
    <t>Амортизация ТЭЦ 3</t>
  </si>
  <si>
    <t>Амортизация ТЭЦ 4</t>
  </si>
  <si>
    <t>Амортизация Котельные</t>
  </si>
  <si>
    <t>Амортизация ВСЕГО</t>
  </si>
  <si>
    <t>Затраты ВСЕГО</t>
  </si>
  <si>
    <t>покупка т/энергии Котельные</t>
  </si>
  <si>
    <t>аренда ТЭЦ 1</t>
  </si>
  <si>
    <t>аренда ТЭЦ 3</t>
  </si>
  <si>
    <t>аренда ТЭЦ 4</t>
  </si>
  <si>
    <t>аренда Котельные</t>
  </si>
  <si>
    <t>Налог на имущество ТЭЦ 1</t>
  </si>
  <si>
    <t>Налог на имущество ТЭЦ 3</t>
  </si>
  <si>
    <t>Налог на имущество ТЭЦ 4</t>
  </si>
  <si>
    <t>Налог на имущество Котельные</t>
  </si>
  <si>
    <t>Проценты по кредитам ТЭЦ 1</t>
  </si>
  <si>
    <t>Проценты по кредитам ТЭЦ 3</t>
  </si>
  <si>
    <t>Проценты по кредитам ТЭЦ 4</t>
  </si>
  <si>
    <t>Проценты по кредитам Котельные</t>
  </si>
  <si>
    <t>Расход топлива ТЭЦ 1</t>
  </si>
  <si>
    <t>ТЭЦ</t>
  </si>
  <si>
    <t>Отпуск т/энергии с коллекторов ТЭЦ (базовая величина)</t>
  </si>
  <si>
    <t>снижение в результате снижения сетевых потерь при реализации инвестпрограммы</t>
  </si>
  <si>
    <t>рост в результате подключения новых потребителей</t>
  </si>
  <si>
    <t>Тариф на теплоноситель</t>
  </si>
  <si>
    <t>Расчетный размер аренды, тыс.руб. без НДС</t>
  </si>
  <si>
    <t>Суммарная выручка, тыс. руб. без НДС, в т.ч.</t>
  </si>
  <si>
    <t>43.5.</t>
  </si>
  <si>
    <t xml:space="preserve">Расходы на ремонт основных средств </t>
  </si>
  <si>
    <t>Финансовый результат по производству  э/энергии (мощности), тыс. руб.</t>
  </si>
  <si>
    <t>Финансовый результат по производству  т/энергии, тыс. руб.</t>
  </si>
  <si>
    <t>Финансовый результат, общий, тыс. руб.</t>
  </si>
  <si>
    <t>Установленная тепловая мощность, Гкал/ч, в том числе:</t>
  </si>
  <si>
    <t>по водогрейным котлам котельных:</t>
  </si>
  <si>
    <t>водогрейная котельная № 1</t>
  </si>
  <si>
    <t>водогрейная котельная № 2 (учтена в составе ТЭЦ-1, т. к. подключена к э/шинам станции)</t>
  </si>
  <si>
    <t>котельный цех</t>
  </si>
  <si>
    <t>котельная Большие Перемерки</t>
  </si>
  <si>
    <t>Присоединенная тепловая нагрузка, Гкалч</t>
  </si>
  <si>
    <t>водогрейная котельная № 1 (базовая величина)</t>
  </si>
  <si>
    <t>котельный цех (базовая величина)</t>
  </si>
  <si>
    <t>8.5.</t>
  </si>
  <si>
    <t>Покупная тепловая энергия с коллекторов котельных</t>
  </si>
  <si>
    <t>расход натурального топлива на производство т/э, тыс. м3</t>
  </si>
  <si>
    <t>Удельный расход условного топлива на производство т/э, кг/Гкал</t>
  </si>
  <si>
    <t>Удельный расход натурального топлива на производство т/э, нм куб./Гкал</t>
  </si>
  <si>
    <t>водогрейная котельная № 1:</t>
  </si>
  <si>
    <t>базовая величина ПН</t>
  </si>
  <si>
    <t>котельная ВНИИСВ</t>
  </si>
  <si>
    <t>себестоимость производства т/э, руб./Гкал</t>
  </si>
  <si>
    <t>цена тепловой энергии с коллекторов, руб./Гкал</t>
  </si>
  <si>
    <t>Таблица 5. Расчет денежного потока</t>
  </si>
  <si>
    <t>Совокупные затраты на производство  тепловой энергии, тыс. руб. без НДС в т.ч.</t>
  </si>
  <si>
    <t>Отпуск т/энергии в сеть, тыс. Гкал</t>
  </si>
  <si>
    <t>от ТЭЦ, в том числе:</t>
  </si>
  <si>
    <t>Тверская ТЭЦ-1</t>
  </si>
  <si>
    <t>покупная тепловая энергия от котельных</t>
  </si>
  <si>
    <t>Хозяйственные нужды (ЦТП), тыс. Гкал</t>
  </si>
  <si>
    <t>Изменение потерь тепловой энергии после реализации инвестпроектов, тыс. Гкал, всего:</t>
  </si>
  <si>
    <t>Полезный отпуск тепловой энергии потребителям, тыс. Гкал</t>
  </si>
  <si>
    <t>Таблица 1.1. Расчет нагрузок и объемов выработки теплоносителя</t>
  </si>
  <si>
    <t>Изменение потерь теплоносителя после реализации инвестпроектов, всего:</t>
  </si>
  <si>
    <t>Совокупные затраты на передачу  тепловой энергии, тыс. руб. без НДС в т.ч.</t>
  </si>
  <si>
    <t>Финансовый результат, передача т/э, тыс. руб.</t>
  </si>
  <si>
    <t>Котельные (включая покупную энергию)</t>
  </si>
  <si>
    <t>Тепловые сети (передача т/э и т/н)</t>
  </si>
  <si>
    <t>Выручка от продажи тепловой энергии и теплоносителя</t>
  </si>
  <si>
    <t>Присоединенная тепловая нагрузка (согласно схеме теплоснабжения), Гкалч</t>
  </si>
  <si>
    <t>базовая величина СН</t>
  </si>
  <si>
    <t>Отпуск т/энергии с коллекторов ТЭЦ-1 (базовая величина)</t>
  </si>
  <si>
    <t xml:space="preserve">Отпуск т/энергии с коллекторов ТЭЦ-1 </t>
  </si>
  <si>
    <t>Отпуск т/энергии с коллекторов котельной ВК-2 (базовая величина)</t>
  </si>
  <si>
    <t>Базовый удельный расход</t>
  </si>
  <si>
    <t>Среднегодовой тариф на т/э для потребителей из сети, руб./Гкал</t>
  </si>
  <si>
    <t>Затраты на прочие виды деятельности, тыс. руб. без НДС, в т.ч.:</t>
  </si>
  <si>
    <t>Финансовый результат по прочим видам деятельности, тыс. руб.</t>
  </si>
  <si>
    <t xml:space="preserve">Котельные </t>
  </si>
  <si>
    <t>Стоимость строительства, ввод ОС по годам, млн. руб. без НДС, в т.ч.</t>
  </si>
  <si>
    <t>Прирост тепловой нагрузки ТЭЦ-1 согласно схеме теплоснабжения</t>
  </si>
  <si>
    <t>Прирост тепловой нагрузки ВК-2 согласно схеме теплоснабжения</t>
  </si>
  <si>
    <t>Присоединенная тепловая нагрузка ТЭЦ-1 (базовая величина)</t>
  </si>
  <si>
    <t>Присоединенная тепловая нагрузка ВК-2 (базовая величина)</t>
  </si>
  <si>
    <t>по водогрейным котлам котельных (базовая величина):</t>
  </si>
  <si>
    <t>котельная "ТКСМ-2"</t>
  </si>
  <si>
    <t>котельная "Лазурная"</t>
  </si>
  <si>
    <t>по покупной тепловой энергии (базовая величина):</t>
  </si>
  <si>
    <t>котельная ВНИИСВ (базовая величина)</t>
  </si>
  <si>
    <t>Приложение 6 Тепловые сети</t>
  </si>
  <si>
    <t>Предстоящие инвестиции ТЭЦ 4</t>
  </si>
  <si>
    <t>Отпуск тепла в сеть</t>
  </si>
  <si>
    <t>полезный отпуск на ОРЭМ (выработка)</t>
  </si>
  <si>
    <t xml:space="preserve">Итого выручка ООО Тверская генерация </t>
  </si>
  <si>
    <t>в том числе:</t>
  </si>
  <si>
    <t>от производства ЭЭ (ЭМ)</t>
  </si>
  <si>
    <t>от производства (отпуска с коллекторов) ТЭ и ТН</t>
  </si>
  <si>
    <t>от передачи ТЭ и ТН</t>
  </si>
  <si>
    <t>Выручка от продажи воды и теплоносителя в рамках услуги ГВС по закрытой схеме</t>
  </si>
  <si>
    <t>Итого выручка ООО Тверская генерация (источники), в т.ч.</t>
  </si>
  <si>
    <t>Оплата труда Сети</t>
  </si>
  <si>
    <t>снижение ремонтов при выполнении ИП</t>
  </si>
  <si>
    <t>Водоснабжение/водоотведение Сети</t>
  </si>
  <si>
    <t>Э/энергия ТЭЦ1</t>
  </si>
  <si>
    <t>Э\энергия Сети</t>
  </si>
  <si>
    <t>Амортизация Сети</t>
  </si>
  <si>
    <t>Всего затраты ТЭЦ 3</t>
  </si>
  <si>
    <t>Всего затраты ТЭЦ 4</t>
  </si>
  <si>
    <t>Всего затраты Котельные</t>
  </si>
  <si>
    <t>Всего затраты Сети</t>
  </si>
  <si>
    <t>Прочие расходы Сети</t>
  </si>
  <si>
    <t>Доля расхода условного топлива на производство ээ</t>
  </si>
  <si>
    <t>Себестоимость производства и передачи т/э</t>
  </si>
  <si>
    <t>Всего затраты на производство и передачу т/э</t>
  </si>
  <si>
    <t>Тепловая энергия и теплоноситель</t>
  </si>
  <si>
    <t>аренда Сети</t>
  </si>
  <si>
    <t>Налог на имущество Сети</t>
  </si>
  <si>
    <t>ГТУ-ТЭЦ</t>
  </si>
  <si>
    <t>Котельная</t>
  </si>
  <si>
    <t xml:space="preserve">по покупной тепловой энергии </t>
  </si>
  <si>
    <t>2018 (база)</t>
  </si>
  <si>
    <t>2017 (факт)</t>
  </si>
  <si>
    <t>Приложение 1 Тверская ТЭЦ-1</t>
  </si>
  <si>
    <t>Расходы на ремонт основных средств</t>
  </si>
  <si>
    <r>
      <t xml:space="preserve">(справочно) </t>
    </r>
    <r>
      <rPr>
        <i/>
        <u/>
        <sz val="8"/>
        <color rgb="FF7030A0"/>
        <rFont val="Arial"/>
        <family val="2"/>
        <charset val="204"/>
      </rPr>
      <t>фактическая</t>
    </r>
    <r>
      <rPr>
        <i/>
        <sz val="8"/>
        <color rgb="FF7030A0"/>
        <rFont val="Arial"/>
        <family val="2"/>
        <charset val="204"/>
      </rPr>
      <t xml:space="preserve">  тепловая нагрузка ВК-2</t>
    </r>
  </si>
  <si>
    <r>
      <t xml:space="preserve">(справочно) </t>
    </r>
    <r>
      <rPr>
        <i/>
        <u/>
        <sz val="8"/>
        <color rgb="FF7030A0"/>
        <rFont val="Arial"/>
        <family val="2"/>
        <charset val="204"/>
      </rPr>
      <t>фактическая</t>
    </r>
    <r>
      <rPr>
        <i/>
        <sz val="8"/>
        <color rgb="FF7030A0"/>
        <rFont val="Arial"/>
        <family val="2"/>
        <charset val="204"/>
      </rPr>
      <t xml:space="preserve"> т/нагрузка ТЭЦ-1 (исходя из среднего факт. отпуска с коллекторов в самом холодном месяце за 2015-2017 г.г.)</t>
    </r>
  </si>
  <si>
    <t>(справочно) Фактический коэффициент использования располагаемой тепловой мощности в воде, %</t>
  </si>
  <si>
    <t>ЧЧИ</t>
  </si>
  <si>
    <t>цена продажи э/э (энергия ) руб./МВт ч</t>
  </si>
  <si>
    <t>EBITDAee</t>
  </si>
  <si>
    <t>EBITDAte</t>
  </si>
  <si>
    <t>EBITDAsum</t>
  </si>
  <si>
    <t>Установленная тепловая мощность, Гкал/ч</t>
  </si>
  <si>
    <t>Приложение 1 Тверская ТЭЦ-3</t>
  </si>
  <si>
    <t xml:space="preserve">по водогрейным котлам котельной </t>
  </si>
  <si>
    <r>
      <t xml:space="preserve">(справочно) </t>
    </r>
    <r>
      <rPr>
        <i/>
        <u/>
        <sz val="8"/>
        <color rgb="FF7030A0"/>
        <rFont val="Arial"/>
        <family val="2"/>
        <charset val="204"/>
      </rPr>
      <t>фактическая</t>
    </r>
    <r>
      <rPr>
        <i/>
        <sz val="8"/>
        <color rgb="FF7030A0"/>
        <rFont val="Arial"/>
        <family val="2"/>
        <charset val="204"/>
      </rPr>
      <t xml:space="preserve"> т/нагрузка ТЭЦ (исходя из среднего факт. отпуска с коллекторов в самом холодном месяце за 2015-2017 г.г.)</t>
    </r>
  </si>
  <si>
    <t>Прирост тепловой нагрузки ТЭЦ согласно схеме теплоснабжения</t>
  </si>
  <si>
    <t>Присоединенная тепловая нагрузка ТЭЦ (базовая величина)</t>
  </si>
  <si>
    <t>Удельный расход условного топлива на производство э/э, г/кВт ч</t>
  </si>
  <si>
    <t>Удельный расход натурального топлива на производство э/э, нм куб./кВт ч</t>
  </si>
  <si>
    <r>
      <t xml:space="preserve">Цена покупки топлива </t>
    </r>
    <r>
      <rPr>
        <i/>
        <sz val="8"/>
        <rFont val="Arial"/>
        <family val="2"/>
        <charset val="204"/>
      </rPr>
      <t>(природный газ, группа потребления 2 - от 100 до 500 млн нм куб.), руб./тыс.м3 без НДС</t>
    </r>
  </si>
  <si>
    <t>EBITDAetc</t>
  </si>
  <si>
    <t>Приложение 1 Тверская ТЭЦ-4</t>
  </si>
  <si>
    <t>Котельная м-н "Южный"</t>
  </si>
  <si>
    <t>Котельная м-н "Южный" (базовая величина)</t>
  </si>
  <si>
    <t>Котельная Поликлиника № 2</t>
  </si>
  <si>
    <t>Котельная Школа № 2</t>
  </si>
  <si>
    <t>Котельная Школа № 24</t>
  </si>
  <si>
    <t>Котельная ДРСУ-2</t>
  </si>
  <si>
    <t>Котельная ДРСУ-2 (базовая величина)</t>
  </si>
  <si>
    <t>Котельная ПАТП</t>
  </si>
  <si>
    <t>Котельная ПГТ Сахарово</t>
  </si>
  <si>
    <t>Котельная п. Мамулино</t>
  </si>
  <si>
    <t>Котельная Школа № 3</t>
  </si>
  <si>
    <t xml:space="preserve">котельная ВНИИСВ </t>
  </si>
  <si>
    <t>Приложение 4 котельные</t>
  </si>
  <si>
    <t>Коэффициент использования установленной тепловой мощности, %</t>
  </si>
  <si>
    <t>Цена на электроэнергию на розничном рынке, руб./МВтч</t>
  </si>
  <si>
    <r>
      <t xml:space="preserve">Цена покупки топлива </t>
    </r>
    <r>
      <rPr>
        <i/>
        <sz val="8"/>
        <rFont val="Arial"/>
        <family val="2"/>
        <charset val="204"/>
      </rPr>
      <t>(природный газ, группы потребления 3,4,5), руб./тыс.м3 без НДС</t>
    </r>
  </si>
  <si>
    <t xml:space="preserve">Арендная плата </t>
  </si>
  <si>
    <t>Таблица 1. Расчет нагрузок и объемов передачи тепловой энергии</t>
  </si>
  <si>
    <t>от котельных</t>
  </si>
  <si>
    <t>Котельные (включая покупку)</t>
  </si>
  <si>
    <t>Отпуск теплоносителя в сеть, тыс м куб.</t>
  </si>
  <si>
    <t>Финансовый результат, общий</t>
  </si>
  <si>
    <t>теплоноситель (покупка от энергоисточников)</t>
  </si>
  <si>
    <t>Рост тарифов на э/м (опт)</t>
  </si>
  <si>
    <t>Тепловая энергия ТЭЦ 1 + ВК 2</t>
  </si>
  <si>
    <t>Тепловая энергия Котельные + покупка</t>
  </si>
  <si>
    <t>Расход э/энергии на производственные нужды</t>
  </si>
  <si>
    <t>Выручка от прочих видов деятельности</t>
  </si>
  <si>
    <t>базовая величина</t>
  </si>
  <si>
    <t>1.3.1 «Реконструкция теплотрасс с увеличением пропускной способности в целях подключения потребителей»</t>
  </si>
  <si>
    <t>1.2.1 «Техническое перевооружение Водогрейного котла ПТВМ-50 ст.№2 на новый ПТВМ-60 с оснащением контроля воздуха и реконструкции здания ВК-1»</t>
  </si>
  <si>
    <t>снижение отпуска в сеть, %</t>
  </si>
  <si>
    <t>в том числе локальные котельные</t>
  </si>
  <si>
    <t>1.3.2  «Модернизация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ТЭЦ-4»</t>
  </si>
  <si>
    <t xml:space="preserve">базовая величина </t>
  </si>
  <si>
    <t>2.1.1 «Техническое перевооружение внутристанционной схемы теплосети  ТЭЦ-4 с установкой аккумуляторного бака ёмкостью 5000 м2»</t>
  </si>
  <si>
    <t>3.1.1 «Реконструкция магистральных  сетей с повышенной повреждаемостью»</t>
  </si>
  <si>
    <t>3.1.2 «Реконструкция распределительных  сетей с повышенной повреждаемостью»</t>
  </si>
  <si>
    <t>(справочно) располагаемая тепловая мощность (с учетом технических ограничений)</t>
  </si>
  <si>
    <t>3.2.2  «Модернизация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ТЭЦ-1»</t>
  </si>
  <si>
    <t>3.2.3 «Реконструкция кабельных связей ВК-2 – БНС (водогрейная котельная №2 – береговая насосная станция): 2 этап-реконструкция РУ-0,4 кВ и РУ-6кВ БНС, замена насосного оборудования БНС; 3-этап- реконструкция РУ-0,4 кВ и РУ-6кВ ВК-2, прокладка воздушно-кабельных линий от ВК-2 до БНС»</t>
  </si>
  <si>
    <t>Изменение удельных расходов топлива ТЭЦ на ЭЭ после реализации инвестпроектов, всего:</t>
  </si>
  <si>
    <t>Изменение удельных расходов топлива ТЭЦ на ЭЭ после реализации инвестпроектов</t>
  </si>
  <si>
    <t>3.2.4  «Техническое перевооружение главных станционных 
паропроводов ТЭЦ-1: 2-й этап – в пределах машинного зала и к РОУ-1, РОУ-2»</t>
  </si>
  <si>
    <t>3.2.8  «Реконструкция двух насосов хозяйственной воды на насосы с приводом меньшего напряжения и установкой отдельного трансформатора и частотного привода на Тверской ТЭЦ-3»</t>
  </si>
  <si>
    <t>3.2.9 «Установка багерного насоса малой производительности для режимов с малым поступлением смывных вод на Тверской ТЭЦ-3»</t>
  </si>
  <si>
    <t>Изменение удельных расходов топлива ТЭЦ на ТЭ после реализации инвестпроектов</t>
  </si>
  <si>
    <t>3.2.13  «Реконструкция БРОУ 100/16 ТЭЦ-4 »</t>
  </si>
  <si>
    <t>4.1.1 «Техническое перевооружение водогрейного котла №1 с заменой конвективной части водогрейной котельной №2 ТЭЦ-1»</t>
  </si>
  <si>
    <t>4.1.5 «Установка ЧРП на подпиточных насосах ТЭЦ №4 с заменой одного из насосов 350Д-90».</t>
  </si>
  <si>
    <t>4.1.6 «Установка паровинтовой машины с ПЭН ТЭЦ-4»</t>
  </si>
  <si>
    <t>4.1.9 «Техническое перевооружение тягодутьевого оборудования  котла ст.№4 ТГВМ-30 с  установкой частотно-регулируемых  приводов (ЧРП) Котельного цеха»</t>
  </si>
  <si>
    <t>4.1.10 «Техническое перевооружение тягодутьевого оборудования с установкой частотно-регулируемых приводов (ЧРП) котла ст. №1 ПТВМ-30М Котельной пос. Химинститута Объединенных котельных»</t>
  </si>
  <si>
    <t>4.1.12  «Перевод котельных Керамический завод, Сахаровское шоссе в автоматический режим с установкой на них погодозависимого оборудования»</t>
  </si>
  <si>
    <t>4.1.17  «Строительство и реконструкция дренажных насосных станций»</t>
  </si>
  <si>
    <t>4.1.19 «Реконструкция  тепловой изоляции и антикоррозийной защиты оборудования на участках магистральных сетей надземной  прокладки»</t>
  </si>
  <si>
    <t>4.1.20 «Строительство станций катодной защиты на магистральных трубопроводах тепловых сетей»</t>
  </si>
  <si>
    <t>4.1.22 «Установка узлов учета тепловой энергии  в многоквартирных жилых домах г. Тверь»</t>
  </si>
  <si>
    <t>Техническое перевооружение склада кислотохранилища ТЭЦ-1</t>
  </si>
  <si>
    <t>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</t>
  </si>
  <si>
    <t>Техническое перевооружение водогрейного котла №1 с заменой конвективной части на водогрейной котельной №2 (ВК-2) ТЭЦ-1</t>
  </si>
  <si>
    <t>Реконструкция кабельных связей  ВК-2 – БНС (водогрейная котельная №2 – береговая насосная станция): 2-й эт. - реконструкция РУ-0,4 кВ и РУ-6 кВ БНС, замена насосного оборудования БНС; 3-й эт. - реконструкция РУ-0,4 кВ и РУ-6 кВ ВК-2, прокладка воздушно-кабельных линий от ВК-2 до БНС.</t>
  </si>
  <si>
    <t>Техническое перевооружение главных станционных паропроводов ТЭЦ-1: 2-й этап - в пределах машинного зала и к РОУ-1 и РОУ-2</t>
  </si>
  <si>
    <t>Реконструкция (замена) паропровода турбоагрегата Т-100-120/130</t>
  </si>
  <si>
    <t>Техническое перевооружение выхлопной части пароперегревателей котлоагрегатов №3-4 с установкой шумогасящих устройств (проектирование и монтаж шумогасящих устройств продувки) ТЭЦ-3</t>
  </si>
  <si>
    <t>Переврезка пикового бойлера по конденсату с установкой дополнительного конденсатного насоса ТЭЦ-3</t>
  </si>
  <si>
    <t>Реконструкция (перемотка) изоляции турбогенератора ТВФ-63</t>
  </si>
  <si>
    <t>Реконструкция двух насосов хозяйственной воды на насосы меньшего напряжения с установкой отдельного трансформатора и частотного привода.</t>
  </si>
  <si>
    <t>Установка багерного насоса малой производительности для режимов с малым поступлением смывных вод.</t>
  </si>
  <si>
    <t>Переобвязка Нг фильтров в связи с переходом на новый фильтрующий материал</t>
  </si>
  <si>
    <t xml:space="preserve">Техническое перевооружение химводоочистки ТЭЦ-4 </t>
  </si>
  <si>
    <t>Техническое перевооружение внутристанционной схемы теплосети ТЭЦ-4 с установкой аккумуляторного бака ёмкостью 5000 м3</t>
  </si>
  <si>
    <t>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</t>
  </si>
  <si>
    <t>Техническое перевооружение конвективной части водогрейного котла №3 ТЭЦ-4</t>
  </si>
  <si>
    <t>Установка ЧРП на подпиточных насосах ТЭЦ-4 с заменой одного из насосов 350Д-90</t>
  </si>
  <si>
    <t>Техперевооружение мазутных баков ст.№№4,5 ТЭЦ-4</t>
  </si>
  <si>
    <t>Реконструкция БРОУ 100/16  ТЭЦ-4</t>
  </si>
  <si>
    <t>Реконструкция внутристанционного парового коллектора 1.2-2.5 ата ТЭЦ-4</t>
  </si>
  <si>
    <t>Реконструкция осветлителя в схеме подготовки подпиточной воды ТЭЦ-4</t>
  </si>
  <si>
    <t>Техническое перевооружение кабельной связи РУ-6 кВ БНС на ТЭЦ-4</t>
  </si>
  <si>
    <t>Установка паровинтовой машины с ПЭН ТЭЦ-4</t>
  </si>
  <si>
    <t xml:space="preserve">Техническое перевооружение водогрейного котла ПТВМ-50 станционный №1 на новый котёл ПТВМ-60 с оснащением системой контроля воздуха и реконструкцией здания Водогрейной котельной №1 </t>
  </si>
  <si>
    <t>Реконструкция топливного хозяйства  котельной п.Химинститута</t>
  </si>
  <si>
    <t>Реконструкция топливного хозяйства  котельной "Южная"</t>
  </si>
  <si>
    <t>Реконструкция топливного хозяйства  котельной "Сахарово"</t>
  </si>
  <si>
    <t xml:space="preserve">Техническое перевооружение тягодутьевого оборудования котла ст.№4 ТГВМ-30 с установкой ЧРП Котельного цеха </t>
  </si>
  <si>
    <t>Техперевооружение тягодутьевого оборудования котла с установкой частотно-регулируемых приводов (ЧРП)   ст. №1,2 ПТВМ-30М Котельной пос. Химинститута</t>
  </si>
  <si>
    <t xml:space="preserve">Реконструкция  металлической дымовой трубы котельной "Сахаровское шоссе" </t>
  </si>
  <si>
    <t>Установка приборов учета тепловой энергии на котельной пос. Химинститута</t>
  </si>
  <si>
    <t>Установка приборов учета тепловой энергии на котельной "Мамулино"</t>
  </si>
  <si>
    <t>Установка приборов учета тепловой энергии на котельной пос. Сахарово</t>
  </si>
  <si>
    <t>Установка приборов учета тепловой энергии на котельной пос. ДРСУ-2</t>
  </si>
  <si>
    <t>Установка приборов учета тепловой энергии на котельной "Хлопчато-бумажного комбината"</t>
  </si>
  <si>
    <t>Установка приборов учета тепловой энергии на котельной "Сахаровское шоссе"</t>
  </si>
  <si>
    <t>Установка приборов учета тепловой энергии на котельной "ПАТП-1"</t>
  </si>
  <si>
    <t>Реконструкция котельной ХБК (установка погодозависимового контура отопления и увеличение производительности ГВС</t>
  </si>
  <si>
    <t>Установка приборов учета расхода сетевой воды на водогрейных котлах №1 и №2 котельной Химинститута</t>
  </si>
  <si>
    <t>Перевод котельных Керамический заавод, Сахаровское шоссе в автоматический режим с установкой на них погодозависимого оборудования</t>
  </si>
  <si>
    <t>Техническое перевооружение системы контроля загазованности СН4, СО котельной Химинститута</t>
  </si>
  <si>
    <t xml:space="preserve">Установка отключающих устройств на сетевых трубопроводах Водогрейной котельной-1 </t>
  </si>
  <si>
    <t>Установка системы пожарной сигнализации котельной Химинститута</t>
  </si>
  <si>
    <t>Реконструкция магистральных тепловых сетей</t>
  </si>
  <si>
    <t>Реконструкция распределительных тепловых сетей</t>
  </si>
  <si>
    <t>Реконструкция центральных тепловых пунктов</t>
  </si>
  <si>
    <t>Строительство и реконструкция ДНС</t>
  </si>
  <si>
    <t>Реконструкция тепловых сетей с установкой дополнительных секционирующих задвижек с устройством тепловых камер</t>
  </si>
  <si>
    <t>54.1</t>
  </si>
  <si>
    <t>Реконструкция тепловой изоляции и антикоррозийной защиты оборудования</t>
  </si>
  <si>
    <t>54.2</t>
  </si>
  <si>
    <t>Строительство новых разводящих сетей, в целях подключения потребителей с нагрузкой более 0,1 Гкал/ч</t>
  </si>
  <si>
    <t>Строительство новых разводящих сетей, в целях подключения потребителей с нагрузкой менее 0,1 Гкал/ч</t>
  </si>
  <si>
    <t>Установка приборов учета ХВС на ЦТП</t>
  </si>
  <si>
    <t>Установка узлов учета тепловой энергии в МКД</t>
  </si>
  <si>
    <t>Строительство станций катодной защиты на магистральных трубопроводах (18 штук)</t>
  </si>
  <si>
    <t>Строительство повысительной насосной станции в ТК-376 на ул. Красина</t>
  </si>
  <si>
    <t>Перевод ЦТП с открытой схемы ГВС на закрытую</t>
  </si>
  <si>
    <t xml:space="preserve">Оборудование, не требующее монтажа </t>
  </si>
  <si>
    <t>Модернизация сети цифровых каналов связи ООО "Тверская генерация", телефонных станций оперативно-диспетчерской связи Siemens HiPath 4000(ТЭЦ-1, ТЭЦ-3, ТЭЦ-4) и учрежденческой АТС AVAYA Definity S8400 ТЭЦ-1.</t>
  </si>
  <si>
    <t>снижение в результате перевода потребителей на закрытую схему ГВС при реализации инвестпрограммы</t>
  </si>
  <si>
    <t>снижение расхода ЭЭ на производство теплоносителя</t>
  </si>
  <si>
    <t>Валовая прибыль</t>
  </si>
  <si>
    <t>Валовая прибыль ЭЭ</t>
  </si>
  <si>
    <t>Валовая прибыль ТЭ</t>
  </si>
  <si>
    <t>Валовая прибыль ТН</t>
  </si>
  <si>
    <t>амортизация</t>
  </si>
  <si>
    <t>прирост амортизации по факту</t>
  </si>
  <si>
    <t>прирост тарифа от амортизации</t>
  </si>
  <si>
    <t>-</t>
  </si>
  <si>
    <t>Определение экономических эффектов от мероприятий инвестиционной программы</t>
  </si>
  <si>
    <t>Котельные</t>
  </si>
  <si>
    <t>Тепловые сети</t>
  </si>
  <si>
    <t>Прирост полезного отпуска в результате подключения потребителей, тыс. Гкал</t>
  </si>
  <si>
    <t>Затраты, тыс. руб.</t>
  </si>
  <si>
    <t>Постоянная составляющая тарифа, руб./Гкал</t>
  </si>
  <si>
    <t>Переменная составляющая тарифа , руб./Гкал</t>
  </si>
  <si>
    <t>Постоянная составляющая тарифа , руб./Гкал</t>
  </si>
  <si>
    <t>Простой срок окупаемости, лет</t>
  </si>
  <si>
    <t xml:space="preserve">Техническое перевооружение водогрейного котла ПТВМ-50 ст. №1 на новый котёл ПТВМ-60 с оснащением системой контроля воздуха и реконструкцией здания ВК №1 </t>
  </si>
  <si>
    <t>Расход газа на выработку в год получения эффекта тыс. нм куб.)</t>
  </si>
  <si>
    <t>Прирост выручки в результате подключения потребителей за каждый год реализации проекта, тыс. руб.</t>
  </si>
  <si>
    <t>Эффект от мероприятия, всего, тыс. руб.</t>
  </si>
  <si>
    <t>Эффект от снижения удельного расхода топлива, тыс. руб.</t>
  </si>
  <si>
    <t>Эффект от снижения расхода ЭЭ на производственные нужды, тыс. руб.</t>
  </si>
  <si>
    <t>Расход э/энергии на производственные нужды, млн. кВт ч</t>
  </si>
  <si>
    <t>Цена газа, руб./тыс. нм куб.</t>
  </si>
  <si>
    <t>55,56,60</t>
  </si>
  <si>
    <t>Строительство новых разводящих сетей, в целях подключения потребителей; Строительство повысительной насосной станции в ТК-376 на ул. Красина</t>
  </si>
  <si>
    <t>Расход газа на выработку в год получения эффекта, тыс. нм куб.</t>
  </si>
  <si>
    <t>Эффект от перераспределения выработки теплоносителя с ТЭЦ-3 на ТЭЦ-4, тыс. руб.</t>
  </si>
  <si>
    <t>Объем перераспределения, тыс. м куб.</t>
  </si>
  <si>
    <t>Себестоимость выработки ТН на ТЭЦ-3, руб./т</t>
  </si>
  <si>
    <t>Себестоимость выработки ТН на ТЭЦ-4, руб./т</t>
  </si>
  <si>
    <t>Эффект от снижения потерь тепловой энергии, тыс. руб.</t>
  </si>
  <si>
    <t>Снижение потерь от мероприятий за данный год, тыс. Гкал</t>
  </si>
  <si>
    <t>Переменная составляющая тарифа на отпуск в сеть, руб./Гкал</t>
  </si>
  <si>
    <t>Эффект от снижения потерь тепловой энергии за каждый год реализации проекта, тыс. руб.</t>
  </si>
  <si>
    <t>Эффект от снижения потерь теплоносителя, тыс. руб.</t>
  </si>
  <si>
    <t>Снижение потерь от мероприятий за данный год, тыс. м куб.</t>
  </si>
  <si>
    <t>Тариф на теплоноситель, руб./м куб.</t>
  </si>
  <si>
    <t>эффект от увеличения установленной тепловой мощности, не учитывается отдельно от подключения новых потребителей</t>
  </si>
  <si>
    <t>Эффект от отпуска дополнительной ЭЭ на ОРЭМ при снижении СН, тыс. руб.</t>
  </si>
  <si>
    <t>без прямого экономического эффекта</t>
  </si>
  <si>
    <t>Изменение удельных расходов топлива ТЭЦ  ЭЭ после реализации инвестпроектов, всего:</t>
  </si>
  <si>
    <t>Снижение расхода пара на деаэрацию теплоносителя</t>
  </si>
  <si>
    <t>Себестоимость выработки ХОВ на ТЭЦ-4, руб./т</t>
  </si>
  <si>
    <t>Снижение расхода пара (ХОВ), тыс. м куб.</t>
  </si>
  <si>
    <t>без существенного экономического эффекта (надежность)</t>
  </si>
  <si>
    <t>Эффект от роста удельного расхода топлива, тыс. руб.</t>
  </si>
  <si>
    <t>Удельный расход условного топлива на производство ээ, г/кВт ч</t>
  </si>
  <si>
    <t>Дополнительный расход газа на выработку, тыс. нм куб.</t>
  </si>
  <si>
    <t>Снижение ФОТ при высвобождении персонала, тыс. руб.</t>
  </si>
  <si>
    <t>Численность, чел.</t>
  </si>
  <si>
    <t>без существенного экономического эффекта</t>
  </si>
  <si>
    <t>Техническое перевооружение водогрейного котла FR10-8-10-150М на котельной "Мамулино"</t>
  </si>
  <si>
    <t>Эффект от замещения теплоносителя ТЭЦ-3 водопроводной водой, тыс. руб.</t>
  </si>
  <si>
    <t>Тариф на воду, руб./т</t>
  </si>
  <si>
    <t>ВСЕГО ПО ИНВЕСТПРОГРАММЕ</t>
  </si>
  <si>
    <t>Эффект от мероприятий, всего, тыс. руб.</t>
  </si>
  <si>
    <t>то же, нарастающим итогом</t>
  </si>
  <si>
    <t>точка окупаемости инвестиций</t>
  </si>
  <si>
    <t>Окупаемость инвестиций, тыс. руб.</t>
  </si>
  <si>
    <t>К вложений</t>
  </si>
  <si>
    <t>капитальные вложения в оборудованиt за счет амортизации</t>
  </si>
  <si>
    <t>реализация инвестиционной программы</t>
  </si>
  <si>
    <t>регулирование прибыли в тарифе на ТЭ</t>
  </si>
  <si>
    <t>5 лет РЭК не изымает экономию (эффект) от инвестпрограммы</t>
  </si>
  <si>
    <t>Рост тарифа на инвестиции за счет прибыли</t>
  </si>
  <si>
    <t>Рост тарифа на индекс-дефлятор МЭР</t>
  </si>
  <si>
    <t>Рост тарифа на индекс-дефлятор МЭР + амортизация по объектам инвестпрограммы</t>
  </si>
  <si>
    <t xml:space="preserve">Ликвидация ТЭЦ-1. Строительство замещающих мощностей  - водогрейных котлов 2х30 Гкал/час с расширением 1х30 Гкал/час </t>
  </si>
  <si>
    <t>Себестоимость</t>
  </si>
  <si>
    <t>Техническое обслуживание и ремонт ТЭЦ 1</t>
  </si>
  <si>
    <t>Техническое обслуживание и ремонт ТЭЦ 3</t>
  </si>
  <si>
    <t>Техническое обслуживание и ремонт ТЭЦ 4</t>
  </si>
  <si>
    <t>Техническое обслуживание и ремонт Котельные</t>
  </si>
  <si>
    <t>Техническое обслуживание и ремонт Сети</t>
  </si>
  <si>
    <t>Техническое обслуживание и ремонт ВСЕГО</t>
  </si>
  <si>
    <t>Инвестиции, в том числе:</t>
  </si>
  <si>
    <t>Инвестиции за счет собственных источников:</t>
  </si>
  <si>
    <t>капитальные вложения в реконструкцию оборудования за счет амортизации</t>
  </si>
  <si>
    <t>ООО "Тверская генерация"</t>
  </si>
  <si>
    <t>Потери теплоносителя (сетевой воды) при передаче</t>
  </si>
  <si>
    <t>Производство (отпуск в сеть) теплоносителя</t>
  </si>
  <si>
    <t>Потери тепловой энергии при передаче</t>
  </si>
  <si>
    <t>Полезный отпуск теплоносителя потребителям в рамках услуги ГВС по открытой схеме</t>
  </si>
  <si>
    <t>Теплоноситель, прочие виды деятельности</t>
  </si>
  <si>
    <t>ТЭЦ 3</t>
  </si>
  <si>
    <t>ТЭЦ 4</t>
  </si>
  <si>
    <t>СВОД по прочим видам деятельности</t>
  </si>
  <si>
    <t>Реализация тепловой энергии СВОД</t>
  </si>
  <si>
    <t>Производство тепловой энергии</t>
  </si>
  <si>
    <t>Производство электрической энергии</t>
  </si>
  <si>
    <t>Объем (полезный отпуск из сетей)</t>
  </si>
  <si>
    <t>от прочих видов деятельности</t>
  </si>
  <si>
    <t>Валовая прибыль, всего</t>
  </si>
  <si>
    <t>Себестоимость электроэнергии</t>
  </si>
  <si>
    <t xml:space="preserve">Выручка от продажи электроэнергии </t>
  </si>
  <si>
    <t xml:space="preserve">Прибыль / убыток по электроэнергии </t>
  </si>
  <si>
    <t>Себестоимость тепловой энергии и теплоносителя</t>
  </si>
  <si>
    <t>Прибыль / убыток по  тепловой энергии и теплоносителю</t>
  </si>
  <si>
    <t>Аренда имущества ВСЕГО</t>
  </si>
  <si>
    <t>Аренда имущества ТЭЦ1</t>
  </si>
  <si>
    <t>Аренда имущества ТЭЦ3</t>
  </si>
  <si>
    <t>Аренда имущества ТЭЦ4</t>
  </si>
  <si>
    <t>Аренда имущества Котельные</t>
  </si>
  <si>
    <t>Аренда имущества Сети</t>
  </si>
  <si>
    <t>Покупка теплоносителя от собственных источников (перераспределение затрат)</t>
  </si>
  <si>
    <t xml:space="preserve">Э\энергия </t>
  </si>
  <si>
    <t xml:space="preserve">Амортизация </t>
  </si>
  <si>
    <t>покупка т/энергии и теплоносителя</t>
  </si>
  <si>
    <t>Прочие источники финансирования (средства арендодателя)</t>
  </si>
  <si>
    <r>
      <t xml:space="preserve">Выплаты по операционной деятельности, </t>
    </r>
    <r>
      <rPr>
        <sz val="8"/>
        <rFont val="Arial"/>
        <family val="2"/>
        <charset val="204"/>
      </rPr>
      <t>в том числе:</t>
    </r>
  </si>
  <si>
    <r>
      <t xml:space="preserve">Поступления по операционной деятельности, </t>
    </r>
    <r>
      <rPr>
        <sz val="8"/>
        <rFont val="Arial"/>
        <family val="2"/>
        <charset val="204"/>
      </rPr>
      <t>в том числе:</t>
    </r>
  </si>
  <si>
    <t>Техническое обслуживание и ремонт</t>
  </si>
  <si>
    <t>Электрическая энергия и мощность</t>
  </si>
  <si>
    <t>Теплоноситель</t>
  </si>
  <si>
    <t>Тепловая энергия</t>
  </si>
  <si>
    <t xml:space="preserve">покупка т/энергии </t>
  </si>
  <si>
    <r>
      <t xml:space="preserve">Выплаты по инвестиционной деятельности, </t>
    </r>
    <r>
      <rPr>
        <sz val="8"/>
        <rFont val="Arial"/>
        <family val="2"/>
        <charset val="204"/>
      </rPr>
      <t>в том числе:</t>
    </r>
  </si>
  <si>
    <t>Инвестиции за счет прочих собственных источников</t>
  </si>
  <si>
    <t>Инвестиции за счет амортизационных отчислений</t>
  </si>
  <si>
    <t>Э\энергия ОРЭМ (собственные нужды ТЭЦ)</t>
  </si>
  <si>
    <t>Э\энергия с розничного рынка</t>
  </si>
  <si>
    <t>(справочно) то же, с учетом вновь накопленной задолженности</t>
  </si>
  <si>
    <t>(справочно) прогнозный уровень текущих платежей за газ</t>
  </si>
  <si>
    <t>Кроме того, средства, полученные за счет платы за подключение</t>
  </si>
  <si>
    <t>Расчет потока денежных средств ООО "Тверская генерация", без НДС</t>
  </si>
  <si>
    <t>Уровень платежей за Газ</t>
  </si>
  <si>
    <t>Модели</t>
  </si>
  <si>
    <t>Погашение всего долга</t>
  </si>
  <si>
    <t>1% от годового платежа за газ</t>
  </si>
  <si>
    <t>Уровень оплаты за газ в %</t>
  </si>
  <si>
    <t xml:space="preserve">Потребность внешнего финансирования при уровне годового платежа за газ на уровне % </t>
  </si>
  <si>
    <t>в том числе задолженность предыдущих периодов</t>
  </si>
  <si>
    <t>Уровень валовой прибыли предприятия</t>
  </si>
  <si>
    <t>Уровень прибыли не должен превышать ключевую ставку ЦБ РФ</t>
  </si>
  <si>
    <t>Стадия инвестиционного процесса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</si>
</sst>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\ _₽_-;\-* #,##0\ _₽_-;_-* &quot;-&quot;\ _₽_-;_-@_-"/>
    <numFmt numFmtId="43" formatCode="_-* #,##0.00\ _₽_-;\-* #,##0.00\ _₽_-;_-* &quot;-&quot;??\ _₽_-;_-@_-"/>
    <numFmt numFmtId="164" formatCode="_-* #,##0_р_._-;\-* #,##0_р_._-;_-* &quot;-&quot;_р_.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,##0_ ;[Red]\-#,##0\ "/>
    <numFmt numFmtId="168" formatCode="_-* #,##0.0_р_._-;\-* #,##0.0_р_._-;_-* &quot;-&quot;??_р_._-;_-@_-"/>
    <numFmt numFmtId="169" formatCode="_-* #,##0.0_р_._-;\-* #,##0.0_р_._-;_-* &quot;-&quot;?_р_._-;_-@_-"/>
    <numFmt numFmtId="170" formatCode="_-* #,##0_р_._-;\-* #,##0_р_._-;_-* &quot;-&quot;??_р_._-;_-@_-"/>
    <numFmt numFmtId="171" formatCode="0.0"/>
    <numFmt numFmtId="172" formatCode="_-* #,##0.000_р_._-;\-* #,##0.000_р_._-;_-* &quot;-&quot;??_р_._-;_-@_-"/>
    <numFmt numFmtId="173" formatCode="#,##0.00_ ;\-#,##0.00\ "/>
    <numFmt numFmtId="174" formatCode="0.0%"/>
    <numFmt numFmtId="175" formatCode="#,##0.0"/>
    <numFmt numFmtId="176" formatCode="_(* #,##0.00_);_(* \(#,##0.00\);_(* &quot;-&quot;??_);_(@_)"/>
    <numFmt numFmtId="177" formatCode="#,##0.0;\(#,##0.0\);\-"/>
    <numFmt numFmtId="178" formatCode="_-* #,##0.0_р_._-;\-* #,##0.0_р_._-;_-* &quot;-&quot;_р_._-;_-@_-"/>
    <numFmt numFmtId="179" formatCode="_-* #,##0_р_._-;\-* #,##0_р_._-;_-* &quot;-&quot;?_р_._-;_-@_-"/>
    <numFmt numFmtId="180" formatCode="_-* #,##0.0\ _₽_-;\-* #,##0.0\ _₽_-;_-* &quot;-&quot;?\ _₽_-;_-@_-"/>
    <numFmt numFmtId="181" formatCode="_-* #,##0.00_р_._-;\-* #,##0.00_р_._-;_-* &quot;-&quot;_р_._-;_-@_-"/>
    <numFmt numFmtId="182" formatCode="_-* #,##0.000_р_._-;\-* #,##0.000_р_._-;_-* &quot;-&quot;?_р_._-;_-@_-"/>
    <numFmt numFmtId="183" formatCode="_-* #,##0\ _₽_-;\-* #,##0\ _₽_-;_-* &quot;-&quot;??\ _₽_-;_-@_-"/>
    <numFmt numFmtId="184" formatCode="_-* #,##0\ _₽_-;\-* #,##0\ _₽_-;_-* &quot;-&quot;?\ _₽_-;_-@_-"/>
    <numFmt numFmtId="185" formatCode="_-* #,##0.00\ _₽_-;\-* #,##0.00\ _₽_-;_-* &quot;-&quot;?\ _₽_-;_-@_-"/>
    <numFmt numFmtId="186" formatCode="_-* #,##0.0\ _₽_-;\-* #,##0.0\ _₽_-;_-* &quot;-&quot;\ _₽_-;_-@_-"/>
    <numFmt numFmtId="187" formatCode="_-* #,##0.00\ _₽_-;\-* #,##0.00\ _₽_-;_-* &quot;-&quot;\ _₽_-;_-@_-"/>
  </numFmts>
  <fonts count="48" x14ac:knownFonts="1">
    <font>
      <sz val="10"/>
      <name val="Arial Cyr"/>
      <charset val="204"/>
    </font>
    <font>
      <sz val="8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sz val="8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8"/>
      <color theme="0"/>
      <name val="Arial"/>
      <family val="2"/>
      <charset val="204"/>
    </font>
    <font>
      <sz val="8"/>
      <color theme="0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i/>
      <sz val="8"/>
      <name val="Arial"/>
      <family val="2"/>
      <charset val="204"/>
    </font>
    <font>
      <b/>
      <i/>
      <sz val="8"/>
      <name val="Arial"/>
      <family val="2"/>
      <charset val="204"/>
    </font>
    <font>
      <b/>
      <sz val="9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8"/>
      <color rgb="FFFF0000"/>
      <name val="Arial"/>
      <family val="2"/>
      <charset val="204"/>
    </font>
    <font>
      <i/>
      <sz val="8"/>
      <color rgb="FFFF0000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b/>
      <sz val="8"/>
      <color rgb="FFFF0000"/>
      <name val="Arial"/>
      <family val="2"/>
      <charset val="204"/>
    </font>
    <font>
      <sz val="8"/>
      <color rgb="FF0070C0"/>
      <name val="Arial"/>
      <family val="2"/>
      <charset val="204"/>
    </font>
    <font>
      <i/>
      <sz val="8"/>
      <color rgb="FF0070C0"/>
      <name val="Arial"/>
      <family val="2"/>
      <charset val="204"/>
    </font>
    <font>
      <b/>
      <i/>
      <sz val="8"/>
      <color rgb="FF0070C0"/>
      <name val="Arial"/>
      <family val="2"/>
      <charset val="204"/>
    </font>
    <font>
      <b/>
      <sz val="8"/>
      <name val="Arial Cyr"/>
      <charset val="204"/>
    </font>
    <font>
      <b/>
      <sz val="8"/>
      <color rgb="FF0070C0"/>
      <name val="Arial"/>
      <family val="2"/>
      <charset val="204"/>
    </font>
    <font>
      <sz val="8"/>
      <color rgb="FF7030A0"/>
      <name val="Arial"/>
      <family val="2"/>
      <charset val="204"/>
    </font>
    <font>
      <i/>
      <sz val="8"/>
      <color rgb="FF7030A0"/>
      <name val="Arial"/>
      <family val="2"/>
      <charset val="204"/>
    </font>
    <font>
      <i/>
      <u/>
      <sz val="8"/>
      <color rgb="FF7030A0"/>
      <name val="Arial"/>
      <family val="2"/>
      <charset val="204"/>
    </font>
    <font>
      <b/>
      <sz val="8"/>
      <color rgb="FFC00000"/>
      <name val="Arial"/>
      <family val="2"/>
      <charset val="204"/>
    </font>
    <font>
      <sz val="8"/>
      <color rgb="FFC00000"/>
      <name val="Arial"/>
      <family val="2"/>
      <charset val="204"/>
    </font>
    <font>
      <i/>
      <sz val="8"/>
      <color rgb="FFC00000"/>
      <name val="Arial"/>
      <family val="2"/>
      <charset val="204"/>
    </font>
    <font>
      <sz val="10"/>
      <name val="Helv"/>
      <charset val="204"/>
    </font>
    <font>
      <b/>
      <sz val="8"/>
      <color rgb="FF7030A0"/>
      <name val="Arial"/>
      <family val="2"/>
      <charset val="204"/>
    </font>
    <font>
      <b/>
      <i/>
      <sz val="9"/>
      <color rgb="FFC00000"/>
      <name val="Arial"/>
      <family val="2"/>
      <charset val="204"/>
    </font>
    <font>
      <i/>
      <sz val="8"/>
      <name val="Arial Cyr"/>
      <charset val="204"/>
    </font>
    <font>
      <i/>
      <sz val="8"/>
      <color rgb="FF7030A0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8"/>
      <color rgb="FFFF0000"/>
      <name val="Arial Cyr"/>
      <charset val="204"/>
    </font>
    <font>
      <b/>
      <i/>
      <sz val="9"/>
      <color theme="5" tint="-0.749992370372631"/>
      <name val="Arial"/>
      <family val="2"/>
      <charset val="204"/>
    </font>
    <font>
      <i/>
      <sz val="8"/>
      <color theme="5" tint="-0.749992370372631"/>
      <name val="Arial Cyr"/>
      <charset val="204"/>
    </font>
    <font>
      <sz val="10"/>
      <name val="Arial Cyr"/>
    </font>
    <font>
      <b/>
      <i/>
      <sz val="9"/>
      <color rgb="FF0070C0"/>
      <name val="Arial"/>
      <family val="2"/>
      <charset val="204"/>
    </font>
    <font>
      <i/>
      <sz val="9"/>
      <color rgb="FF0070C0"/>
      <name val="Arial"/>
      <family val="2"/>
      <charset val="204"/>
    </font>
    <font>
      <b/>
      <sz val="9"/>
      <color rgb="FF0070C0"/>
      <name val="Arial"/>
      <family val="2"/>
      <charset val="204"/>
    </font>
    <font>
      <sz val="8"/>
      <color theme="0" tint="-0.249977111117893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9.9978637043366805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1">
    <xf numFmtId="0" fontId="0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6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76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3" fillId="0" borderId="0"/>
  </cellStyleXfs>
  <cellXfs count="949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justify" vertical="center" wrapText="1"/>
    </xf>
    <xf numFmtId="0" fontId="12" fillId="0" borderId="2" xfId="0" applyFont="1" applyFill="1" applyBorder="1" applyAlignment="1">
      <alignment horizontal="justify" vertical="center" wrapText="1"/>
    </xf>
    <xf numFmtId="0" fontId="11" fillId="0" borderId="2" xfId="0" applyFont="1" applyBorder="1" applyAlignment="1">
      <alignment horizontal="justify" vertical="center" wrapText="1"/>
    </xf>
    <xf numFmtId="0" fontId="12" fillId="0" borderId="1" xfId="0" applyFont="1" applyBorder="1" applyAlignment="1">
      <alignment horizontal="justify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Fill="1" applyAlignment="1">
      <alignment horizontal="justify" vertical="center" wrapText="1"/>
    </xf>
    <xf numFmtId="0" fontId="12" fillId="0" borderId="0" xfId="0" applyFont="1" applyFill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justify" vertical="center" wrapText="1"/>
    </xf>
    <xf numFmtId="0" fontId="11" fillId="5" borderId="0" xfId="0" applyFont="1" applyFill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3" xfId="0" applyFont="1" applyFill="1" applyBorder="1" applyAlignment="1">
      <alignment horizontal="justify" vertical="center" wrapText="1"/>
    </xf>
    <xf numFmtId="0" fontId="13" fillId="0" borderId="0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Fill="1" applyBorder="1" applyAlignment="1">
      <alignment horizontal="justify" vertical="center" wrapText="1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2" fontId="11" fillId="3" borderId="2" xfId="0" applyNumberFormat="1" applyFont="1" applyFill="1" applyBorder="1" applyAlignment="1">
      <alignment horizontal="right" vertical="center"/>
    </xf>
    <xf numFmtId="16" fontId="11" fillId="0" borderId="1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justify" vertical="center" wrapText="1"/>
    </xf>
    <xf numFmtId="0" fontId="11" fillId="0" borderId="14" xfId="0" applyFont="1" applyBorder="1" applyAlignment="1">
      <alignment vertical="center"/>
    </xf>
    <xf numFmtId="10" fontId="13" fillId="0" borderId="2" xfId="0" applyNumberFormat="1" applyFont="1" applyBorder="1" applyAlignment="1">
      <alignment vertical="center"/>
    </xf>
    <xf numFmtId="2" fontId="13" fillId="0" borderId="2" xfId="0" applyNumberFormat="1" applyFont="1" applyBorder="1" applyAlignment="1">
      <alignment vertical="center"/>
    </xf>
    <xf numFmtId="0" fontId="11" fillId="0" borderId="1" xfId="0" applyFont="1" applyBorder="1" applyAlignment="1">
      <alignment horizontal="justify" vertical="center" wrapText="1"/>
    </xf>
    <xf numFmtId="174" fontId="11" fillId="0" borderId="1" xfId="0" applyNumberFormat="1" applyFont="1" applyBorder="1" applyAlignment="1">
      <alignment vertical="center"/>
    </xf>
    <xf numFmtId="0" fontId="11" fillId="3" borderId="1" xfId="0" applyFont="1" applyFill="1" applyBorder="1" applyAlignment="1">
      <alignment horizontal="justify" vertical="center" wrapText="1"/>
    </xf>
    <xf numFmtId="170" fontId="12" fillId="0" borderId="1" xfId="0" applyNumberFormat="1" applyFont="1" applyFill="1" applyBorder="1" applyAlignment="1">
      <alignment vertical="center"/>
    </xf>
    <xf numFmtId="170" fontId="12" fillId="0" borderId="1" xfId="0" applyNumberFormat="1" applyFont="1" applyBorder="1" applyAlignment="1">
      <alignment vertical="center"/>
    </xf>
    <xf numFmtId="168" fontId="11" fillId="0" borderId="1" xfId="0" applyNumberFormat="1" applyFont="1" applyBorder="1" applyAlignment="1">
      <alignment vertical="center"/>
    </xf>
    <xf numFmtId="170" fontId="11" fillId="0" borderId="1" xfId="0" applyNumberFormat="1" applyFont="1" applyFill="1" applyBorder="1" applyAlignment="1">
      <alignment vertical="center"/>
    </xf>
    <xf numFmtId="166" fontId="11" fillId="0" borderId="0" xfId="0" applyNumberFormat="1" applyFont="1" applyAlignment="1">
      <alignment vertical="center"/>
    </xf>
    <xf numFmtId="0" fontId="11" fillId="4" borderId="0" xfId="0" applyFont="1" applyFill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170" fontId="11" fillId="0" borderId="1" xfId="0" applyNumberFormat="1" applyFont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Border="1" applyAlignment="1">
      <alignment vertical="center"/>
    </xf>
    <xf numFmtId="0" fontId="13" fillId="4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justify" vertical="center" wrapText="1"/>
    </xf>
    <xf numFmtId="0" fontId="11" fillId="9" borderId="1" xfId="0" applyFont="1" applyFill="1" applyBorder="1" applyAlignment="1">
      <alignment horizontal="center" vertical="center"/>
    </xf>
    <xf numFmtId="0" fontId="11" fillId="9" borderId="0" xfId="0" applyFont="1" applyFill="1" applyBorder="1" applyAlignment="1">
      <alignment vertical="center"/>
    </xf>
    <xf numFmtId="0" fontId="11" fillId="9" borderId="1" xfId="0" applyFont="1" applyFill="1" applyBorder="1" applyAlignment="1">
      <alignment vertical="center"/>
    </xf>
    <xf numFmtId="0" fontId="13" fillId="0" borderId="1" xfId="0" applyFont="1" applyBorder="1" applyAlignment="1">
      <alignment vertical="center"/>
    </xf>
    <xf numFmtId="174" fontId="13" fillId="7" borderId="2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justify" vertical="center" wrapText="1"/>
    </xf>
    <xf numFmtId="0" fontId="11" fillId="8" borderId="0" xfId="0" applyFont="1" applyFill="1" applyAlignment="1">
      <alignment horizontal="justify" vertical="center" wrapText="1"/>
    </xf>
    <xf numFmtId="0" fontId="12" fillId="9" borderId="0" xfId="0" applyFont="1" applyFill="1" applyBorder="1" applyAlignment="1">
      <alignment vertical="center"/>
    </xf>
    <xf numFmtId="0" fontId="12" fillId="9" borderId="1" xfId="0" applyFont="1" applyFill="1" applyBorder="1" applyAlignment="1">
      <alignment vertical="center"/>
    </xf>
    <xf numFmtId="168" fontId="12" fillId="9" borderId="1" xfId="13" applyNumberFormat="1" applyFont="1" applyFill="1" applyBorder="1" applyAlignment="1">
      <alignment vertical="center"/>
    </xf>
    <xf numFmtId="2" fontId="12" fillId="0" borderId="0" xfId="0" applyNumberFormat="1" applyFont="1" applyFill="1" applyAlignment="1">
      <alignment vertical="center"/>
    </xf>
    <xf numFmtId="169" fontId="12" fillId="9" borderId="2" xfId="0" applyNumberFormat="1" applyFont="1" applyFill="1" applyBorder="1" applyAlignment="1">
      <alignment vertical="center"/>
    </xf>
    <xf numFmtId="169" fontId="12" fillId="0" borderId="1" xfId="0" applyNumberFormat="1" applyFont="1" applyFill="1" applyBorder="1" applyAlignment="1">
      <alignment vertical="center"/>
    </xf>
    <xf numFmtId="0" fontId="14" fillId="0" borderId="2" xfId="0" applyFont="1" applyBorder="1" applyAlignment="1">
      <alignment horizontal="justify" vertical="center" wrapText="1"/>
    </xf>
    <xf numFmtId="0" fontId="14" fillId="0" borderId="0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1" fillId="0" borderId="1" xfId="0" applyFont="1" applyFill="1" applyBorder="1" applyAlignment="1">
      <alignment horizontal="justify" vertical="center" wrapText="1"/>
    </xf>
    <xf numFmtId="4" fontId="11" fillId="0" borderId="0" xfId="0" applyNumberFormat="1" applyFont="1" applyAlignment="1">
      <alignment vertical="center"/>
    </xf>
    <xf numFmtId="4" fontId="11" fillId="5" borderId="0" xfId="0" applyNumberFormat="1" applyFont="1" applyFill="1" applyAlignment="1">
      <alignment vertical="center"/>
    </xf>
    <xf numFmtId="0" fontId="13" fillId="4" borderId="0" xfId="0" applyFont="1" applyFill="1" applyAlignment="1">
      <alignment horizontal="justify" vertical="center" wrapText="1"/>
    </xf>
    <xf numFmtId="10" fontId="13" fillId="4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168" fontId="11" fillId="6" borderId="1" xfId="13" applyNumberFormat="1" applyFont="1" applyFill="1" applyBorder="1" applyAlignment="1">
      <alignment vertical="center"/>
    </xf>
    <xf numFmtId="168" fontId="11" fillId="7" borderId="1" xfId="13" applyNumberFormat="1" applyFont="1" applyFill="1" applyBorder="1" applyAlignment="1">
      <alignment vertical="center"/>
    </xf>
    <xf numFmtId="168" fontId="11" fillId="0" borderId="1" xfId="13" applyNumberFormat="1" applyFont="1" applyBorder="1" applyAlignment="1">
      <alignment vertical="center"/>
    </xf>
    <xf numFmtId="168" fontId="12" fillId="9" borderId="2" xfId="0" applyNumberFormat="1" applyFont="1" applyFill="1" applyBorder="1" applyAlignment="1">
      <alignment vertical="center"/>
    </xf>
    <xf numFmtId="168" fontId="11" fillId="6" borderId="2" xfId="0" applyNumberFormat="1" applyFont="1" applyFill="1" applyBorder="1" applyAlignment="1">
      <alignment vertical="center"/>
    </xf>
    <xf numFmtId="168" fontId="11" fillId="0" borderId="2" xfId="0" applyNumberFormat="1" applyFont="1" applyBorder="1" applyAlignment="1">
      <alignment vertical="center"/>
    </xf>
    <xf numFmtId="168" fontId="11" fillId="7" borderId="2" xfId="0" applyNumberFormat="1" applyFont="1" applyFill="1" applyBorder="1" applyAlignment="1">
      <alignment vertical="center"/>
    </xf>
    <xf numFmtId="0" fontId="11" fillId="8" borderId="0" xfId="0" applyFont="1" applyFill="1" applyBorder="1" applyAlignment="1">
      <alignment vertical="center"/>
    </xf>
    <xf numFmtId="0" fontId="11" fillId="8" borderId="1" xfId="0" applyFont="1" applyFill="1" applyBorder="1" applyAlignment="1">
      <alignment vertical="center"/>
    </xf>
    <xf numFmtId="174" fontId="13" fillId="7" borderId="1" xfId="13" applyNumberFormat="1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justify" vertical="center" wrapText="1"/>
    </xf>
    <xf numFmtId="0" fontId="12" fillId="9" borderId="1" xfId="0" applyFont="1" applyFill="1" applyBorder="1" applyAlignment="1">
      <alignment horizontal="justify" vertical="center" wrapText="1"/>
    </xf>
    <xf numFmtId="169" fontId="11" fillId="9" borderId="1" xfId="0" applyNumberFormat="1" applyFont="1" applyFill="1" applyBorder="1" applyAlignment="1">
      <alignment vertical="center"/>
    </xf>
    <xf numFmtId="169" fontId="12" fillId="9" borderId="1" xfId="0" applyNumberFormat="1" applyFont="1" applyFill="1" applyBorder="1" applyAlignment="1">
      <alignment vertical="center"/>
    </xf>
    <xf numFmtId="168" fontId="13" fillId="6" borderId="2" xfId="0" applyNumberFormat="1" applyFont="1" applyFill="1" applyBorder="1" applyAlignment="1">
      <alignment vertical="center"/>
    </xf>
    <xf numFmtId="168" fontId="13" fillId="7" borderId="1" xfId="13" applyNumberFormat="1" applyFont="1" applyFill="1" applyBorder="1" applyAlignment="1">
      <alignment vertical="center"/>
    </xf>
    <xf numFmtId="178" fontId="11" fillId="6" borderId="1" xfId="0" applyNumberFormat="1" applyFont="1" applyFill="1" applyBorder="1" applyAlignment="1">
      <alignment horizontal="center" vertical="center"/>
    </xf>
    <xf numFmtId="178" fontId="11" fillId="6" borderId="1" xfId="13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justify" vertical="center" wrapText="1"/>
    </xf>
    <xf numFmtId="0" fontId="13" fillId="0" borderId="1" xfId="0" applyFont="1" applyBorder="1" applyAlignment="1">
      <alignment horizontal="justify" vertical="center" wrapText="1"/>
    </xf>
    <xf numFmtId="169" fontId="11" fillId="6" borderId="2" xfId="0" applyNumberFormat="1" applyFont="1" applyFill="1" applyBorder="1" applyAlignment="1">
      <alignment vertical="center"/>
    </xf>
    <xf numFmtId="0" fontId="13" fillId="0" borderId="5" xfId="0" applyFont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0" xfId="0" applyFont="1" applyFill="1" applyAlignment="1">
      <alignment vertical="center"/>
    </xf>
    <xf numFmtId="169" fontId="12" fillId="0" borderId="1" xfId="13" applyNumberFormat="1" applyFont="1" applyFill="1" applyBorder="1" applyAlignment="1">
      <alignment vertical="center"/>
    </xf>
    <xf numFmtId="169" fontId="13" fillId="6" borderId="13" xfId="0" applyNumberFormat="1" applyFont="1" applyFill="1" applyBorder="1" applyAlignment="1">
      <alignment vertical="center"/>
    </xf>
    <xf numFmtId="169" fontId="13" fillId="7" borderId="2" xfId="0" applyNumberFormat="1" applyFont="1" applyFill="1" applyBorder="1" applyAlignment="1">
      <alignment vertical="center"/>
    </xf>
    <xf numFmtId="169" fontId="13" fillId="7" borderId="13" xfId="0" applyNumberFormat="1" applyFont="1" applyFill="1" applyBorder="1" applyAlignment="1">
      <alignment vertical="center"/>
    </xf>
    <xf numFmtId="0" fontId="11" fillId="0" borderId="0" xfId="0" applyFont="1" applyAlignment="1">
      <alignment vertical="center"/>
    </xf>
    <xf numFmtId="168" fontId="11" fillId="7" borderId="2" xfId="0" applyNumberFormat="1" applyFont="1" applyFill="1" applyBorder="1" applyAlignment="1">
      <alignment horizontal="right" vertical="center"/>
    </xf>
    <xf numFmtId="0" fontId="13" fillId="3" borderId="2" xfId="0" applyFont="1" applyFill="1" applyBorder="1" applyAlignment="1">
      <alignment horizontal="justify" vertical="center" wrapText="1"/>
    </xf>
    <xf numFmtId="168" fontId="13" fillId="7" borderId="2" xfId="0" applyNumberFormat="1" applyFont="1" applyFill="1" applyBorder="1" applyAlignment="1">
      <alignment horizontal="right" vertical="center"/>
    </xf>
    <xf numFmtId="168" fontId="11" fillId="7" borderId="1" xfId="13" applyNumberFormat="1" applyFont="1" applyFill="1" applyBorder="1" applyAlignment="1">
      <alignment horizontal="left" vertical="center"/>
    </xf>
    <xf numFmtId="174" fontId="13" fillId="10" borderId="1" xfId="10" applyNumberFormat="1" applyFont="1" applyFill="1" applyBorder="1" applyAlignment="1">
      <alignment horizontal="center" vertical="center"/>
    </xf>
    <xf numFmtId="166" fontId="14" fillId="6" borderId="1" xfId="13" applyNumberFormat="1" applyFont="1" applyFill="1" applyBorder="1" applyAlignment="1">
      <alignment horizontal="right" vertical="center"/>
    </xf>
    <xf numFmtId="166" fontId="14" fillId="7" borderId="1" xfId="13" applyNumberFormat="1" applyFont="1" applyFill="1" applyBorder="1" applyAlignment="1">
      <alignment horizontal="right" vertical="center"/>
    </xf>
    <xf numFmtId="4" fontId="13" fillId="6" borderId="2" xfId="0" applyNumberFormat="1" applyFont="1" applyFill="1" applyBorder="1" applyAlignment="1">
      <alignment horizontal="center" vertical="center"/>
    </xf>
    <xf numFmtId="4" fontId="13" fillId="7" borderId="2" xfId="0" applyNumberFormat="1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justify" vertical="center" wrapText="1"/>
    </xf>
    <xf numFmtId="0" fontId="12" fillId="8" borderId="0" xfId="0" applyFont="1" applyFill="1" applyBorder="1" applyAlignment="1">
      <alignment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justify" vertical="center" wrapText="1"/>
    </xf>
    <xf numFmtId="0" fontId="13" fillId="8" borderId="2" xfId="0" applyFont="1" applyFill="1" applyBorder="1" applyAlignment="1">
      <alignment horizontal="justify" vertical="center" wrapText="1"/>
    </xf>
    <xf numFmtId="4" fontId="13" fillId="8" borderId="2" xfId="0" applyNumberFormat="1" applyFont="1" applyFill="1" applyBorder="1" applyAlignment="1">
      <alignment vertical="center"/>
    </xf>
    <xf numFmtId="10" fontId="13" fillId="8" borderId="2" xfId="0" applyNumberFormat="1" applyFont="1" applyFill="1" applyBorder="1" applyAlignment="1">
      <alignment vertical="center"/>
    </xf>
    <xf numFmtId="0" fontId="14" fillId="8" borderId="0" xfId="0" applyFont="1" applyFill="1" applyBorder="1" applyAlignment="1">
      <alignment vertical="center"/>
    </xf>
    <xf numFmtId="174" fontId="11" fillId="8" borderId="9" xfId="10" applyNumberFormat="1" applyFont="1" applyFill="1" applyBorder="1" applyAlignment="1">
      <alignment vertical="center"/>
    </xf>
    <xf numFmtId="0" fontId="11" fillId="8" borderId="14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174" fontId="13" fillId="10" borderId="9" xfId="10" applyNumberFormat="1" applyFont="1" applyFill="1" applyBorder="1" applyAlignment="1">
      <alignment horizontal="center" vertical="center"/>
    </xf>
    <xf numFmtId="168" fontId="13" fillId="6" borderId="1" xfId="13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174" fontId="13" fillId="6" borderId="1" xfId="10" applyNumberFormat="1" applyFont="1" applyFill="1" applyBorder="1" applyAlignment="1">
      <alignment horizontal="center" vertical="center"/>
    </xf>
    <xf numFmtId="174" fontId="11" fillId="7" borderId="1" xfId="0" applyNumberFormat="1" applyFont="1" applyFill="1" applyBorder="1" applyAlignment="1">
      <alignment horizontal="center" vertical="center"/>
    </xf>
    <xf numFmtId="174" fontId="13" fillId="7" borderId="1" xfId="10" applyNumberFormat="1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justify" vertical="center" wrapText="1"/>
    </xf>
    <xf numFmtId="0" fontId="11" fillId="8" borderId="1" xfId="0" applyFont="1" applyFill="1" applyBorder="1" applyAlignment="1">
      <alignment horizontal="justify" vertical="center" wrapText="1"/>
    </xf>
    <xf numFmtId="0" fontId="12" fillId="8" borderId="1" xfId="0" applyFont="1" applyFill="1" applyBorder="1" applyAlignment="1">
      <alignment horizontal="center" vertical="center"/>
    </xf>
    <xf numFmtId="174" fontId="13" fillId="8" borderId="1" xfId="0" applyNumberFormat="1" applyFont="1" applyFill="1" applyBorder="1" applyAlignment="1">
      <alignment vertical="center"/>
    </xf>
    <xf numFmtId="174" fontId="13" fillId="10" borderId="1" xfId="0" applyNumberFormat="1" applyFont="1" applyFill="1" applyBorder="1" applyAlignment="1">
      <alignment horizontal="center" vertical="center"/>
    </xf>
    <xf numFmtId="166" fontId="14" fillId="7" borderId="1" xfId="0" applyNumberFormat="1" applyFont="1" applyFill="1" applyBorder="1" applyAlignment="1">
      <alignment vertical="center"/>
    </xf>
    <xf numFmtId="10" fontId="13" fillId="8" borderId="2" xfId="0" applyNumberFormat="1" applyFont="1" applyFill="1" applyBorder="1" applyAlignment="1">
      <alignment horizontal="center" vertical="center"/>
    </xf>
    <xf numFmtId="166" fontId="13" fillId="6" borderId="2" xfId="0" applyNumberFormat="1" applyFont="1" applyFill="1" applyBorder="1" applyAlignment="1">
      <alignment vertical="center"/>
    </xf>
    <xf numFmtId="166" fontId="13" fillId="7" borderId="2" xfId="0" applyNumberFormat="1" applyFont="1" applyFill="1" applyBorder="1" applyAlignment="1">
      <alignment vertical="center"/>
    </xf>
    <xf numFmtId="10" fontId="13" fillId="7" borderId="2" xfId="0" applyNumberFormat="1" applyFont="1" applyFill="1" applyBorder="1" applyAlignment="1">
      <alignment horizontal="center" vertical="center"/>
    </xf>
    <xf numFmtId="164" fontId="11" fillId="0" borderId="1" xfId="0" applyNumberFormat="1" applyFont="1" applyBorder="1" applyAlignment="1">
      <alignment vertical="center"/>
    </xf>
    <xf numFmtId="164" fontId="11" fillId="6" borderId="1" xfId="0" applyNumberFormat="1" applyFont="1" applyFill="1" applyBorder="1" applyAlignment="1">
      <alignment vertical="center"/>
    </xf>
    <xf numFmtId="164" fontId="11" fillId="7" borderId="1" xfId="0" applyNumberFormat="1" applyFont="1" applyFill="1" applyBorder="1" applyAlignment="1">
      <alignment vertical="center"/>
    </xf>
    <xf numFmtId="166" fontId="11" fillId="6" borderId="1" xfId="0" applyNumberFormat="1" applyFont="1" applyFill="1" applyBorder="1" applyAlignment="1">
      <alignment horizontal="right" vertical="center"/>
    </xf>
    <xf numFmtId="166" fontId="11" fillId="7" borderId="1" xfId="0" applyNumberFormat="1" applyFont="1" applyFill="1" applyBorder="1" applyAlignment="1">
      <alignment horizontal="right" vertical="center"/>
    </xf>
    <xf numFmtId="0" fontId="12" fillId="0" borderId="1" xfId="0" applyFont="1" applyFill="1" applyBorder="1" applyAlignment="1">
      <alignment horizontal="justify" vertical="center" wrapText="1"/>
    </xf>
    <xf numFmtId="0" fontId="14" fillId="8" borderId="1" xfId="0" applyFont="1" applyFill="1" applyBorder="1" applyAlignment="1">
      <alignment horizontal="justify" vertical="center" wrapText="1"/>
    </xf>
    <xf numFmtId="10" fontId="12" fillId="8" borderId="1" xfId="0" applyNumberFormat="1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164" fontId="11" fillId="0" borderId="0" xfId="0" applyNumberFormat="1" applyFont="1" applyBorder="1" applyAlignment="1">
      <alignment vertical="center"/>
    </xf>
    <xf numFmtId="0" fontId="12" fillId="8" borderId="1" xfId="0" applyFont="1" applyFill="1" applyBorder="1" applyAlignment="1">
      <alignment horizontal="justify" vertical="center" wrapText="1"/>
    </xf>
    <xf numFmtId="169" fontId="12" fillId="8" borderId="1" xfId="0" applyNumberFormat="1" applyFont="1" applyFill="1" applyBorder="1" applyAlignment="1">
      <alignment vertical="center"/>
    </xf>
    <xf numFmtId="164" fontId="11" fillId="8" borderId="2" xfId="0" applyNumberFormat="1" applyFont="1" applyFill="1" applyBorder="1" applyAlignment="1">
      <alignment vertical="center"/>
    </xf>
    <xf numFmtId="169" fontId="11" fillId="8" borderId="2" xfId="0" applyNumberFormat="1" applyFont="1" applyFill="1" applyBorder="1" applyAlignment="1">
      <alignment vertical="center" wrapText="1"/>
    </xf>
    <xf numFmtId="169" fontId="12" fillId="8" borderId="2" xfId="0" applyNumberFormat="1" applyFont="1" applyFill="1" applyBorder="1" applyAlignment="1">
      <alignment vertical="center"/>
    </xf>
    <xf numFmtId="170" fontId="11" fillId="6" borderId="1" xfId="0" applyNumberFormat="1" applyFont="1" applyFill="1" applyBorder="1" applyAlignment="1">
      <alignment vertical="center"/>
    </xf>
    <xf numFmtId="174" fontId="13" fillId="7" borderId="1" xfId="0" applyNumberFormat="1" applyFont="1" applyFill="1" applyBorder="1" applyAlignment="1">
      <alignment horizontal="center" vertical="center"/>
    </xf>
    <xf numFmtId="168" fontId="11" fillId="7" borderId="1" xfId="0" applyNumberFormat="1" applyFont="1" applyFill="1" applyBorder="1" applyAlignment="1">
      <alignment vertical="center"/>
    </xf>
    <xf numFmtId="179" fontId="12" fillId="6" borderId="1" xfId="0" applyNumberFormat="1" applyFont="1" applyFill="1" applyBorder="1" applyAlignment="1">
      <alignment vertical="center"/>
    </xf>
    <xf numFmtId="179" fontId="12" fillId="7" borderId="1" xfId="0" applyNumberFormat="1" applyFont="1" applyFill="1" applyBorder="1" applyAlignment="1">
      <alignment vertical="center"/>
    </xf>
    <xf numFmtId="179" fontId="11" fillId="6" borderId="1" xfId="0" applyNumberFormat="1" applyFont="1" applyFill="1" applyBorder="1" applyAlignment="1">
      <alignment vertical="center"/>
    </xf>
    <xf numFmtId="179" fontId="11" fillId="7" borderId="1" xfId="0" applyNumberFormat="1" applyFont="1" applyFill="1" applyBorder="1" applyAlignment="1">
      <alignment vertical="center"/>
    </xf>
    <xf numFmtId="170" fontId="11" fillId="7" borderId="1" xfId="0" applyNumberFormat="1" applyFont="1" applyFill="1" applyBorder="1" applyAlignment="1">
      <alignment vertical="center"/>
    </xf>
    <xf numFmtId="164" fontId="11" fillId="7" borderId="2" xfId="0" applyNumberFormat="1" applyFont="1" applyFill="1" applyBorder="1" applyAlignment="1">
      <alignment vertical="center"/>
    </xf>
    <xf numFmtId="169" fontId="12" fillId="7" borderId="2" xfId="0" applyNumberFormat="1" applyFont="1" applyFill="1" applyBorder="1" applyAlignment="1">
      <alignment vertical="center"/>
    </xf>
    <xf numFmtId="170" fontId="11" fillId="0" borderId="2" xfId="0" applyNumberFormat="1" applyFont="1" applyBorder="1" applyAlignment="1">
      <alignment vertical="center"/>
    </xf>
    <xf numFmtId="167" fontId="11" fillId="0" borderId="1" xfId="0" applyNumberFormat="1" applyFont="1" applyBorder="1" applyAlignment="1">
      <alignment horizontal="justify" vertical="center" wrapText="1"/>
    </xf>
    <xf numFmtId="167" fontId="11" fillId="0" borderId="1" xfId="0" applyNumberFormat="1" applyFont="1" applyFill="1" applyBorder="1" applyAlignment="1">
      <alignment horizontal="justify" vertical="center" wrapText="1"/>
    </xf>
    <xf numFmtId="164" fontId="11" fillId="8" borderId="1" xfId="0" applyNumberFormat="1" applyFont="1" applyFill="1" applyBorder="1" applyAlignment="1">
      <alignment vertical="center"/>
    </xf>
    <xf numFmtId="164" fontId="11" fillId="8" borderId="1" xfId="13" applyNumberFormat="1" applyFont="1" applyFill="1" applyBorder="1" applyAlignment="1">
      <alignment vertical="center"/>
    </xf>
    <xf numFmtId="164" fontId="12" fillId="0" borderId="1" xfId="0" applyNumberFormat="1" applyFont="1" applyBorder="1" applyAlignment="1">
      <alignment vertical="center" wrapText="1"/>
    </xf>
    <xf numFmtId="164" fontId="12" fillId="7" borderId="1" xfId="0" applyNumberFormat="1" applyFont="1" applyFill="1" applyBorder="1" applyAlignment="1">
      <alignment vertical="center"/>
    </xf>
    <xf numFmtId="164" fontId="11" fillId="0" borderId="1" xfId="0" applyNumberFormat="1" applyFont="1" applyBorder="1" applyAlignment="1">
      <alignment vertical="center" wrapText="1"/>
    </xf>
    <xf numFmtId="165" fontId="11" fillId="0" borderId="1" xfId="0" applyNumberFormat="1" applyFont="1" applyBorder="1" applyAlignment="1">
      <alignment horizontal="justify" vertical="center" wrapText="1"/>
    </xf>
    <xf numFmtId="164" fontId="11" fillId="7" borderId="1" xfId="0" applyNumberFormat="1" applyFont="1" applyFill="1" applyBorder="1" applyAlignment="1">
      <alignment vertical="center" wrapText="1"/>
    </xf>
    <xf numFmtId="164" fontId="12" fillId="7" borderId="1" xfId="0" applyNumberFormat="1" applyFont="1" applyFill="1" applyBorder="1" applyAlignment="1">
      <alignment vertical="center" wrapText="1"/>
    </xf>
    <xf numFmtId="164" fontId="11" fillId="6" borderId="1" xfId="0" applyNumberFormat="1" applyFont="1" applyFill="1" applyBorder="1" applyAlignment="1">
      <alignment vertical="center" wrapText="1"/>
    </xf>
    <xf numFmtId="2" fontId="14" fillId="6" borderId="1" xfId="0" applyNumberFormat="1" applyFont="1" applyFill="1" applyBorder="1" applyAlignment="1">
      <alignment horizontal="center" vertical="center"/>
    </xf>
    <xf numFmtId="166" fontId="14" fillId="6" borderId="1" xfId="0" applyNumberFormat="1" applyFont="1" applyFill="1" applyBorder="1" applyAlignment="1">
      <alignment horizontal="center" vertical="center"/>
    </xf>
    <xf numFmtId="164" fontId="11" fillId="8" borderId="1" xfId="0" applyNumberFormat="1" applyFont="1" applyFill="1" applyBorder="1" applyAlignment="1">
      <alignment vertical="center" wrapText="1"/>
    </xf>
    <xf numFmtId="169" fontId="11" fillId="7" borderId="2" xfId="0" applyNumberFormat="1" applyFont="1" applyFill="1" applyBorder="1" applyAlignment="1">
      <alignment vertical="center"/>
    </xf>
    <xf numFmtId="164" fontId="11" fillId="6" borderId="2" xfId="0" applyNumberFormat="1" applyFont="1" applyFill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18" fillId="0" borderId="0" xfId="0" applyFont="1" applyAlignment="1">
      <alignment vertical="center"/>
    </xf>
    <xf numFmtId="164" fontId="18" fillId="7" borderId="1" xfId="0" applyNumberFormat="1" applyFont="1" applyFill="1" applyBorder="1" applyAlignment="1">
      <alignment vertical="center" wrapText="1"/>
    </xf>
    <xf numFmtId="178" fontId="13" fillId="6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right" vertical="center" wrapText="1"/>
    </xf>
    <xf numFmtId="0" fontId="11" fillId="0" borderId="1" xfId="0" applyFont="1" applyFill="1" applyBorder="1" applyAlignment="1">
      <alignment horizontal="left" vertical="center" wrapText="1"/>
    </xf>
    <xf numFmtId="178" fontId="13" fillId="7" borderId="1" xfId="0" applyNumberFormat="1" applyFont="1" applyFill="1" applyBorder="1" applyAlignment="1">
      <alignment horizontal="center" vertical="center"/>
    </xf>
    <xf numFmtId="178" fontId="11" fillId="8" borderId="1" xfId="13" applyNumberFormat="1" applyFont="1" applyFill="1" applyBorder="1" applyAlignment="1">
      <alignment horizontal="center" vertical="center"/>
    </xf>
    <xf numFmtId="178" fontId="13" fillId="8" borderId="1" xfId="0" applyNumberFormat="1" applyFont="1" applyFill="1" applyBorder="1" applyAlignment="1">
      <alignment horizontal="center" vertical="center"/>
    </xf>
    <xf numFmtId="168" fontId="13" fillId="8" borderId="1" xfId="13" applyNumberFormat="1" applyFont="1" applyFill="1" applyBorder="1" applyAlignment="1">
      <alignment vertical="center"/>
    </xf>
    <xf numFmtId="168" fontId="11" fillId="8" borderId="1" xfId="13" applyNumberFormat="1" applyFont="1" applyFill="1" applyBorder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178" fontId="19" fillId="8" borderId="1" xfId="0" applyNumberFormat="1" applyFont="1" applyFill="1" applyBorder="1" applyAlignment="1">
      <alignment horizontal="center" vertical="center"/>
    </xf>
    <xf numFmtId="174" fontId="13" fillId="8" borderId="1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2" fontId="11" fillId="3" borderId="0" xfId="0" applyNumberFormat="1" applyFont="1" applyFill="1" applyBorder="1" applyAlignment="1">
      <alignment horizontal="right" vertical="center"/>
    </xf>
    <xf numFmtId="164" fontId="13" fillId="7" borderId="1" xfId="0" applyNumberFormat="1" applyFont="1" applyFill="1" applyBorder="1" applyAlignment="1">
      <alignment vertical="center" wrapText="1"/>
    </xf>
    <xf numFmtId="0" fontId="19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justify" vertical="center" wrapText="1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164" fontId="21" fillId="7" borderId="1" xfId="0" applyNumberFormat="1" applyFont="1" applyFill="1" applyBorder="1" applyAlignment="1">
      <alignment vertical="center" wrapText="1"/>
    </xf>
    <xf numFmtId="0" fontId="13" fillId="8" borderId="1" xfId="0" applyFont="1" applyFill="1" applyBorder="1" applyAlignment="1">
      <alignment horizontal="right" vertical="center" wrapText="1"/>
    </xf>
    <xf numFmtId="169" fontId="11" fillId="8" borderId="1" xfId="0" applyNumberFormat="1" applyFont="1" applyFill="1" applyBorder="1" applyAlignment="1">
      <alignment vertical="center"/>
    </xf>
    <xf numFmtId="169" fontId="11" fillId="6" borderId="1" xfId="0" applyNumberFormat="1" applyFont="1" applyFill="1" applyBorder="1" applyAlignment="1">
      <alignment vertical="center"/>
    </xf>
    <xf numFmtId="169" fontId="11" fillId="7" borderId="1" xfId="0" applyNumberFormat="1" applyFont="1" applyFill="1" applyBorder="1" applyAlignment="1">
      <alignment vertical="center"/>
    </xf>
    <xf numFmtId="169" fontId="11" fillId="8" borderId="2" xfId="0" applyNumberFormat="1" applyFont="1" applyFill="1" applyBorder="1" applyAlignment="1">
      <alignment vertical="center"/>
    </xf>
    <xf numFmtId="166" fontId="13" fillId="7" borderId="2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168" fontId="22" fillId="6" borderId="1" xfId="13" applyNumberFormat="1" applyFont="1" applyFill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8" borderId="0" xfId="0" applyFont="1" applyFill="1" applyBorder="1" applyAlignment="1">
      <alignment vertical="center"/>
    </xf>
    <xf numFmtId="0" fontId="23" fillId="0" borderId="5" xfId="0" applyFont="1" applyBorder="1" applyAlignment="1">
      <alignment horizontal="center" vertical="center"/>
    </xf>
    <xf numFmtId="0" fontId="23" fillId="8" borderId="1" xfId="0" applyFont="1" applyFill="1" applyBorder="1" applyAlignment="1">
      <alignment horizontal="justify" vertical="center" wrapText="1"/>
    </xf>
    <xf numFmtId="169" fontId="23" fillId="8" borderId="2" xfId="0" applyNumberFormat="1" applyFont="1" applyFill="1" applyBorder="1" applyAlignment="1">
      <alignment vertical="center"/>
    </xf>
    <xf numFmtId="0" fontId="24" fillId="8" borderId="0" xfId="0" applyFont="1" applyFill="1" applyBorder="1" applyAlignment="1">
      <alignment vertical="center"/>
    </xf>
    <xf numFmtId="169" fontId="13" fillId="8" borderId="2" xfId="0" applyNumberFormat="1" applyFont="1" applyFill="1" applyBorder="1" applyAlignment="1">
      <alignment vertical="center"/>
    </xf>
    <xf numFmtId="169" fontId="22" fillId="7" borderId="2" xfId="0" applyNumberFormat="1" applyFont="1" applyFill="1" applyBorder="1" applyAlignment="1">
      <alignment vertical="center"/>
    </xf>
    <xf numFmtId="168" fontId="13" fillId="8" borderId="2" xfId="0" applyNumberFormat="1" applyFont="1" applyFill="1" applyBorder="1" applyAlignment="1">
      <alignment horizontal="right" vertical="center"/>
    </xf>
    <xf numFmtId="0" fontId="23" fillId="0" borderId="1" xfId="0" applyFont="1" applyBorder="1" applyAlignment="1">
      <alignment horizontal="center" vertical="center"/>
    </xf>
    <xf numFmtId="0" fontId="24" fillId="3" borderId="2" xfId="0" applyFont="1" applyFill="1" applyBorder="1" applyAlignment="1">
      <alignment horizontal="justify" vertical="center" wrapText="1"/>
    </xf>
    <xf numFmtId="0" fontId="23" fillId="3" borderId="2" xfId="0" applyFont="1" applyFill="1" applyBorder="1" applyAlignment="1">
      <alignment horizontal="justify" vertical="center" wrapText="1"/>
    </xf>
    <xf numFmtId="0" fontId="23" fillId="0" borderId="0" xfId="0" applyFont="1" applyBorder="1" applyAlignment="1">
      <alignment vertical="center"/>
    </xf>
    <xf numFmtId="0" fontId="23" fillId="0" borderId="2" xfId="0" applyFont="1" applyBorder="1" applyAlignment="1">
      <alignment horizontal="justify" vertical="center" wrapText="1"/>
    </xf>
    <xf numFmtId="2" fontId="11" fillId="3" borderId="11" xfId="0" applyNumberFormat="1" applyFont="1" applyFill="1" applyBorder="1" applyAlignment="1">
      <alignment horizontal="right" vertical="center"/>
    </xf>
    <xf numFmtId="0" fontId="15" fillId="0" borderId="1" xfId="0" applyFont="1" applyFill="1" applyBorder="1" applyAlignment="1">
      <alignment horizontal="justify" vertical="center" wrapText="1"/>
    </xf>
    <xf numFmtId="174" fontId="13" fillId="8" borderId="1" xfId="10" applyNumberFormat="1" applyFont="1" applyFill="1" applyBorder="1" applyAlignment="1">
      <alignment horizontal="center" vertical="center"/>
    </xf>
    <xf numFmtId="2" fontId="14" fillId="10" borderId="1" xfId="0" applyNumberFormat="1" applyFont="1" applyFill="1" applyBorder="1" applyAlignment="1">
      <alignment horizontal="center" vertical="center"/>
    </xf>
    <xf numFmtId="0" fontId="14" fillId="8" borderId="1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vertical="center"/>
    </xf>
    <xf numFmtId="0" fontId="13" fillId="8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justify" vertical="center" wrapText="1"/>
    </xf>
    <xf numFmtId="164" fontId="11" fillId="6" borderId="1" xfId="13" applyNumberFormat="1" applyFont="1" applyFill="1" applyBorder="1" applyAlignment="1">
      <alignment vertical="center"/>
    </xf>
    <xf numFmtId="164" fontId="2" fillId="8" borderId="1" xfId="0" applyNumberFormat="1" applyFont="1" applyFill="1" applyBorder="1" applyAlignment="1">
      <alignment vertical="center"/>
    </xf>
    <xf numFmtId="165" fontId="2" fillId="0" borderId="1" xfId="0" applyNumberFormat="1" applyFont="1" applyBorder="1" applyAlignment="1">
      <alignment horizontal="justify" vertical="center" wrapText="1"/>
    </xf>
    <xf numFmtId="164" fontId="2" fillId="6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justify" vertical="center" wrapText="1"/>
    </xf>
    <xf numFmtId="0" fontId="22" fillId="0" borderId="1" xfId="0" applyFont="1" applyBorder="1" applyAlignment="1">
      <alignment horizontal="justify" vertical="center" wrapText="1"/>
    </xf>
    <xf numFmtId="164" fontId="13" fillId="6" borderId="1" xfId="0" applyNumberFormat="1" applyFont="1" applyFill="1" applyBorder="1" applyAlignment="1">
      <alignment vertical="center" wrapText="1"/>
    </xf>
    <xf numFmtId="0" fontId="20" fillId="8" borderId="1" xfId="0" applyFont="1" applyFill="1" applyBorder="1" applyAlignment="1">
      <alignment horizontal="center" vertical="center"/>
    </xf>
    <xf numFmtId="0" fontId="20" fillId="8" borderId="0" xfId="0" applyFont="1" applyFill="1" applyBorder="1" applyAlignment="1">
      <alignment vertical="center"/>
    </xf>
    <xf numFmtId="0" fontId="20" fillId="8" borderId="0" xfId="0" applyFont="1" applyFill="1" applyAlignment="1">
      <alignment vertical="center"/>
    </xf>
    <xf numFmtId="164" fontId="13" fillId="8" borderId="1" xfId="0" applyNumberFormat="1" applyFont="1" applyFill="1" applyBorder="1" applyAlignment="1">
      <alignment vertical="center" wrapText="1"/>
    </xf>
    <xf numFmtId="1" fontId="11" fillId="8" borderId="0" xfId="0" applyNumberFormat="1" applyFont="1" applyFill="1" applyBorder="1" applyAlignment="1">
      <alignment vertical="center"/>
    </xf>
    <xf numFmtId="2" fontId="12" fillId="0" borderId="1" xfId="0" applyNumberFormat="1" applyFont="1" applyFill="1" applyBorder="1" applyAlignment="1">
      <alignment vertical="center"/>
    </xf>
    <xf numFmtId="178" fontId="11" fillId="7" borderId="1" xfId="13" applyNumberFormat="1" applyFont="1" applyFill="1" applyBorder="1" applyAlignment="1">
      <alignment horizontal="center" vertical="center"/>
    </xf>
    <xf numFmtId="0" fontId="12" fillId="9" borderId="1" xfId="0" applyNumberFormat="1" applyFont="1" applyFill="1" applyBorder="1" applyAlignment="1">
      <alignment horizontal="center" vertical="center"/>
    </xf>
    <xf numFmtId="168" fontId="12" fillId="9" borderId="1" xfId="13" applyNumberFormat="1" applyFont="1" applyFill="1" applyBorder="1" applyAlignment="1">
      <alignment horizontal="left" vertical="center"/>
    </xf>
    <xf numFmtId="0" fontId="13" fillId="9" borderId="0" xfId="0" applyFont="1" applyFill="1" applyBorder="1" applyAlignment="1">
      <alignment vertical="center"/>
    </xf>
    <xf numFmtId="0" fontId="13" fillId="9" borderId="0" xfId="0" applyFont="1" applyFill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justify" vertical="center" wrapText="1"/>
    </xf>
    <xf numFmtId="168" fontId="14" fillId="7" borderId="2" xfId="0" applyNumberFormat="1" applyFont="1" applyFill="1" applyBorder="1" applyAlignment="1">
      <alignment horizontal="right" vertical="center"/>
    </xf>
    <xf numFmtId="178" fontId="12" fillId="7" borderId="1" xfId="13" applyNumberFormat="1" applyFont="1" applyFill="1" applyBorder="1" applyAlignment="1">
      <alignment horizontal="center" vertical="center"/>
    </xf>
    <xf numFmtId="10" fontId="13" fillId="3" borderId="17" xfId="0" applyNumberFormat="1" applyFont="1" applyFill="1" applyBorder="1" applyAlignment="1">
      <alignment horizontal="justify" vertical="center" wrapText="1"/>
    </xf>
    <xf numFmtId="0" fontId="13" fillId="3" borderId="1" xfId="0" applyFont="1" applyFill="1" applyBorder="1" applyAlignment="1">
      <alignment horizontal="justify" vertical="center" wrapText="1"/>
    </xf>
    <xf numFmtId="172" fontId="11" fillId="6" borderId="1" xfId="0" applyNumberFormat="1" applyFont="1" applyFill="1" applyBorder="1" applyAlignment="1">
      <alignment horizontal="right" vertical="center"/>
    </xf>
    <xf numFmtId="172" fontId="11" fillId="7" borderId="1" xfId="0" applyNumberFormat="1" applyFont="1" applyFill="1" applyBorder="1" applyAlignment="1">
      <alignment horizontal="right" vertical="center"/>
    </xf>
    <xf numFmtId="168" fontId="11" fillId="8" borderId="1" xfId="0" applyNumberFormat="1" applyFont="1" applyFill="1" applyBorder="1" applyAlignment="1">
      <alignment vertical="center"/>
    </xf>
    <xf numFmtId="169" fontId="11" fillId="8" borderId="1" xfId="13" applyNumberFormat="1" applyFont="1" applyFill="1" applyBorder="1" applyAlignment="1">
      <alignment vertical="center"/>
    </xf>
    <xf numFmtId="166" fontId="14" fillId="10" borderId="2" xfId="0" applyNumberFormat="1" applyFont="1" applyFill="1" applyBorder="1" applyAlignment="1">
      <alignment vertical="center"/>
    </xf>
    <xf numFmtId="178" fontId="13" fillId="7" borderId="1" xfId="13" applyNumberFormat="1" applyFont="1" applyFill="1" applyBorder="1" applyAlignment="1">
      <alignment horizontal="center" vertical="center"/>
    </xf>
    <xf numFmtId="178" fontId="11" fillId="10" borderId="1" xfId="13" applyNumberFormat="1" applyFont="1" applyFill="1" applyBorder="1" applyAlignment="1">
      <alignment horizontal="center" vertical="center"/>
    </xf>
    <xf numFmtId="178" fontId="13" fillId="10" borderId="1" xfId="13" applyNumberFormat="1" applyFont="1" applyFill="1" applyBorder="1" applyAlignment="1">
      <alignment horizontal="center" vertical="center"/>
    </xf>
    <xf numFmtId="168" fontId="11" fillId="6" borderId="2" xfId="0" applyNumberFormat="1" applyFont="1" applyFill="1" applyBorder="1" applyAlignment="1">
      <alignment horizontal="right" vertical="center"/>
    </xf>
    <xf numFmtId="168" fontId="11" fillId="12" borderId="2" xfId="0" applyNumberFormat="1" applyFont="1" applyFill="1" applyBorder="1" applyAlignment="1">
      <alignment horizontal="right" vertical="center"/>
    </xf>
    <xf numFmtId="16" fontId="13" fillId="0" borderId="1" xfId="0" applyNumberFormat="1" applyFont="1" applyBorder="1" applyAlignment="1">
      <alignment horizontal="center" vertical="center"/>
    </xf>
    <xf numFmtId="178" fontId="11" fillId="8" borderId="2" xfId="13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69" fontId="24" fillId="7" borderId="1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>
      <alignment vertical="center"/>
    </xf>
    <xf numFmtId="169" fontId="23" fillId="3" borderId="2" xfId="0" applyNumberFormat="1" applyFont="1" applyFill="1" applyBorder="1" applyAlignment="1">
      <alignment horizontal="justify" vertical="center" wrapText="1"/>
    </xf>
    <xf numFmtId="169" fontId="23" fillId="6" borderId="1" xfId="0" applyNumberFormat="1" applyFont="1" applyFill="1" applyBorder="1" applyAlignment="1">
      <alignment horizontal="center" vertical="center" wrapText="1"/>
    </xf>
    <xf numFmtId="2" fontId="19" fillId="0" borderId="0" xfId="0" applyNumberFormat="1" applyFont="1" applyBorder="1" applyAlignment="1">
      <alignment vertical="center"/>
    </xf>
    <xf numFmtId="169" fontId="23" fillId="6" borderId="1" xfId="0" applyNumberFormat="1" applyFont="1" applyFill="1" applyBorder="1" applyAlignment="1">
      <alignment horizontal="justify" vertical="center" wrapText="1"/>
    </xf>
    <xf numFmtId="169" fontId="23" fillId="6" borderId="2" xfId="0" applyNumberFormat="1" applyFont="1" applyFill="1" applyBorder="1" applyAlignment="1">
      <alignment horizontal="justify" vertical="center" wrapText="1"/>
    </xf>
    <xf numFmtId="0" fontId="19" fillId="8" borderId="1" xfId="0" applyFont="1" applyFill="1" applyBorder="1" applyAlignment="1">
      <alignment horizontal="center" vertical="center"/>
    </xf>
    <xf numFmtId="0" fontId="19" fillId="8" borderId="2" xfId="0" applyFont="1" applyFill="1" applyBorder="1" applyAlignment="1">
      <alignment horizontal="justify" vertical="center" wrapText="1"/>
    </xf>
    <xf numFmtId="169" fontId="19" fillId="8" borderId="2" xfId="0" applyNumberFormat="1" applyFont="1" applyFill="1" applyBorder="1" applyAlignment="1">
      <alignment horizontal="justify" vertical="center" wrapText="1"/>
    </xf>
    <xf numFmtId="0" fontId="19" fillId="8" borderId="0" xfId="0" applyFont="1" applyFill="1" applyBorder="1" applyAlignment="1">
      <alignment vertical="center"/>
    </xf>
    <xf numFmtId="2" fontId="19" fillId="8" borderId="0" xfId="0" applyNumberFormat="1" applyFont="1" applyFill="1" applyBorder="1" applyAlignment="1">
      <alignment vertical="center"/>
    </xf>
    <xf numFmtId="168" fontId="11" fillId="8" borderId="2" xfId="0" applyNumberFormat="1" applyFont="1" applyFill="1" applyBorder="1" applyAlignment="1">
      <alignment horizontal="right" vertical="center"/>
    </xf>
    <xf numFmtId="2" fontId="11" fillId="0" borderId="0" xfId="0" applyNumberFormat="1" applyFont="1" applyFill="1" applyAlignment="1">
      <alignment vertical="center"/>
    </xf>
    <xf numFmtId="169" fontId="23" fillId="6" borderId="17" xfId="0" applyNumberFormat="1" applyFont="1" applyFill="1" applyBorder="1" applyAlignment="1">
      <alignment horizontal="justify" vertical="center" wrapText="1"/>
    </xf>
    <xf numFmtId="169" fontId="23" fillId="6" borderId="1" xfId="0" applyNumberFormat="1" applyFont="1" applyFill="1" applyBorder="1" applyAlignment="1">
      <alignment horizontal="center" vertical="center"/>
    </xf>
    <xf numFmtId="169" fontId="13" fillId="8" borderId="2" xfId="0" applyNumberFormat="1" applyFont="1" applyFill="1" applyBorder="1" applyAlignment="1">
      <alignment horizontal="justify" vertical="center" wrapText="1"/>
    </xf>
    <xf numFmtId="174" fontId="19" fillId="8" borderId="2" xfId="0" applyNumberFormat="1" applyFont="1" applyFill="1" applyBorder="1" applyAlignment="1">
      <alignment horizontal="center" vertical="center" wrapText="1"/>
    </xf>
    <xf numFmtId="2" fontId="13" fillId="8" borderId="0" xfId="0" applyNumberFormat="1" applyFont="1" applyFill="1" applyBorder="1" applyAlignment="1">
      <alignment vertical="center"/>
    </xf>
    <xf numFmtId="169" fontId="11" fillId="7" borderId="2" xfId="0" applyNumberFormat="1" applyFont="1" applyFill="1" applyBorder="1" applyAlignment="1">
      <alignment horizontal="justify" vertical="center" wrapText="1"/>
    </xf>
    <xf numFmtId="182" fontId="11" fillId="8" borderId="0" xfId="0" applyNumberFormat="1" applyFont="1" applyFill="1" applyBorder="1" applyAlignment="1">
      <alignment vertical="center"/>
    </xf>
    <xf numFmtId="174" fontId="13" fillId="10" borderId="2" xfId="0" applyNumberFormat="1" applyFont="1" applyFill="1" applyBorder="1" applyAlignment="1">
      <alignment horizontal="center" vertical="center"/>
    </xf>
    <xf numFmtId="166" fontId="14" fillId="10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justify" vertical="center" wrapText="1"/>
    </xf>
    <xf numFmtId="0" fontId="11" fillId="3" borderId="1" xfId="0" applyNumberFormat="1" applyFont="1" applyFill="1" applyBorder="1" applyAlignment="1">
      <alignment horizontal="justify" vertical="center" wrapText="1"/>
    </xf>
    <xf numFmtId="164" fontId="11" fillId="10" borderId="1" xfId="0" applyNumberFormat="1" applyFont="1" applyFill="1" applyBorder="1" applyAlignment="1">
      <alignment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justify" vertical="center" wrapText="1"/>
    </xf>
    <xf numFmtId="0" fontId="7" fillId="0" borderId="0" xfId="0" applyFont="1" applyAlignment="1">
      <alignment horizontal="center" vertical="center" wrapText="1"/>
    </xf>
    <xf numFmtId="0" fontId="25" fillId="0" borderId="1" xfId="0" applyFont="1" applyBorder="1" applyAlignment="1">
      <alignment horizontal="justify" vertical="center" wrapText="1"/>
    </xf>
    <xf numFmtId="164" fontId="25" fillId="7" borderId="1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7" fillId="0" borderId="1" xfId="0" applyFont="1" applyBorder="1" applyAlignment="1">
      <alignment horizontal="justify" vertical="center" wrapText="1"/>
    </xf>
    <xf numFmtId="164" fontId="7" fillId="10" borderId="1" xfId="0" applyNumberFormat="1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164" fontId="7" fillId="7" borderId="1" xfId="0" applyNumberFormat="1" applyFont="1" applyFill="1" applyBorder="1" applyAlignment="1">
      <alignment horizontal="center" vertical="center" wrapText="1"/>
    </xf>
    <xf numFmtId="178" fontId="19" fillId="7" borderId="1" xfId="0" applyNumberFormat="1" applyFont="1" applyFill="1" applyBorder="1" applyAlignment="1">
      <alignment horizontal="center" vertical="center"/>
    </xf>
    <xf numFmtId="174" fontId="19" fillId="7" borderId="1" xfId="0" applyNumberFormat="1" applyFont="1" applyFill="1" applyBorder="1" applyAlignment="1">
      <alignment horizontal="center" vertical="center"/>
    </xf>
    <xf numFmtId="169" fontId="19" fillId="8" borderId="2" xfId="0" applyNumberFormat="1" applyFont="1" applyFill="1" applyBorder="1" applyAlignment="1">
      <alignment vertical="center"/>
    </xf>
    <xf numFmtId="168" fontId="22" fillId="7" borderId="1" xfId="13" applyNumberFormat="1" applyFont="1" applyFill="1" applyBorder="1" applyAlignment="1">
      <alignment vertical="center"/>
    </xf>
    <xf numFmtId="165" fontId="1" fillId="0" borderId="1" xfId="0" applyNumberFormat="1" applyFont="1" applyBorder="1" applyAlignment="1">
      <alignment horizontal="justify" vertical="center" wrapText="1"/>
    </xf>
    <xf numFmtId="0" fontId="1" fillId="0" borderId="1" xfId="0" applyFont="1" applyBorder="1" applyAlignment="1">
      <alignment horizontal="justify" vertical="center" wrapText="1"/>
    </xf>
    <xf numFmtId="0" fontId="23" fillId="0" borderId="1" xfId="0" applyFont="1" applyBorder="1" applyAlignment="1">
      <alignment vertical="center"/>
    </xf>
    <xf numFmtId="168" fontId="23" fillId="8" borderId="2" xfId="0" applyNumberFormat="1" applyFont="1" applyFill="1" applyBorder="1" applyAlignment="1">
      <alignment vertical="center"/>
    </xf>
    <xf numFmtId="168" fontId="23" fillId="8" borderId="1" xfId="13" applyNumberFormat="1" applyFont="1" applyFill="1" applyBorder="1" applyAlignment="1">
      <alignment vertical="center"/>
    </xf>
    <xf numFmtId="0" fontId="22" fillId="0" borderId="5" xfId="0" applyFont="1" applyBorder="1" applyAlignment="1">
      <alignment horizontal="center" vertical="center"/>
    </xf>
    <xf numFmtId="0" fontId="22" fillId="8" borderId="1" xfId="0" applyFont="1" applyFill="1" applyBorder="1" applyAlignment="1">
      <alignment horizontal="justify" vertical="center" wrapText="1"/>
    </xf>
    <xf numFmtId="0" fontId="26" fillId="8" borderId="0" xfId="0" applyFont="1" applyFill="1" applyBorder="1" applyAlignment="1">
      <alignment vertical="center"/>
    </xf>
    <xf numFmtId="168" fontId="23" fillId="8" borderId="2" xfId="0" applyNumberFormat="1" applyFont="1" applyFill="1" applyBorder="1" applyAlignment="1">
      <alignment horizontal="right" vertical="center"/>
    </xf>
    <xf numFmtId="0" fontId="23" fillId="8" borderId="0" xfId="0" applyFont="1" applyFill="1" applyBorder="1" applyAlignment="1">
      <alignment vertical="center"/>
    </xf>
    <xf numFmtId="168" fontId="24" fillId="8" borderId="2" xfId="0" applyNumberFormat="1" applyFont="1" applyFill="1" applyBorder="1" applyAlignment="1">
      <alignment horizontal="right" vertical="center"/>
    </xf>
    <xf numFmtId="168" fontId="14" fillId="8" borderId="2" xfId="0" applyNumberFormat="1" applyFont="1" applyFill="1" applyBorder="1" applyAlignment="1">
      <alignment horizontal="right" vertical="center"/>
    </xf>
    <xf numFmtId="168" fontId="23" fillId="6" borderId="2" xfId="0" applyNumberFormat="1" applyFont="1" applyFill="1" applyBorder="1" applyAlignment="1">
      <alignment horizontal="right" vertical="center"/>
    </xf>
    <xf numFmtId="168" fontId="23" fillId="7" borderId="2" xfId="0" applyNumberFormat="1" applyFont="1" applyFill="1" applyBorder="1" applyAlignment="1">
      <alignment horizontal="right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0" xfId="0" applyFont="1" applyFill="1" applyBorder="1" applyAlignment="1">
      <alignment vertical="center"/>
    </xf>
    <xf numFmtId="0" fontId="18" fillId="8" borderId="0" xfId="0" applyFont="1" applyFill="1" applyAlignment="1">
      <alignment vertical="center"/>
    </xf>
    <xf numFmtId="169" fontId="18" fillId="6" borderId="1" xfId="0" applyNumberFormat="1" applyFont="1" applyFill="1" applyBorder="1" applyAlignment="1">
      <alignment vertical="center"/>
    </xf>
    <xf numFmtId="169" fontId="18" fillId="8" borderId="1" xfId="0" applyNumberFormat="1" applyFont="1" applyFill="1" applyBorder="1" applyAlignment="1">
      <alignment vertical="center"/>
    </xf>
    <xf numFmtId="0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right" vertical="center" wrapText="1"/>
    </xf>
    <xf numFmtId="169" fontId="22" fillId="6" borderId="1" xfId="0" applyNumberFormat="1" applyFont="1" applyFill="1" applyBorder="1" applyAlignment="1">
      <alignment vertical="center"/>
    </xf>
    <xf numFmtId="169" fontId="22" fillId="7" borderId="1" xfId="0" applyNumberFormat="1" applyFont="1" applyFill="1" applyBorder="1" applyAlignment="1">
      <alignment vertical="center"/>
    </xf>
    <xf numFmtId="0" fontId="18" fillId="8" borderId="1" xfId="0" applyNumberFormat="1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right" vertical="center" wrapText="1"/>
    </xf>
    <xf numFmtId="0" fontId="19" fillId="0" borderId="5" xfId="0" applyFont="1" applyBorder="1" applyAlignment="1">
      <alignment horizontal="center" vertical="center"/>
    </xf>
    <xf numFmtId="0" fontId="19" fillId="8" borderId="1" xfId="0" applyFont="1" applyFill="1" applyBorder="1" applyAlignment="1">
      <alignment horizontal="justify" vertical="center" wrapText="1"/>
    </xf>
    <xf numFmtId="169" fontId="19" fillId="7" borderId="2" xfId="0" applyNumberFormat="1" applyFont="1" applyFill="1" applyBorder="1" applyAlignment="1">
      <alignment vertical="center"/>
    </xf>
    <xf numFmtId="164" fontId="7" fillId="0" borderId="0" xfId="0" applyNumberFormat="1" applyFont="1" applyAlignment="1">
      <alignment vertical="center" wrapText="1"/>
    </xf>
    <xf numFmtId="169" fontId="23" fillId="7" borderId="2" xfId="0" applyNumberFormat="1" applyFont="1" applyFill="1" applyBorder="1" applyAlignment="1">
      <alignment vertical="center"/>
    </xf>
    <xf numFmtId="49" fontId="22" fillId="0" borderId="1" xfId="0" applyNumberFormat="1" applyFont="1" applyBorder="1" applyAlignment="1">
      <alignment horizontal="justify" vertical="center" wrapText="1"/>
    </xf>
    <xf numFmtId="178" fontId="22" fillId="6" borderId="1" xfId="13" applyNumberFormat="1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74" fontId="13" fillId="8" borderId="2" xfId="0" applyNumberFormat="1" applyFont="1" applyFill="1" applyBorder="1" applyAlignment="1">
      <alignment horizontal="center" vertical="center"/>
    </xf>
    <xf numFmtId="179" fontId="18" fillId="12" borderId="1" xfId="0" applyNumberFormat="1" applyFont="1" applyFill="1" applyBorder="1" applyAlignment="1">
      <alignment vertical="center"/>
    </xf>
    <xf numFmtId="164" fontId="11" fillId="0" borderId="0" xfId="0" applyNumberFormat="1" applyFont="1" applyAlignment="1">
      <alignment vertical="center"/>
    </xf>
    <xf numFmtId="0" fontId="13" fillId="0" borderId="8" xfId="0" applyFont="1" applyFill="1" applyBorder="1" applyAlignment="1">
      <alignment horizontal="center" vertical="center"/>
    </xf>
    <xf numFmtId="168" fontId="12" fillId="9" borderId="8" xfId="13" applyNumberFormat="1" applyFont="1" applyFill="1" applyBorder="1" applyAlignment="1">
      <alignment vertical="center"/>
    </xf>
    <xf numFmtId="168" fontId="11" fillId="7" borderId="8" xfId="13" applyNumberFormat="1" applyFont="1" applyFill="1" applyBorder="1" applyAlignment="1">
      <alignment vertical="center"/>
    </xf>
    <xf numFmtId="168" fontId="11" fillId="0" borderId="8" xfId="13" applyNumberFormat="1" applyFont="1" applyBorder="1" applyAlignment="1">
      <alignment vertical="center"/>
    </xf>
    <xf numFmtId="168" fontId="12" fillId="9" borderId="17" xfId="0" applyNumberFormat="1" applyFont="1" applyFill="1" applyBorder="1" applyAlignment="1">
      <alignment vertical="center"/>
    </xf>
    <xf numFmtId="174" fontId="13" fillId="7" borderId="17" xfId="0" applyNumberFormat="1" applyFont="1" applyFill="1" applyBorder="1" applyAlignment="1">
      <alignment horizontal="center" vertical="center"/>
    </xf>
    <xf numFmtId="168" fontId="11" fillId="7" borderId="17" xfId="0" applyNumberFormat="1" applyFont="1" applyFill="1" applyBorder="1" applyAlignment="1">
      <alignment vertical="center"/>
    </xf>
    <xf numFmtId="168" fontId="13" fillId="7" borderId="8" xfId="13" applyNumberFormat="1" applyFont="1" applyFill="1" applyBorder="1" applyAlignment="1">
      <alignment vertical="center"/>
    </xf>
    <xf numFmtId="174" fontId="13" fillId="7" borderId="8" xfId="13" applyNumberFormat="1" applyFont="1" applyFill="1" applyBorder="1" applyAlignment="1">
      <alignment horizontal="center" vertical="center"/>
    </xf>
    <xf numFmtId="169" fontId="12" fillId="9" borderId="8" xfId="0" applyNumberFormat="1" applyFont="1" applyFill="1" applyBorder="1" applyAlignment="1">
      <alignment vertical="center"/>
    </xf>
    <xf numFmtId="178" fontId="13" fillId="7" borderId="8" xfId="0" applyNumberFormat="1" applyFont="1" applyFill="1" applyBorder="1" applyAlignment="1">
      <alignment horizontal="center" vertical="center"/>
    </xf>
    <xf numFmtId="168" fontId="11" fillId="8" borderId="8" xfId="13" applyNumberFormat="1" applyFont="1" applyFill="1" applyBorder="1" applyAlignment="1">
      <alignment vertical="center"/>
    </xf>
    <xf numFmtId="178" fontId="11" fillId="7" borderId="8" xfId="13" applyNumberFormat="1" applyFont="1" applyFill="1" applyBorder="1" applyAlignment="1">
      <alignment horizontal="center" vertical="center"/>
    </xf>
    <xf numFmtId="169" fontId="11" fillId="9" borderId="8" xfId="0" applyNumberFormat="1" applyFont="1" applyFill="1" applyBorder="1" applyAlignment="1">
      <alignment vertical="center"/>
    </xf>
    <xf numFmtId="169" fontId="22" fillId="7" borderId="8" xfId="0" applyNumberFormat="1" applyFont="1" applyFill="1" applyBorder="1" applyAlignment="1">
      <alignment vertical="center"/>
    </xf>
    <xf numFmtId="169" fontId="11" fillId="8" borderId="8" xfId="0" applyNumberFormat="1" applyFont="1" applyFill="1" applyBorder="1" applyAlignment="1">
      <alignment vertical="center"/>
    </xf>
    <xf numFmtId="174" fontId="13" fillId="7" borderId="8" xfId="0" applyNumberFormat="1" applyFont="1" applyFill="1" applyBorder="1" applyAlignment="1">
      <alignment horizontal="center" vertical="center"/>
    </xf>
    <xf numFmtId="174" fontId="13" fillId="8" borderId="8" xfId="0" applyNumberFormat="1" applyFont="1" applyFill="1" applyBorder="1" applyAlignment="1">
      <alignment horizontal="center" vertical="center"/>
    </xf>
    <xf numFmtId="169" fontId="11" fillId="7" borderId="17" xfId="0" applyNumberFormat="1" applyFont="1" applyFill="1" applyBorder="1" applyAlignment="1">
      <alignment vertical="center"/>
    </xf>
    <xf numFmtId="169" fontId="12" fillId="9" borderId="17" xfId="0" applyNumberFormat="1" applyFont="1" applyFill="1" applyBorder="1" applyAlignment="1">
      <alignment vertical="center"/>
    </xf>
    <xf numFmtId="169" fontId="13" fillId="7" borderId="18" xfId="0" applyNumberFormat="1" applyFont="1" applyFill="1" applyBorder="1" applyAlignment="1">
      <alignment vertical="center"/>
    </xf>
    <xf numFmtId="169" fontId="13" fillId="7" borderId="17" xfId="0" applyNumberFormat="1" applyFont="1" applyFill="1" applyBorder="1" applyAlignment="1">
      <alignment vertical="center"/>
    </xf>
    <xf numFmtId="169" fontId="12" fillId="0" borderId="8" xfId="13" applyNumberFormat="1" applyFont="1" applyFill="1" applyBorder="1" applyAlignment="1">
      <alignment vertical="center"/>
    </xf>
    <xf numFmtId="168" fontId="11" fillId="7" borderId="8" xfId="13" applyNumberFormat="1" applyFont="1" applyFill="1" applyBorder="1" applyAlignment="1">
      <alignment horizontal="left" vertical="center"/>
    </xf>
    <xf numFmtId="168" fontId="13" fillId="7" borderId="17" xfId="0" applyNumberFormat="1" applyFont="1" applyFill="1" applyBorder="1" applyAlignment="1">
      <alignment horizontal="right" vertical="center"/>
    </xf>
    <xf numFmtId="168" fontId="23" fillId="7" borderId="17" xfId="0" applyNumberFormat="1" applyFont="1" applyFill="1" applyBorder="1" applyAlignment="1">
      <alignment horizontal="right" vertical="center"/>
    </xf>
    <xf numFmtId="166" fontId="11" fillId="7" borderId="8" xfId="0" applyNumberFormat="1" applyFont="1" applyFill="1" applyBorder="1" applyAlignment="1">
      <alignment horizontal="right" vertical="center"/>
    </xf>
    <xf numFmtId="168" fontId="11" fillId="7" borderId="8" xfId="0" applyNumberFormat="1" applyFont="1" applyFill="1" applyBorder="1" applyAlignment="1">
      <alignment vertical="center"/>
    </xf>
    <xf numFmtId="0" fontId="12" fillId="0" borderId="8" xfId="0" applyFont="1" applyFill="1" applyBorder="1" applyAlignment="1">
      <alignment vertical="center"/>
    </xf>
    <xf numFmtId="166" fontId="13" fillId="7" borderId="17" xfId="0" applyNumberFormat="1" applyFont="1" applyFill="1" applyBorder="1" applyAlignment="1">
      <alignment horizontal="center" vertical="center"/>
    </xf>
    <xf numFmtId="10" fontId="13" fillId="7" borderId="17" xfId="0" applyNumberFormat="1" applyFont="1" applyFill="1" applyBorder="1" applyAlignment="1">
      <alignment horizontal="center" vertical="center"/>
    </xf>
    <xf numFmtId="10" fontId="12" fillId="8" borderId="8" xfId="0" applyNumberFormat="1" applyFont="1" applyFill="1" applyBorder="1" applyAlignment="1">
      <alignment vertical="center"/>
    </xf>
    <xf numFmtId="164" fontId="11" fillId="7" borderId="8" xfId="0" applyNumberFormat="1" applyFont="1" applyFill="1" applyBorder="1" applyAlignment="1">
      <alignment vertical="center"/>
    </xf>
    <xf numFmtId="164" fontId="11" fillId="0" borderId="8" xfId="0" applyNumberFormat="1" applyFont="1" applyBorder="1" applyAlignment="1">
      <alignment vertical="center"/>
    </xf>
    <xf numFmtId="170" fontId="11" fillId="7" borderId="8" xfId="0" applyNumberFormat="1" applyFont="1" applyFill="1" applyBorder="1" applyAlignment="1">
      <alignment vertical="center"/>
    </xf>
    <xf numFmtId="179" fontId="12" fillId="7" borderId="8" xfId="0" applyNumberFormat="1" applyFont="1" applyFill="1" applyBorder="1" applyAlignment="1">
      <alignment vertical="center"/>
    </xf>
    <xf numFmtId="179" fontId="11" fillId="7" borderId="8" xfId="0" applyNumberFormat="1" applyFont="1" applyFill="1" applyBorder="1" applyAlignment="1">
      <alignment vertical="center"/>
    </xf>
    <xf numFmtId="164" fontId="11" fillId="7" borderId="17" xfId="0" applyNumberFormat="1" applyFont="1" applyFill="1" applyBorder="1" applyAlignment="1">
      <alignment vertical="center"/>
    </xf>
    <xf numFmtId="169" fontId="11" fillId="8" borderId="17" xfId="0" applyNumberFormat="1" applyFont="1" applyFill="1" applyBorder="1" applyAlignment="1">
      <alignment vertical="center" wrapText="1"/>
    </xf>
    <xf numFmtId="169" fontId="12" fillId="7" borderId="17" xfId="0" applyNumberFormat="1" applyFont="1" applyFill="1" applyBorder="1" applyAlignment="1">
      <alignment vertical="center"/>
    </xf>
    <xf numFmtId="169" fontId="12" fillId="8" borderId="17" xfId="0" applyNumberFormat="1" applyFont="1" applyFill="1" applyBorder="1" applyAlignment="1">
      <alignment vertical="center"/>
    </xf>
    <xf numFmtId="169" fontId="12" fillId="8" borderId="8" xfId="0" applyNumberFormat="1" applyFont="1" applyFill="1" applyBorder="1" applyAlignment="1">
      <alignment vertical="center"/>
    </xf>
    <xf numFmtId="164" fontId="12" fillId="7" borderId="8" xfId="0" applyNumberFormat="1" applyFont="1" applyFill="1" applyBorder="1" applyAlignment="1">
      <alignment vertical="center"/>
    </xf>
    <xf numFmtId="164" fontId="11" fillId="8" borderId="8" xfId="0" applyNumberFormat="1" applyFont="1" applyFill="1" applyBorder="1" applyAlignment="1">
      <alignment vertical="center"/>
    </xf>
    <xf numFmtId="164" fontId="12" fillId="7" borderId="8" xfId="0" applyNumberFormat="1" applyFont="1" applyFill="1" applyBorder="1" applyAlignment="1">
      <alignment vertical="center" wrapText="1"/>
    </xf>
    <xf numFmtId="164" fontId="11" fillId="7" borderId="8" xfId="0" applyNumberFormat="1" applyFont="1" applyFill="1" applyBorder="1" applyAlignment="1">
      <alignment vertical="center" wrapText="1"/>
    </xf>
    <xf numFmtId="164" fontId="18" fillId="7" borderId="8" xfId="0" applyNumberFormat="1" applyFont="1" applyFill="1" applyBorder="1" applyAlignment="1">
      <alignment vertical="center" wrapText="1"/>
    </xf>
    <xf numFmtId="170" fontId="11" fillId="0" borderId="8" xfId="0" applyNumberFormat="1" applyFont="1" applyFill="1" applyBorder="1" applyAlignment="1">
      <alignment vertical="center"/>
    </xf>
    <xf numFmtId="164" fontId="13" fillId="7" borderId="8" xfId="0" applyNumberFormat="1" applyFont="1" applyFill="1" applyBorder="1" applyAlignment="1">
      <alignment vertical="center" wrapText="1"/>
    </xf>
    <xf numFmtId="164" fontId="21" fillId="7" borderId="8" xfId="0" applyNumberFormat="1" applyFont="1" applyFill="1" applyBorder="1" applyAlignment="1">
      <alignment vertical="center" wrapText="1"/>
    </xf>
    <xf numFmtId="164" fontId="13" fillId="8" borderId="8" xfId="0" applyNumberFormat="1" applyFont="1" applyFill="1" applyBorder="1" applyAlignment="1">
      <alignment vertical="center" wrapText="1"/>
    </xf>
    <xf numFmtId="0" fontId="13" fillId="0" borderId="2" xfId="0" applyFont="1" applyFill="1" applyBorder="1" applyAlignment="1">
      <alignment horizontal="center" vertical="center"/>
    </xf>
    <xf numFmtId="168" fontId="12" fillId="9" borderId="2" xfId="13" applyNumberFormat="1" applyFont="1" applyFill="1" applyBorder="1" applyAlignment="1">
      <alignment vertical="center"/>
    </xf>
    <xf numFmtId="168" fontId="11" fillId="7" borderId="2" xfId="13" applyNumberFormat="1" applyFont="1" applyFill="1" applyBorder="1" applyAlignment="1">
      <alignment vertical="center"/>
    </xf>
    <xf numFmtId="174" fontId="13" fillId="7" borderId="2" xfId="13" applyNumberFormat="1" applyFont="1" applyFill="1" applyBorder="1" applyAlignment="1">
      <alignment horizontal="center" vertical="center"/>
    </xf>
    <xf numFmtId="178" fontId="13" fillId="7" borderId="2" xfId="0" applyNumberFormat="1" applyFont="1" applyFill="1" applyBorder="1" applyAlignment="1">
      <alignment horizontal="center" vertical="center"/>
    </xf>
    <xf numFmtId="169" fontId="11" fillId="9" borderId="2" xfId="0" applyNumberFormat="1" applyFont="1" applyFill="1" applyBorder="1" applyAlignment="1">
      <alignment vertical="center"/>
    </xf>
    <xf numFmtId="169" fontId="12" fillId="0" borderId="2" xfId="13" applyNumberFormat="1" applyFont="1" applyFill="1" applyBorder="1" applyAlignment="1">
      <alignment vertical="center"/>
    </xf>
    <xf numFmtId="168" fontId="11" fillId="7" borderId="2" xfId="13" applyNumberFormat="1" applyFont="1" applyFill="1" applyBorder="1" applyAlignment="1">
      <alignment horizontal="left" vertical="center"/>
    </xf>
    <xf numFmtId="166" fontId="11" fillId="7" borderId="2" xfId="0" applyNumberFormat="1" applyFont="1" applyFill="1" applyBorder="1" applyAlignment="1">
      <alignment horizontal="right" vertical="center"/>
    </xf>
    <xf numFmtId="10" fontId="12" fillId="8" borderId="2" xfId="0" applyNumberFormat="1" applyFont="1" applyFill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179" fontId="12" fillId="7" borderId="2" xfId="0" applyNumberFormat="1" applyFont="1" applyFill="1" applyBorder="1" applyAlignment="1">
      <alignment vertical="center"/>
    </xf>
    <xf numFmtId="179" fontId="11" fillId="7" borderId="2" xfId="0" applyNumberFormat="1" applyFont="1" applyFill="1" applyBorder="1" applyAlignment="1">
      <alignment vertical="center"/>
    </xf>
    <xf numFmtId="170" fontId="11" fillId="7" borderId="2" xfId="0" applyNumberFormat="1" applyFont="1" applyFill="1" applyBorder="1" applyAlignment="1">
      <alignment vertical="center"/>
    </xf>
    <xf numFmtId="164" fontId="12" fillId="7" borderId="2" xfId="0" applyNumberFormat="1" applyFont="1" applyFill="1" applyBorder="1" applyAlignment="1">
      <alignment vertical="center"/>
    </xf>
    <xf numFmtId="164" fontId="12" fillId="7" borderId="2" xfId="0" applyNumberFormat="1" applyFont="1" applyFill="1" applyBorder="1" applyAlignment="1">
      <alignment vertical="center" wrapText="1"/>
    </xf>
    <xf numFmtId="164" fontId="11" fillId="7" borderId="2" xfId="0" applyNumberFormat="1" applyFont="1" applyFill="1" applyBorder="1" applyAlignment="1">
      <alignment vertical="center" wrapText="1"/>
    </xf>
    <xf numFmtId="164" fontId="18" fillId="7" borderId="2" xfId="0" applyNumberFormat="1" applyFont="1" applyFill="1" applyBorder="1" applyAlignment="1">
      <alignment vertical="center" wrapText="1"/>
    </xf>
    <xf numFmtId="164" fontId="13" fillId="7" borderId="2" xfId="0" applyNumberFormat="1" applyFont="1" applyFill="1" applyBorder="1" applyAlignment="1">
      <alignment vertical="center" wrapText="1"/>
    </xf>
    <xf numFmtId="164" fontId="21" fillId="7" borderId="2" xfId="0" applyNumberFormat="1" applyFont="1" applyFill="1" applyBorder="1" applyAlignment="1">
      <alignment vertical="center" wrapText="1"/>
    </xf>
    <xf numFmtId="164" fontId="13" fillId="8" borderId="2" xfId="0" applyNumberFormat="1" applyFont="1" applyFill="1" applyBorder="1" applyAlignment="1">
      <alignment vertical="center" wrapText="1"/>
    </xf>
    <xf numFmtId="0" fontId="13" fillId="8" borderId="2" xfId="0" applyFont="1" applyFill="1" applyBorder="1" applyAlignment="1">
      <alignment horizontal="center" vertical="center" wrapText="1"/>
    </xf>
    <xf numFmtId="168" fontId="11" fillId="7" borderId="17" xfId="13" applyNumberFormat="1" applyFont="1" applyFill="1" applyBorder="1" applyAlignment="1">
      <alignment vertical="center"/>
    </xf>
    <xf numFmtId="168" fontId="12" fillId="9" borderId="1" xfId="0" applyNumberFormat="1" applyFont="1" applyFill="1" applyBorder="1" applyAlignment="1">
      <alignment vertical="center"/>
    </xf>
    <xf numFmtId="169" fontId="13" fillId="7" borderId="1" xfId="0" applyNumberFormat="1" applyFont="1" applyFill="1" applyBorder="1" applyAlignment="1">
      <alignment vertical="center"/>
    </xf>
    <xf numFmtId="168" fontId="13" fillId="7" borderId="1" xfId="0" applyNumberFormat="1" applyFont="1" applyFill="1" applyBorder="1" applyAlignment="1">
      <alignment horizontal="right" vertical="center"/>
    </xf>
    <xf numFmtId="166" fontId="13" fillId="7" borderId="1" xfId="0" applyNumberFormat="1" applyFont="1" applyFill="1" applyBorder="1" applyAlignment="1">
      <alignment horizontal="center" vertical="center"/>
    </xf>
    <xf numFmtId="10" fontId="13" fillId="7" borderId="1" xfId="0" applyNumberFormat="1" applyFont="1" applyFill="1" applyBorder="1" applyAlignment="1">
      <alignment horizontal="center" vertical="center"/>
    </xf>
    <xf numFmtId="169" fontId="11" fillId="8" borderId="1" xfId="0" applyNumberFormat="1" applyFont="1" applyFill="1" applyBorder="1" applyAlignment="1">
      <alignment vertical="center" wrapText="1"/>
    </xf>
    <xf numFmtId="169" fontId="12" fillId="7" borderId="1" xfId="0" applyNumberFormat="1" applyFont="1" applyFill="1" applyBorder="1" applyAlignment="1">
      <alignment vertical="center"/>
    </xf>
    <xf numFmtId="0" fontId="27" fillId="8" borderId="1" xfId="0" applyNumberFormat="1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justify" vertical="center" wrapText="1"/>
    </xf>
    <xf numFmtId="0" fontId="27" fillId="8" borderId="0" xfId="0" applyFont="1" applyFill="1" applyBorder="1" applyAlignment="1">
      <alignment vertical="center"/>
    </xf>
    <xf numFmtId="169" fontId="27" fillId="6" borderId="1" xfId="0" applyNumberFormat="1" applyFont="1" applyFill="1" applyBorder="1" applyAlignment="1">
      <alignment vertical="center"/>
    </xf>
    <xf numFmtId="0" fontId="13" fillId="3" borderId="17" xfId="0" applyFont="1" applyFill="1" applyBorder="1" applyAlignment="1">
      <alignment horizontal="justify" vertical="center" wrapText="1"/>
    </xf>
    <xf numFmtId="168" fontId="13" fillId="7" borderId="13" xfId="0" applyNumberFormat="1" applyFont="1" applyFill="1" applyBorder="1" applyAlignment="1">
      <alignment horizontal="right" vertical="center"/>
    </xf>
    <xf numFmtId="168" fontId="13" fillId="7" borderId="15" xfId="0" applyNumberFormat="1" applyFont="1" applyFill="1" applyBorder="1" applyAlignment="1">
      <alignment horizontal="right" vertical="center"/>
    </xf>
    <xf numFmtId="168" fontId="13" fillId="11" borderId="4" xfId="0" applyNumberFormat="1" applyFont="1" applyFill="1" applyBorder="1" applyAlignment="1">
      <alignment horizontal="right" vertical="center"/>
    </xf>
    <xf numFmtId="168" fontId="13" fillId="11" borderId="3" xfId="0" applyNumberFormat="1" applyFont="1" applyFill="1" applyBorder="1" applyAlignment="1">
      <alignment horizontal="right" vertical="center"/>
    </xf>
    <xf numFmtId="168" fontId="13" fillId="11" borderId="24" xfId="0" applyNumberFormat="1" applyFont="1" applyFill="1" applyBorder="1" applyAlignment="1">
      <alignment horizontal="right" vertical="center"/>
    </xf>
    <xf numFmtId="169" fontId="27" fillId="12" borderId="1" xfId="0" applyNumberFormat="1" applyFont="1" applyFill="1" applyBorder="1" applyAlignment="1">
      <alignment vertical="center"/>
    </xf>
    <xf numFmtId="169" fontId="13" fillId="10" borderId="2" xfId="0" applyNumberFormat="1" applyFont="1" applyFill="1" applyBorder="1" applyAlignment="1">
      <alignment vertical="center"/>
    </xf>
    <xf numFmtId="0" fontId="12" fillId="0" borderId="2" xfId="0" applyFont="1" applyFill="1" applyBorder="1" applyAlignment="1">
      <alignment horizontal="justify" vertical="center" wrapText="1"/>
    </xf>
    <xf numFmtId="173" fontId="13" fillId="6" borderId="1" xfId="13" applyNumberFormat="1" applyFont="1" applyFill="1" applyBorder="1" applyAlignment="1">
      <alignment horizontal="center" vertical="center"/>
    </xf>
    <xf numFmtId="174" fontId="13" fillId="12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justify" vertical="center" wrapText="1"/>
    </xf>
    <xf numFmtId="174" fontId="13" fillId="6" borderId="2" xfId="0" applyNumberFormat="1" applyFont="1" applyFill="1" applyBorder="1" applyAlignment="1">
      <alignment horizontal="center" vertical="center"/>
    </xf>
    <xf numFmtId="174" fontId="13" fillId="11" borderId="2" xfId="0" applyNumberFormat="1" applyFont="1" applyFill="1" applyBorder="1" applyAlignment="1">
      <alignment horizontal="center" vertical="center"/>
    </xf>
    <xf numFmtId="4" fontId="13" fillId="11" borderId="2" xfId="0" applyNumberFormat="1" applyFont="1" applyFill="1" applyBorder="1" applyAlignment="1">
      <alignment horizontal="center" vertical="center"/>
    </xf>
    <xf numFmtId="174" fontId="13" fillId="6" borderId="1" xfId="0" applyNumberFormat="1" applyFont="1" applyFill="1" applyBorder="1" applyAlignment="1">
      <alignment horizontal="center" vertical="center"/>
    </xf>
    <xf numFmtId="174" fontId="13" fillId="6" borderId="9" xfId="10" applyNumberFormat="1" applyFont="1" applyFill="1" applyBorder="1" applyAlignment="1">
      <alignment horizontal="center" vertical="center"/>
    </xf>
    <xf numFmtId="164" fontId="11" fillId="12" borderId="1" xfId="0" applyNumberFormat="1" applyFont="1" applyFill="1" applyBorder="1" applyAlignment="1">
      <alignment vertical="center" wrapText="1"/>
    </xf>
    <xf numFmtId="164" fontId="30" fillId="7" borderId="1" xfId="0" applyNumberFormat="1" applyFont="1" applyFill="1" applyBorder="1" applyAlignment="1">
      <alignment vertical="center" wrapText="1"/>
    </xf>
    <xf numFmtId="164" fontId="31" fillId="7" borderId="1" xfId="0" applyNumberFormat="1" applyFont="1" applyFill="1" applyBorder="1" applyAlignment="1">
      <alignment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8" fillId="0" borderId="1" xfId="0" applyFont="1" applyBorder="1" applyAlignment="1">
      <alignment horizontal="justify" vertical="center" wrapText="1"/>
    </xf>
    <xf numFmtId="164" fontId="28" fillId="0" borderId="1" xfId="0" applyNumberFormat="1" applyFont="1" applyBorder="1" applyAlignment="1">
      <alignment vertical="center" wrapText="1"/>
    </xf>
    <xf numFmtId="164" fontId="28" fillId="8" borderId="1" xfId="0" applyNumberFormat="1" applyFont="1" applyFill="1" applyBorder="1" applyAlignment="1">
      <alignment vertical="center"/>
    </xf>
    <xf numFmtId="170" fontId="11" fillId="7" borderId="1" xfId="13" applyNumberFormat="1" applyFont="1" applyFill="1" applyBorder="1" applyAlignment="1">
      <alignment horizontal="left" vertical="center"/>
    </xf>
    <xf numFmtId="170" fontId="11" fillId="7" borderId="8" xfId="13" applyNumberFormat="1" applyFont="1" applyFill="1" applyBorder="1" applyAlignment="1">
      <alignment horizontal="left" vertical="center"/>
    </xf>
    <xf numFmtId="170" fontId="11" fillId="7" borderId="2" xfId="13" applyNumberFormat="1" applyFont="1" applyFill="1" applyBorder="1" applyAlignment="1">
      <alignment horizontal="left" vertical="center"/>
    </xf>
    <xf numFmtId="170" fontId="11" fillId="7" borderId="2" xfId="0" applyNumberFormat="1" applyFont="1" applyFill="1" applyBorder="1" applyAlignment="1">
      <alignment horizontal="right" vertical="center"/>
    </xf>
    <xf numFmtId="170" fontId="11" fillId="7" borderId="17" xfId="0" applyNumberFormat="1" applyFont="1" applyFill="1" applyBorder="1" applyAlignment="1">
      <alignment horizontal="right" vertical="center"/>
    </xf>
    <xf numFmtId="170" fontId="11" fillId="7" borderId="1" xfId="0" applyNumberFormat="1" applyFont="1" applyFill="1" applyBorder="1" applyAlignment="1">
      <alignment horizontal="right" vertical="center"/>
    </xf>
    <xf numFmtId="170" fontId="11" fillId="7" borderId="11" xfId="0" applyNumberFormat="1" applyFont="1" applyFill="1" applyBorder="1" applyAlignment="1">
      <alignment horizontal="right" vertical="center"/>
    </xf>
    <xf numFmtId="168" fontId="13" fillId="8" borderId="2" xfId="0" applyNumberFormat="1" applyFont="1" applyFill="1" applyBorder="1" applyAlignment="1">
      <alignment vertical="center"/>
    </xf>
    <xf numFmtId="168" fontId="13" fillId="8" borderId="8" xfId="13" applyNumberFormat="1" applyFont="1" applyFill="1" applyBorder="1" applyAlignment="1">
      <alignment vertical="center"/>
    </xf>
    <xf numFmtId="168" fontId="13" fillId="6" borderId="1" xfId="0" applyNumberFormat="1" applyFont="1" applyFill="1" applyBorder="1" applyAlignment="1">
      <alignment horizontal="right" vertical="center"/>
    </xf>
    <xf numFmtId="164" fontId="28" fillId="8" borderId="1" xfId="0" applyNumberFormat="1" applyFont="1" applyFill="1" applyBorder="1" applyAlignment="1">
      <alignment vertical="center" wrapText="1"/>
    </xf>
    <xf numFmtId="168" fontId="13" fillId="6" borderId="8" xfId="0" applyNumberFormat="1" applyFont="1" applyFill="1" applyBorder="1" applyAlignment="1">
      <alignment horizontal="right" vertical="center"/>
    </xf>
    <xf numFmtId="168" fontId="13" fillId="7" borderId="7" xfId="0" applyNumberFormat="1" applyFont="1" applyFill="1" applyBorder="1" applyAlignment="1">
      <alignment horizontal="right" vertical="center"/>
    </xf>
    <xf numFmtId="168" fontId="13" fillId="7" borderId="16" xfId="0" applyNumberFormat="1" applyFont="1" applyFill="1" applyBorder="1" applyAlignment="1">
      <alignment horizontal="right" vertical="center"/>
    </xf>
    <xf numFmtId="168" fontId="13" fillId="7" borderId="18" xfId="0" applyNumberFormat="1" applyFont="1" applyFill="1" applyBorder="1" applyAlignment="1">
      <alignment horizontal="right" vertical="center"/>
    </xf>
    <xf numFmtId="49" fontId="11" fillId="0" borderId="1" xfId="0" applyNumberFormat="1" applyFont="1" applyBorder="1" applyAlignment="1">
      <alignment horizontal="justify" vertical="center" wrapText="1"/>
    </xf>
    <xf numFmtId="178" fontId="18" fillId="8" borderId="1" xfId="13" applyNumberFormat="1" applyFont="1" applyFill="1" applyBorder="1" applyAlignment="1">
      <alignment horizontal="center" vertical="center"/>
    </xf>
    <xf numFmtId="168" fontId="18" fillId="6" borderId="1" xfId="13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justify" vertical="center" wrapText="1"/>
    </xf>
    <xf numFmtId="0" fontId="11" fillId="0" borderId="2" xfId="0" applyFont="1" applyBorder="1" applyAlignment="1">
      <alignment horizontal="center" vertical="center"/>
    </xf>
    <xf numFmtId="168" fontId="18" fillId="7" borderId="1" xfId="13" applyNumberFormat="1" applyFont="1" applyFill="1" applyBorder="1" applyAlignment="1">
      <alignment vertical="center"/>
    </xf>
    <xf numFmtId="49" fontId="11" fillId="8" borderId="2" xfId="0" applyNumberFormat="1" applyFont="1" applyFill="1" applyBorder="1" applyAlignment="1">
      <alignment horizontal="justify" vertical="center" wrapText="1"/>
    </xf>
    <xf numFmtId="166" fontId="12" fillId="9" borderId="1" xfId="13" applyNumberFormat="1" applyFont="1" applyFill="1" applyBorder="1" applyAlignment="1">
      <alignment horizontal="left" vertical="center"/>
    </xf>
    <xf numFmtId="166" fontId="11" fillId="7" borderId="1" xfId="13" applyNumberFormat="1" applyFont="1" applyFill="1" applyBorder="1" applyAlignment="1">
      <alignment horizontal="center" vertical="center"/>
    </xf>
    <xf numFmtId="166" fontId="11" fillId="8" borderId="1" xfId="13" applyNumberFormat="1" applyFont="1" applyFill="1" applyBorder="1" applyAlignment="1">
      <alignment vertical="center"/>
    </xf>
    <xf numFmtId="168" fontId="11" fillId="8" borderId="2" xfId="13" applyNumberFormat="1" applyFont="1" applyFill="1" applyBorder="1" applyAlignment="1">
      <alignment vertical="center"/>
    </xf>
    <xf numFmtId="166" fontId="11" fillId="6" borderId="1" xfId="13" applyNumberFormat="1" applyFont="1" applyFill="1" applyBorder="1" applyAlignment="1">
      <alignment horizontal="center" vertical="center"/>
    </xf>
    <xf numFmtId="166" fontId="23" fillId="3" borderId="2" xfId="0" applyNumberFormat="1" applyFont="1" applyFill="1" applyBorder="1" applyAlignment="1">
      <alignment vertical="center" wrapText="1"/>
    </xf>
    <xf numFmtId="166" fontId="13" fillId="8" borderId="1" xfId="0" applyNumberFormat="1" applyFont="1" applyFill="1" applyBorder="1" applyAlignment="1">
      <alignment horizontal="center" vertical="center"/>
    </xf>
    <xf numFmtId="181" fontId="11" fillId="7" borderId="1" xfId="13" applyNumberFormat="1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 vertical="center"/>
    </xf>
    <xf numFmtId="169" fontId="14" fillId="7" borderId="1" xfId="0" applyNumberFormat="1" applyFont="1" applyFill="1" applyBorder="1" applyAlignment="1">
      <alignment horizontal="center" vertical="center" wrapText="1"/>
    </xf>
    <xf numFmtId="169" fontId="13" fillId="3" borderId="2" xfId="0" applyNumberFormat="1" applyFont="1" applyFill="1" applyBorder="1" applyAlignment="1">
      <alignment horizontal="justify" vertical="center" wrapText="1"/>
    </xf>
    <xf numFmtId="179" fontId="11" fillId="12" borderId="1" xfId="0" applyNumberFormat="1" applyFont="1" applyFill="1" applyBorder="1" applyAlignment="1">
      <alignment vertical="center"/>
    </xf>
    <xf numFmtId="166" fontId="11" fillId="6" borderId="2" xfId="0" applyNumberFormat="1" applyFont="1" applyFill="1" applyBorder="1" applyAlignment="1">
      <alignment horizontal="right" vertical="center"/>
    </xf>
    <xf numFmtId="164" fontId="11" fillId="7" borderId="1" xfId="13" applyNumberFormat="1" applyFont="1" applyFill="1" applyBorder="1" applyAlignment="1">
      <alignment vertical="center"/>
    </xf>
    <xf numFmtId="174" fontId="12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11" fillId="8" borderId="0" xfId="0" applyFont="1" applyFill="1"/>
    <xf numFmtId="181" fontId="23" fillId="3" borderId="2" xfId="0" applyNumberFormat="1" applyFont="1" applyFill="1" applyBorder="1" applyAlignment="1">
      <alignment vertical="center" wrapText="1"/>
    </xf>
    <xf numFmtId="181" fontId="23" fillId="3" borderId="1" xfId="0" applyNumberFormat="1" applyFont="1" applyFill="1" applyBorder="1" applyAlignment="1">
      <alignment vertical="center" wrapText="1"/>
    </xf>
    <xf numFmtId="181" fontId="23" fillId="6" borderId="1" xfId="0" applyNumberFormat="1" applyFont="1" applyFill="1" applyBorder="1" applyAlignment="1">
      <alignment vertical="center" wrapText="1"/>
    </xf>
    <xf numFmtId="181" fontId="23" fillId="7" borderId="1" xfId="0" applyNumberFormat="1" applyFont="1" applyFill="1" applyBorder="1" applyAlignment="1">
      <alignment vertical="center" wrapText="1"/>
    </xf>
    <xf numFmtId="178" fontId="23" fillId="3" borderId="2" xfId="0" applyNumberFormat="1" applyFont="1" applyFill="1" applyBorder="1" applyAlignment="1">
      <alignment vertical="center" wrapText="1"/>
    </xf>
    <xf numFmtId="178" fontId="23" fillId="3" borderId="1" xfId="0" applyNumberFormat="1" applyFont="1" applyFill="1" applyBorder="1" applyAlignment="1">
      <alignment vertical="center" wrapText="1"/>
    </xf>
    <xf numFmtId="178" fontId="23" fillId="6" borderId="1" xfId="0" applyNumberFormat="1" applyFont="1" applyFill="1" applyBorder="1" applyAlignment="1">
      <alignment vertical="center" wrapText="1"/>
    </xf>
    <xf numFmtId="178" fontId="23" fillId="7" borderId="1" xfId="0" applyNumberFormat="1" applyFont="1" applyFill="1" applyBorder="1" applyAlignment="1">
      <alignment vertical="center" wrapText="1"/>
    </xf>
    <xf numFmtId="1" fontId="11" fillId="0" borderId="0" xfId="0" applyNumberFormat="1" applyFont="1" applyBorder="1" applyAlignment="1">
      <alignment vertical="center"/>
    </xf>
    <xf numFmtId="168" fontId="23" fillId="6" borderId="1" xfId="13" applyNumberFormat="1" applyFont="1" applyFill="1" applyBorder="1" applyAlignment="1">
      <alignment vertical="center"/>
    </xf>
    <xf numFmtId="168" fontId="23" fillId="7" borderId="1" xfId="13" applyNumberFormat="1" applyFont="1" applyFill="1" applyBorder="1" applyAlignment="1">
      <alignment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169" fontId="13" fillId="6" borderId="2" xfId="0" applyNumberFormat="1" applyFont="1" applyFill="1" applyBorder="1" applyAlignment="1">
      <alignment vertical="center"/>
    </xf>
    <xf numFmtId="169" fontId="11" fillId="10" borderId="1" xfId="0" applyNumberFormat="1" applyFont="1" applyFill="1" applyBorder="1" applyAlignment="1">
      <alignment vertical="center"/>
    </xf>
    <xf numFmtId="0" fontId="23" fillId="0" borderId="1" xfId="0" applyFont="1" applyFill="1" applyBorder="1" applyAlignment="1">
      <alignment horizontal="left" vertical="center" wrapText="1"/>
    </xf>
    <xf numFmtId="178" fontId="23" fillId="6" borderId="1" xfId="13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justify" vertical="center" wrapText="1"/>
    </xf>
    <xf numFmtId="168" fontId="23" fillId="7" borderId="8" xfId="13" applyNumberFormat="1" applyFont="1" applyFill="1" applyBorder="1" applyAlignment="1">
      <alignment vertical="center"/>
    </xf>
    <xf numFmtId="168" fontId="23" fillId="6" borderId="8" xfId="13" applyNumberFormat="1" applyFont="1" applyFill="1" applyBorder="1" applyAlignment="1">
      <alignment vertical="center"/>
    </xf>
    <xf numFmtId="168" fontId="13" fillId="12" borderId="8" xfId="13" applyNumberFormat="1" applyFont="1" applyFill="1" applyBorder="1" applyAlignment="1">
      <alignment vertical="center"/>
    </xf>
    <xf numFmtId="168" fontId="24" fillId="8" borderId="1" xfId="0" applyNumberFormat="1" applyFont="1" applyFill="1" applyBorder="1" applyAlignment="1">
      <alignment horizontal="right" vertical="center"/>
    </xf>
    <xf numFmtId="168" fontId="14" fillId="8" borderId="1" xfId="0" applyNumberFormat="1" applyFont="1" applyFill="1" applyBorder="1" applyAlignment="1">
      <alignment horizontal="right" vertical="center"/>
    </xf>
    <xf numFmtId="174" fontId="13" fillId="12" borderId="1" xfId="0" applyNumberFormat="1" applyFont="1" applyFill="1" applyBorder="1" applyAlignment="1">
      <alignment horizontal="center" vertical="center"/>
    </xf>
    <xf numFmtId="168" fontId="19" fillId="12" borderId="2" xfId="0" applyNumberFormat="1" applyFont="1" applyFill="1" applyBorder="1" applyAlignment="1">
      <alignment horizontal="right" vertical="center"/>
    </xf>
    <xf numFmtId="43" fontId="24" fillId="0" borderId="0" xfId="0" applyNumberFormat="1" applyFont="1" applyBorder="1" applyAlignment="1">
      <alignment vertical="center"/>
    </xf>
    <xf numFmtId="174" fontId="23" fillId="7" borderId="1" xfId="0" applyNumberFormat="1" applyFont="1" applyFill="1" applyBorder="1" applyAlignment="1">
      <alignment horizontal="center" vertical="center"/>
    </xf>
    <xf numFmtId="168" fontId="23" fillId="8" borderId="1" xfId="0" applyNumberFormat="1" applyFont="1" applyFill="1" applyBorder="1" applyAlignment="1">
      <alignment horizontal="right" vertical="center"/>
    </xf>
    <xf numFmtId="168" fontId="13" fillId="8" borderId="1" xfId="0" applyNumberFormat="1" applyFont="1" applyFill="1" applyBorder="1" applyAlignment="1">
      <alignment horizontal="right" vertical="center"/>
    </xf>
    <xf numFmtId="168" fontId="23" fillId="8" borderId="8" xfId="13" applyNumberFormat="1" applyFont="1" applyFill="1" applyBorder="1" applyAlignment="1">
      <alignment vertical="center"/>
    </xf>
    <xf numFmtId="168" fontId="32" fillId="12" borderId="2" xfId="0" applyNumberFormat="1" applyFont="1" applyFill="1" applyBorder="1" applyAlignment="1">
      <alignment horizontal="right" vertical="center"/>
    </xf>
    <xf numFmtId="0" fontId="23" fillId="8" borderId="1" xfId="0" applyFont="1" applyFill="1" applyBorder="1" applyAlignment="1">
      <alignment horizontal="center" vertical="center"/>
    </xf>
    <xf numFmtId="0" fontId="23" fillId="8" borderId="2" xfId="0" applyFont="1" applyFill="1" applyBorder="1" applyAlignment="1">
      <alignment horizontal="justify" vertical="center" wrapText="1"/>
    </xf>
    <xf numFmtId="168" fontId="23" fillId="6" borderId="1" xfId="0" applyNumberFormat="1" applyFont="1" applyFill="1" applyBorder="1" applyAlignment="1">
      <alignment horizontal="right" vertical="center"/>
    </xf>
    <xf numFmtId="10" fontId="13" fillId="12" borderId="2" xfId="0" applyNumberFormat="1" applyFont="1" applyFill="1" applyBorder="1" applyAlignment="1">
      <alignment horizontal="center" vertical="center"/>
    </xf>
    <xf numFmtId="10" fontId="23" fillId="7" borderId="1" xfId="0" applyNumberFormat="1" applyFont="1" applyFill="1" applyBorder="1" applyAlignment="1">
      <alignment horizontal="center" vertical="center"/>
    </xf>
    <xf numFmtId="168" fontId="19" fillId="11" borderId="3" xfId="0" applyNumberFormat="1" applyFont="1" applyFill="1" applyBorder="1" applyAlignment="1">
      <alignment horizontal="right" vertical="center"/>
    </xf>
    <xf numFmtId="168" fontId="19" fillId="11" borderId="24" xfId="0" applyNumberFormat="1" applyFont="1" applyFill="1" applyBorder="1" applyAlignment="1">
      <alignment horizontal="right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justify" vertical="center" wrapText="1"/>
    </xf>
    <xf numFmtId="43" fontId="22" fillId="0" borderId="1" xfId="0" applyNumberFormat="1" applyFont="1" applyBorder="1" applyAlignment="1">
      <alignment horizontal="justify" vertical="center" wrapText="1"/>
    </xf>
    <xf numFmtId="43" fontId="23" fillId="6" borderId="1" xfId="0" applyNumberFormat="1" applyFont="1" applyFill="1" applyBorder="1" applyAlignment="1">
      <alignment horizontal="justify" vertical="center" wrapText="1"/>
    </xf>
    <xf numFmtId="43" fontId="23" fillId="0" borderId="1" xfId="0" applyNumberFormat="1" applyFont="1" applyBorder="1" applyAlignment="1">
      <alignment horizontal="justify" vertical="center" wrapText="1"/>
    </xf>
    <xf numFmtId="183" fontId="23" fillId="6" borderId="1" xfId="0" applyNumberFormat="1" applyFont="1" applyFill="1" applyBorder="1" applyAlignment="1">
      <alignment horizontal="justify" vertical="center" wrapText="1"/>
    </xf>
    <xf numFmtId="164" fontId="22" fillId="0" borderId="1" xfId="0" applyNumberFormat="1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11" fillId="8" borderId="8" xfId="20" applyFont="1" applyFill="1" applyBorder="1" applyAlignment="1" applyProtection="1">
      <alignment horizontal="justify" vertical="center" wrapText="1"/>
    </xf>
    <xf numFmtId="0" fontId="11" fillId="8" borderId="1" xfId="20" applyFont="1" applyFill="1" applyBorder="1" applyAlignment="1" applyProtection="1">
      <alignment horizontal="justify" vertical="center" wrapText="1"/>
    </xf>
    <xf numFmtId="164" fontId="22" fillId="6" borderId="1" xfId="0" applyNumberFormat="1" applyFont="1" applyFill="1" applyBorder="1" applyAlignment="1">
      <alignment vertical="center"/>
    </xf>
    <xf numFmtId="0" fontId="11" fillId="6" borderId="1" xfId="0" applyFont="1" applyFill="1" applyBorder="1" applyAlignment="1">
      <alignment horizontal="center" vertical="center"/>
    </xf>
    <xf numFmtId="169" fontId="13" fillId="6" borderId="1" xfId="0" applyNumberFormat="1" applyFont="1" applyFill="1" applyBorder="1" applyAlignment="1">
      <alignment vertical="center"/>
    </xf>
    <xf numFmtId="0" fontId="12" fillId="8" borderId="8" xfId="0" applyFont="1" applyFill="1" applyBorder="1" applyAlignment="1">
      <alignment horizontal="justify" vertical="center" wrapText="1"/>
    </xf>
    <xf numFmtId="0" fontId="12" fillId="0" borderId="8" xfId="0" applyFont="1" applyBorder="1" applyAlignment="1">
      <alignment horizontal="justify" vertical="center" wrapText="1"/>
    </xf>
    <xf numFmtId="165" fontId="1" fillId="0" borderId="8" xfId="0" applyNumberFormat="1" applyFont="1" applyBorder="1" applyAlignment="1">
      <alignment horizontal="justify" vertical="center" wrapText="1"/>
    </xf>
    <xf numFmtId="165" fontId="11" fillId="0" borderId="8" xfId="0" applyNumberFormat="1" applyFont="1" applyBorder="1" applyAlignment="1">
      <alignment horizontal="justify" vertical="center" wrapText="1"/>
    </xf>
    <xf numFmtId="0" fontId="11" fillId="0" borderId="8" xfId="0" applyFont="1" applyBorder="1" applyAlignment="1">
      <alignment horizontal="justify" vertical="center" wrapText="1"/>
    </xf>
    <xf numFmtId="0" fontId="1" fillId="0" borderId="8" xfId="0" applyFont="1" applyBorder="1" applyAlignment="1">
      <alignment horizontal="justify" vertical="center" wrapText="1"/>
    </xf>
    <xf numFmtId="164" fontId="11" fillId="12" borderId="2" xfId="0" applyNumberFormat="1" applyFont="1" applyFill="1" applyBorder="1" applyAlignment="1">
      <alignment vertical="center" wrapText="1"/>
    </xf>
    <xf numFmtId="164" fontId="11" fillId="8" borderId="9" xfId="13" applyNumberFormat="1" applyFont="1" applyFill="1" applyBorder="1" applyAlignment="1">
      <alignment vertical="center"/>
    </xf>
    <xf numFmtId="164" fontId="11" fillId="8" borderId="9" xfId="0" applyNumberFormat="1" applyFont="1" applyFill="1" applyBorder="1" applyAlignment="1">
      <alignment vertical="center"/>
    </xf>
    <xf numFmtId="164" fontId="11" fillId="0" borderId="7" xfId="0" applyNumberFormat="1" applyFont="1" applyBorder="1" applyAlignment="1">
      <alignment vertical="center" wrapText="1"/>
    </xf>
    <xf numFmtId="164" fontId="11" fillId="0" borderId="7" xfId="0" applyNumberFormat="1" applyFont="1" applyBorder="1" applyAlignment="1">
      <alignment vertical="center"/>
    </xf>
    <xf numFmtId="164" fontId="12" fillId="7" borderId="26" xfId="0" applyNumberFormat="1" applyFont="1" applyFill="1" applyBorder="1" applyAlignment="1">
      <alignment vertical="center" wrapText="1"/>
    </xf>
    <xf numFmtId="164" fontId="12" fillId="7" borderId="27" xfId="0" applyNumberFormat="1" applyFont="1" applyFill="1" applyBorder="1" applyAlignment="1">
      <alignment vertical="center" wrapText="1"/>
    </xf>
    <xf numFmtId="164" fontId="12" fillId="7" borderId="5" xfId="0" applyNumberFormat="1" applyFont="1" applyFill="1" applyBorder="1" applyAlignment="1">
      <alignment vertical="center" wrapText="1"/>
    </xf>
    <xf numFmtId="164" fontId="12" fillId="7" borderId="28" xfId="0" applyNumberFormat="1" applyFont="1" applyFill="1" applyBorder="1" applyAlignment="1">
      <alignment vertical="center" wrapText="1"/>
    </xf>
    <xf numFmtId="164" fontId="11" fillId="6" borderId="5" xfId="0" applyNumberFormat="1" applyFont="1" applyFill="1" applyBorder="1" applyAlignment="1">
      <alignment vertical="center" wrapText="1"/>
    </xf>
    <xf numFmtId="164" fontId="11" fillId="6" borderId="28" xfId="0" applyNumberFormat="1" applyFont="1" applyFill="1" applyBorder="1" applyAlignment="1">
      <alignment vertical="center" wrapText="1"/>
    </xf>
    <xf numFmtId="164" fontId="11" fillId="6" borderId="28" xfId="0" applyNumberFormat="1" applyFont="1" applyFill="1" applyBorder="1" applyAlignment="1">
      <alignment vertical="center"/>
    </xf>
    <xf numFmtId="164" fontId="11" fillId="0" borderId="5" xfId="0" applyNumberFormat="1" applyFont="1" applyBorder="1" applyAlignment="1">
      <alignment vertical="center"/>
    </xf>
    <xf numFmtId="164" fontId="11" fillId="0" borderId="28" xfId="0" applyNumberFormat="1" applyFont="1" applyBorder="1" applyAlignment="1">
      <alignment vertical="center"/>
    </xf>
    <xf numFmtId="164" fontId="11" fillId="7" borderId="5" xfId="0" applyNumberFormat="1" applyFont="1" applyFill="1" applyBorder="1" applyAlignment="1">
      <alignment vertical="center" wrapText="1"/>
    </xf>
    <xf numFmtId="164" fontId="11" fillId="7" borderId="28" xfId="0" applyNumberFormat="1" applyFont="1" applyFill="1" applyBorder="1" applyAlignment="1">
      <alignment vertical="center" wrapText="1"/>
    </xf>
    <xf numFmtId="164" fontId="11" fillId="12" borderId="5" xfId="0" applyNumberFormat="1" applyFont="1" applyFill="1" applyBorder="1" applyAlignment="1">
      <alignment vertical="center" wrapText="1"/>
    </xf>
    <xf numFmtId="164" fontId="11" fillId="12" borderId="28" xfId="0" applyNumberFormat="1" applyFont="1" applyFill="1" applyBorder="1" applyAlignment="1">
      <alignment vertical="center" wrapText="1"/>
    </xf>
    <xf numFmtId="164" fontId="11" fillId="12" borderId="29" xfId="0" applyNumberFormat="1" applyFont="1" applyFill="1" applyBorder="1" applyAlignment="1">
      <alignment vertical="center" wrapText="1"/>
    </xf>
    <xf numFmtId="164" fontId="11" fillId="12" borderId="30" xfId="0" applyNumberFormat="1" applyFont="1" applyFill="1" applyBorder="1" applyAlignment="1">
      <alignment vertical="center" wrapText="1"/>
    </xf>
    <xf numFmtId="164" fontId="27" fillId="12" borderId="2" xfId="0" applyNumberFormat="1" applyFont="1" applyFill="1" applyBorder="1" applyAlignment="1">
      <alignment vertical="center"/>
    </xf>
    <xf numFmtId="164" fontId="27" fillId="12" borderId="1" xfId="0" applyNumberFormat="1" applyFont="1" applyFill="1" applyBorder="1" applyAlignment="1">
      <alignment vertical="center" wrapText="1"/>
    </xf>
    <xf numFmtId="164" fontId="27" fillId="12" borderId="1" xfId="0" applyNumberFormat="1" applyFont="1" applyFill="1" applyBorder="1" applyAlignment="1">
      <alignment vertical="center"/>
    </xf>
    <xf numFmtId="164" fontId="34" fillId="12" borderId="2" xfId="0" applyNumberFormat="1" applyFont="1" applyFill="1" applyBorder="1" applyAlignment="1">
      <alignment vertical="center" wrapText="1"/>
    </xf>
    <xf numFmtId="164" fontId="27" fillId="7" borderId="2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168" fontId="11" fillId="12" borderId="2" xfId="13" applyNumberFormat="1" applyFont="1" applyFill="1" applyBorder="1" applyAlignment="1">
      <alignment vertical="center"/>
    </xf>
    <xf numFmtId="171" fontId="23" fillId="8" borderId="1" xfId="0" applyNumberFormat="1" applyFont="1" applyFill="1" applyBorder="1" applyAlignment="1">
      <alignment vertical="center"/>
    </xf>
    <xf numFmtId="166" fontId="14" fillId="7" borderId="9" xfId="0" applyNumberFormat="1" applyFont="1" applyFill="1" applyBorder="1" applyAlignment="1">
      <alignment vertical="center"/>
    </xf>
    <xf numFmtId="166" fontId="13" fillId="7" borderId="13" xfId="0" applyNumberFormat="1" applyFont="1" applyFill="1" applyBorder="1" applyAlignment="1">
      <alignment horizontal="center" vertical="center"/>
    </xf>
    <xf numFmtId="166" fontId="13" fillId="7" borderId="18" xfId="0" applyNumberFormat="1" applyFont="1" applyFill="1" applyBorder="1" applyAlignment="1">
      <alignment horizontal="center" vertical="center"/>
    </xf>
    <xf numFmtId="166" fontId="13" fillId="7" borderId="7" xfId="0" applyNumberFormat="1" applyFont="1" applyFill="1" applyBorder="1" applyAlignment="1">
      <alignment horizontal="center" vertical="center"/>
    </xf>
    <xf numFmtId="0" fontId="37" fillId="8" borderId="0" xfId="0" applyFont="1" applyFill="1" applyAlignment="1">
      <alignment vertical="center" wrapText="1"/>
    </xf>
    <xf numFmtId="174" fontId="7" fillId="0" borderId="0" xfId="0" applyNumberFormat="1" applyFont="1" applyAlignment="1">
      <alignment horizontal="center" vertical="center" wrapText="1"/>
    </xf>
    <xf numFmtId="164" fontId="31" fillId="6" borderId="1" xfId="0" applyNumberFormat="1" applyFont="1" applyFill="1" applyBorder="1" applyAlignment="1">
      <alignment vertical="center" wrapText="1"/>
    </xf>
    <xf numFmtId="164" fontId="31" fillId="12" borderId="1" xfId="0" applyNumberFormat="1" applyFont="1" applyFill="1" applyBorder="1" applyAlignment="1">
      <alignment vertical="center" wrapText="1"/>
    </xf>
    <xf numFmtId="164" fontId="31" fillId="7" borderId="1" xfId="0" applyNumberFormat="1" applyFont="1" applyFill="1" applyBorder="1" applyAlignment="1">
      <alignment vertical="center"/>
    </xf>
    <xf numFmtId="164" fontId="31" fillId="6" borderId="8" xfId="0" applyNumberFormat="1" applyFont="1" applyFill="1" applyBorder="1" applyAlignment="1">
      <alignment vertical="center" wrapText="1"/>
    </xf>
    <xf numFmtId="164" fontId="11" fillId="6" borderId="9" xfId="0" applyNumberFormat="1" applyFont="1" applyFill="1" applyBorder="1" applyAlignment="1">
      <alignment vertical="center" wrapText="1"/>
    </xf>
    <xf numFmtId="164" fontId="11" fillId="6" borderId="7" xfId="0" applyNumberFormat="1" applyFont="1" applyFill="1" applyBorder="1" applyAlignment="1">
      <alignment vertical="center" wrapText="1"/>
    </xf>
    <xf numFmtId="164" fontId="31" fillId="7" borderId="25" xfId="0" applyNumberFormat="1" applyFont="1" applyFill="1" applyBorder="1" applyAlignment="1">
      <alignment vertical="center"/>
    </xf>
    <xf numFmtId="41" fontId="7" fillId="0" borderId="1" xfId="0" applyNumberFormat="1" applyFont="1" applyBorder="1" applyAlignment="1">
      <alignment horizontal="center" vertical="center" wrapText="1"/>
    </xf>
    <xf numFmtId="41" fontId="7" fillId="0" borderId="0" xfId="0" applyNumberFormat="1" applyFont="1" applyAlignment="1">
      <alignment horizontal="center" vertical="center" wrapText="1"/>
    </xf>
    <xf numFmtId="174" fontId="37" fillId="0" borderId="1" xfId="0" applyNumberFormat="1" applyFont="1" applyBorder="1" applyAlignment="1">
      <alignment horizontal="center" vertical="center" wrapText="1"/>
    </xf>
    <xf numFmtId="0" fontId="37" fillId="8" borderId="8" xfId="0" applyFont="1" applyFill="1" applyBorder="1" applyAlignment="1">
      <alignment horizontal="justify" vertical="center" wrapText="1"/>
    </xf>
    <xf numFmtId="164" fontId="37" fillId="8" borderId="17" xfId="0" applyNumberFormat="1" applyFont="1" applyFill="1" applyBorder="1" applyAlignment="1">
      <alignment horizontal="center" vertical="center" wrapText="1"/>
    </xf>
    <xf numFmtId="164" fontId="37" fillId="8" borderId="2" xfId="0" applyNumberFormat="1" applyFont="1" applyFill="1" applyBorder="1" applyAlignment="1">
      <alignment horizontal="center" vertical="center" wrapText="1"/>
    </xf>
    <xf numFmtId="174" fontId="35" fillId="8" borderId="7" xfId="0" applyNumberFormat="1" applyFont="1" applyFill="1" applyBorder="1" applyAlignment="1">
      <alignment horizontal="center" vertical="center"/>
    </xf>
    <xf numFmtId="174" fontId="37" fillId="0" borderId="9" xfId="0" applyNumberFormat="1" applyFont="1" applyBorder="1" applyAlignment="1">
      <alignment horizontal="center" vertical="center" wrapText="1"/>
    </xf>
    <xf numFmtId="174" fontId="41" fillId="6" borderId="4" xfId="0" applyNumberFormat="1" applyFont="1" applyFill="1" applyBorder="1" applyAlignment="1">
      <alignment horizontal="center" vertical="center"/>
    </xf>
    <xf numFmtId="174" fontId="41" fillId="6" borderId="31" xfId="0" applyNumberFormat="1" applyFont="1" applyFill="1" applyBorder="1" applyAlignment="1">
      <alignment horizontal="center" vertical="center"/>
    </xf>
    <xf numFmtId="174" fontId="42" fillId="0" borderId="0" xfId="0" applyNumberFormat="1" applyFont="1" applyAlignment="1">
      <alignment horizontal="center" vertical="center" wrapText="1"/>
    </xf>
    <xf numFmtId="174" fontId="40" fillId="0" borderId="0" xfId="0" applyNumberFormat="1" applyFont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 wrapText="1"/>
    </xf>
    <xf numFmtId="0" fontId="13" fillId="8" borderId="0" xfId="0" applyFont="1" applyFill="1" applyBorder="1" applyAlignment="1">
      <alignment vertical="center" wrapText="1"/>
    </xf>
    <xf numFmtId="0" fontId="13" fillId="8" borderId="0" xfId="0" applyFont="1" applyFill="1" applyAlignment="1">
      <alignment vertical="center" wrapText="1"/>
    </xf>
    <xf numFmtId="0" fontId="11" fillId="0" borderId="0" xfId="0" applyFont="1" applyAlignment="1">
      <alignment vertical="center" wrapText="1"/>
    </xf>
    <xf numFmtId="180" fontId="11" fillId="0" borderId="0" xfId="0" applyNumberFormat="1" applyFont="1" applyAlignment="1">
      <alignment vertical="center" wrapText="1"/>
    </xf>
    <xf numFmtId="180" fontId="11" fillId="0" borderId="0" xfId="0" applyNumberFormat="1" applyFont="1" applyBorder="1" applyAlignment="1">
      <alignment vertical="center"/>
    </xf>
    <xf numFmtId="180" fontId="12" fillId="9" borderId="0" xfId="0" applyNumberFormat="1" applyFont="1" applyFill="1" applyBorder="1" applyAlignment="1">
      <alignment vertical="center"/>
    </xf>
    <xf numFmtId="180" fontId="13" fillId="9" borderId="0" xfId="0" applyNumberFormat="1" applyFont="1" applyFill="1" applyBorder="1" applyAlignment="1">
      <alignment vertical="center"/>
    </xf>
    <xf numFmtId="10" fontId="19" fillId="8" borderId="2" xfId="0" applyNumberFormat="1" applyFont="1" applyFill="1" applyBorder="1" applyAlignment="1">
      <alignment horizontal="center" vertical="center" wrapText="1"/>
    </xf>
    <xf numFmtId="43" fontId="13" fillId="7" borderId="2" xfId="0" applyNumberFormat="1" applyFont="1" applyFill="1" applyBorder="1" applyAlignment="1">
      <alignment horizontal="center" vertical="center"/>
    </xf>
    <xf numFmtId="43" fontId="13" fillId="6" borderId="2" xfId="0" applyNumberFormat="1" applyFont="1" applyFill="1" applyBorder="1" applyAlignment="1">
      <alignment horizontal="center" vertical="center"/>
    </xf>
    <xf numFmtId="180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vertical="center" wrapText="1"/>
    </xf>
    <xf numFmtId="0" fontId="26" fillId="0" borderId="1" xfId="0" applyFont="1" applyBorder="1" applyAlignment="1">
      <alignment horizontal="justify" vertical="center" wrapText="1"/>
    </xf>
    <xf numFmtId="180" fontId="11" fillId="10" borderId="1" xfId="0" applyNumberFormat="1" applyFont="1" applyFill="1" applyBorder="1" applyAlignment="1">
      <alignment vertical="center" wrapText="1"/>
    </xf>
    <xf numFmtId="0" fontId="14" fillId="0" borderId="1" xfId="0" applyFont="1" applyBorder="1" applyAlignment="1">
      <alignment horizontal="justify" vertical="center" wrapText="1"/>
    </xf>
    <xf numFmtId="184" fontId="11" fillId="7" borderId="1" xfId="0" applyNumberFormat="1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vertical="center" wrapText="1"/>
    </xf>
    <xf numFmtId="185" fontId="13" fillId="0" borderId="1" xfId="0" applyNumberFormat="1" applyFont="1" applyBorder="1" applyAlignment="1">
      <alignment vertical="center" wrapText="1"/>
    </xf>
    <xf numFmtId="184" fontId="12" fillId="7" borderId="1" xfId="0" applyNumberFormat="1" applyFont="1" applyFill="1" applyBorder="1" applyAlignment="1">
      <alignment vertical="center" wrapText="1"/>
    </xf>
    <xf numFmtId="180" fontId="11" fillId="8" borderId="1" xfId="0" applyNumberFormat="1" applyFont="1" applyFill="1" applyBorder="1" applyAlignment="1">
      <alignment vertical="center" wrapText="1"/>
    </xf>
    <xf numFmtId="184" fontId="11" fillId="8" borderId="1" xfId="0" applyNumberFormat="1" applyFont="1" applyFill="1" applyBorder="1" applyAlignment="1">
      <alignment vertical="center" wrapText="1"/>
    </xf>
    <xf numFmtId="180" fontId="11" fillId="0" borderId="8" xfId="0" applyNumberFormat="1" applyFont="1" applyBorder="1" applyAlignment="1">
      <alignment vertical="center" wrapText="1"/>
    </xf>
    <xf numFmtId="180" fontId="11" fillId="0" borderId="2" xfId="0" applyNumberFormat="1" applyFont="1" applyBorder="1" applyAlignment="1">
      <alignment vertical="center" wrapText="1"/>
    </xf>
    <xf numFmtId="180" fontId="11" fillId="10" borderId="9" xfId="0" applyNumberFormat="1" applyFont="1" applyFill="1" applyBorder="1" applyAlignment="1">
      <alignment vertical="center" wrapText="1"/>
    </xf>
    <xf numFmtId="180" fontId="11" fillId="8" borderId="7" xfId="0" applyNumberFormat="1" applyFont="1" applyFill="1" applyBorder="1" applyAlignment="1">
      <alignment vertical="center" wrapText="1"/>
    </xf>
    <xf numFmtId="184" fontId="12" fillId="7" borderId="9" xfId="0" applyNumberFormat="1" applyFont="1" applyFill="1" applyBorder="1" applyAlignment="1">
      <alignment vertical="center" wrapText="1"/>
    </xf>
    <xf numFmtId="180" fontId="11" fillId="0" borderId="7" xfId="0" applyNumberFormat="1" applyFont="1" applyBorder="1" applyAlignment="1">
      <alignment vertical="center" wrapText="1"/>
    </xf>
    <xf numFmtId="180" fontId="12" fillId="0" borderId="1" xfId="0" applyNumberFormat="1" applyFont="1" applyBorder="1" applyAlignment="1">
      <alignment vertical="center" wrapText="1"/>
    </xf>
    <xf numFmtId="180" fontId="12" fillId="0" borderId="8" xfId="0" applyNumberFormat="1" applyFont="1" applyBorder="1" applyAlignment="1">
      <alignment vertical="center" wrapText="1"/>
    </xf>
    <xf numFmtId="184" fontId="12" fillId="7" borderId="25" xfId="0" applyNumberFormat="1" applyFont="1" applyFill="1" applyBorder="1" applyAlignment="1">
      <alignment horizontal="center" vertical="center" wrapText="1"/>
    </xf>
    <xf numFmtId="180" fontId="12" fillId="0" borderId="2" xfId="0" applyNumberFormat="1" applyFont="1" applyBorder="1" applyAlignment="1">
      <alignment vertical="center" wrapText="1"/>
    </xf>
    <xf numFmtId="180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41" fontId="12" fillId="7" borderId="25" xfId="0" applyNumberFormat="1" applyFont="1" applyFill="1" applyBorder="1" applyAlignment="1">
      <alignment vertical="center" wrapText="1"/>
    </xf>
    <xf numFmtId="180" fontId="27" fillId="10" borderId="1" xfId="0" applyNumberFormat="1" applyFont="1" applyFill="1" applyBorder="1" applyAlignment="1">
      <alignment vertical="center" wrapText="1"/>
    </xf>
    <xf numFmtId="184" fontId="12" fillId="7" borderId="24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180" fontId="11" fillId="7" borderId="1" xfId="0" applyNumberFormat="1" applyFont="1" applyFill="1" applyBorder="1" applyAlignment="1">
      <alignment vertical="center" wrapText="1"/>
    </xf>
    <xf numFmtId="174" fontId="13" fillId="8" borderId="2" xfId="0" applyNumberFormat="1" applyFont="1" applyFill="1" applyBorder="1" applyAlignment="1">
      <alignment vertical="center"/>
    </xf>
    <xf numFmtId="184" fontId="11" fillId="10" borderId="1" xfId="0" applyNumberFormat="1" applyFont="1" applyFill="1" applyBorder="1" applyAlignment="1">
      <alignment vertical="center" wrapText="1"/>
    </xf>
    <xf numFmtId="184" fontId="11" fillId="0" borderId="1" xfId="0" applyNumberFormat="1" applyFont="1" applyBorder="1" applyAlignment="1">
      <alignment vertical="center" wrapText="1"/>
    </xf>
    <xf numFmtId="169" fontId="19" fillId="6" borderId="2" xfId="0" applyNumberFormat="1" applyFont="1" applyFill="1" applyBorder="1" applyAlignment="1">
      <alignment horizontal="justify" vertical="center" wrapText="1"/>
    </xf>
    <xf numFmtId="0" fontId="11" fillId="0" borderId="8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1" fontId="12" fillId="7" borderId="25" xfId="0" applyNumberFormat="1" applyFont="1" applyFill="1" applyBorder="1" applyAlignment="1">
      <alignment horizontal="center" vertical="center" wrapText="1"/>
    </xf>
    <xf numFmtId="1" fontId="12" fillId="8" borderId="0" xfId="0" applyNumberFormat="1" applyFont="1" applyFill="1" applyBorder="1" applyAlignment="1">
      <alignment horizontal="center" vertical="center" wrapText="1"/>
    </xf>
    <xf numFmtId="180" fontId="11" fillId="12" borderId="1" xfId="0" applyNumberFormat="1" applyFont="1" applyFill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11" fillId="0" borderId="7" xfId="0" applyFont="1" applyBorder="1" applyAlignment="1">
      <alignment vertical="center" wrapText="1"/>
    </xf>
    <xf numFmtId="184" fontId="12" fillId="0" borderId="25" xfId="0" applyNumberFormat="1" applyFont="1" applyBorder="1" applyAlignment="1">
      <alignment vertical="center" wrapText="1"/>
    </xf>
    <xf numFmtId="184" fontId="12" fillId="7" borderId="25" xfId="0" applyNumberFormat="1" applyFont="1" applyFill="1" applyBorder="1" applyAlignment="1">
      <alignment vertical="center" wrapText="1"/>
    </xf>
    <xf numFmtId="180" fontId="11" fillId="8" borderId="8" xfId="0" applyNumberFormat="1" applyFont="1" applyFill="1" applyBorder="1" applyAlignment="1">
      <alignment vertical="center" wrapText="1"/>
    </xf>
    <xf numFmtId="184" fontId="11" fillId="10" borderId="8" xfId="0" applyNumberFormat="1" applyFont="1" applyFill="1" applyBorder="1" applyAlignment="1">
      <alignment vertical="center" wrapText="1"/>
    </xf>
    <xf numFmtId="180" fontId="11" fillId="10" borderId="32" xfId="0" applyNumberFormat="1" applyFont="1" applyFill="1" applyBorder="1" applyAlignment="1">
      <alignment vertical="center" wrapText="1"/>
    </xf>
    <xf numFmtId="184" fontId="12" fillId="7" borderId="33" xfId="0" applyNumberFormat="1" applyFont="1" applyFill="1" applyBorder="1" applyAlignment="1">
      <alignment vertical="center" wrapText="1"/>
    </xf>
    <xf numFmtId="180" fontId="11" fillId="10" borderId="11" xfId="0" applyNumberFormat="1" applyFont="1" applyFill="1" applyBorder="1" applyAlignment="1">
      <alignment vertical="center" wrapText="1"/>
    </xf>
    <xf numFmtId="184" fontId="12" fillId="0" borderId="33" xfId="0" applyNumberFormat="1" applyFont="1" applyBorder="1" applyAlignment="1">
      <alignment vertical="center" wrapText="1"/>
    </xf>
    <xf numFmtId="0" fontId="26" fillId="0" borderId="1" xfId="0" applyFont="1" applyBorder="1" applyAlignment="1">
      <alignment horizontal="center" vertical="center" wrapText="1"/>
    </xf>
    <xf numFmtId="184" fontId="12" fillId="12" borderId="25" xfId="0" applyNumberFormat="1" applyFont="1" applyFill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41" fontId="11" fillId="10" borderId="1" xfId="0" applyNumberFormat="1" applyFont="1" applyFill="1" applyBorder="1" applyAlignment="1">
      <alignment vertical="center" wrapText="1"/>
    </xf>
    <xf numFmtId="184" fontId="11" fillId="6" borderId="1" xfId="0" applyNumberFormat="1" applyFont="1" applyFill="1" applyBorder="1" applyAlignment="1">
      <alignment vertical="center" wrapText="1"/>
    </xf>
    <xf numFmtId="180" fontId="11" fillId="6" borderId="1" xfId="0" applyNumberFormat="1" applyFont="1" applyFill="1" applyBorder="1" applyAlignment="1">
      <alignment vertical="center" wrapText="1"/>
    </xf>
    <xf numFmtId="184" fontId="11" fillId="7" borderId="8" xfId="0" applyNumberFormat="1" applyFont="1" applyFill="1" applyBorder="1" applyAlignment="1">
      <alignment vertical="center" wrapText="1"/>
    </xf>
    <xf numFmtId="185" fontId="13" fillId="10" borderId="1" xfId="0" applyNumberFormat="1" applyFont="1" applyFill="1" applyBorder="1" applyAlignment="1">
      <alignment vertical="center" wrapText="1"/>
    </xf>
    <xf numFmtId="180" fontId="13" fillId="10" borderId="1" xfId="0" applyNumberFormat="1" applyFont="1" applyFill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180" fontId="13" fillId="10" borderId="9" xfId="0" applyNumberFormat="1" applyFont="1" applyFill="1" applyBorder="1" applyAlignment="1">
      <alignment vertical="center" wrapText="1"/>
    </xf>
    <xf numFmtId="180" fontId="12" fillId="0" borderId="7" xfId="0" applyNumberFormat="1" applyFont="1" applyBorder="1" applyAlignment="1">
      <alignment vertical="center" wrapText="1"/>
    </xf>
    <xf numFmtId="184" fontId="12" fillId="7" borderId="33" xfId="0" applyNumberFormat="1" applyFont="1" applyFill="1" applyBorder="1" applyAlignment="1">
      <alignment horizontal="center" vertical="center" wrapText="1"/>
    </xf>
    <xf numFmtId="1" fontId="12" fillId="7" borderId="33" xfId="0" applyNumberFormat="1" applyFont="1" applyFill="1" applyBorder="1" applyAlignment="1">
      <alignment horizontal="center" vertical="center" wrapText="1"/>
    </xf>
    <xf numFmtId="1" fontId="12" fillId="8" borderId="1" xfId="0" applyNumberFormat="1" applyFont="1" applyFill="1" applyBorder="1" applyAlignment="1">
      <alignment horizontal="center" vertical="center" wrapText="1"/>
    </xf>
    <xf numFmtId="184" fontId="12" fillId="7" borderId="8" xfId="0" applyNumberFormat="1" applyFont="1" applyFill="1" applyBorder="1" applyAlignment="1">
      <alignment vertical="center" wrapText="1"/>
    </xf>
    <xf numFmtId="184" fontId="12" fillId="7" borderId="2" xfId="0" applyNumberFormat="1" applyFont="1" applyFill="1" applyBorder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right" vertical="center" wrapText="1"/>
    </xf>
    <xf numFmtId="184" fontId="11" fillId="7" borderId="9" xfId="0" applyNumberFormat="1" applyFont="1" applyFill="1" applyBorder="1" applyAlignment="1">
      <alignment vertical="center" wrapText="1"/>
    </xf>
    <xf numFmtId="0" fontId="27" fillId="8" borderId="8" xfId="20" applyFont="1" applyFill="1" applyBorder="1" applyAlignment="1" applyProtection="1">
      <alignment horizontal="justify" vertical="center" wrapText="1"/>
    </xf>
    <xf numFmtId="0" fontId="28" fillId="8" borderId="1" xfId="20" applyFont="1" applyFill="1" applyBorder="1" applyAlignment="1" applyProtection="1">
      <alignment horizontal="justify" vertical="center" wrapText="1"/>
    </xf>
    <xf numFmtId="164" fontId="27" fillId="0" borderId="1" xfId="0" applyNumberFormat="1" applyFont="1" applyBorder="1" applyAlignment="1">
      <alignment vertical="center"/>
    </xf>
    <xf numFmtId="0" fontId="27" fillId="0" borderId="0" xfId="0" applyFont="1" applyBorder="1" applyAlignment="1">
      <alignment vertical="center"/>
    </xf>
    <xf numFmtId="164" fontId="27" fillId="7" borderId="1" xfId="0" applyNumberFormat="1" applyFont="1" applyFill="1" applyBorder="1" applyAlignment="1">
      <alignment vertical="center"/>
    </xf>
    <xf numFmtId="9" fontId="20" fillId="0" borderId="1" xfId="0" applyNumberFormat="1" applyFont="1" applyBorder="1" applyAlignment="1">
      <alignment horizontal="center" vertical="center"/>
    </xf>
    <xf numFmtId="174" fontId="40" fillId="0" borderId="1" xfId="0" applyNumberFormat="1" applyFont="1" applyBorder="1" applyAlignment="1">
      <alignment horizontal="center" vertical="center" wrapText="1"/>
    </xf>
    <xf numFmtId="0" fontId="37" fillId="8" borderId="1" xfId="0" applyFont="1" applyFill="1" applyBorder="1" applyAlignment="1">
      <alignment horizontal="justify" vertical="center" wrapText="1"/>
    </xf>
    <xf numFmtId="164" fontId="37" fillId="8" borderId="1" xfId="0" applyNumberFormat="1" applyFont="1" applyFill="1" applyBorder="1" applyAlignment="1">
      <alignment horizontal="center" vertical="center" wrapText="1"/>
    </xf>
    <xf numFmtId="174" fontId="13" fillId="0" borderId="1" xfId="0" applyNumberFormat="1" applyFont="1" applyBorder="1" applyAlignment="1">
      <alignment horizontal="center" vertical="center" wrapText="1"/>
    </xf>
    <xf numFmtId="184" fontId="11" fillId="7" borderId="32" xfId="0" applyNumberFormat="1" applyFont="1" applyFill="1" applyBorder="1" applyAlignment="1">
      <alignment vertical="center" wrapText="1"/>
    </xf>
    <xf numFmtId="184" fontId="21" fillId="7" borderId="34" xfId="0" applyNumberFormat="1" applyFont="1" applyFill="1" applyBorder="1" applyAlignment="1">
      <alignment vertical="center" wrapText="1"/>
    </xf>
    <xf numFmtId="184" fontId="11" fillId="7" borderId="11" xfId="0" applyNumberFormat="1" applyFont="1" applyFill="1" applyBorder="1" applyAlignment="1">
      <alignment vertical="center" wrapText="1"/>
    </xf>
    <xf numFmtId="174" fontId="36" fillId="0" borderId="1" xfId="0" applyNumberFormat="1" applyFont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justify" vertical="center" wrapText="1"/>
    </xf>
    <xf numFmtId="168" fontId="20" fillId="6" borderId="2" xfId="0" applyNumberFormat="1" applyFont="1" applyFill="1" applyBorder="1" applyAlignment="1">
      <alignment horizontal="right" vertical="center"/>
    </xf>
    <xf numFmtId="166" fontId="13" fillId="8" borderId="2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vertical="center" wrapText="1"/>
    </xf>
    <xf numFmtId="164" fontId="12" fillId="8" borderId="2" xfId="0" applyNumberFormat="1" applyFont="1" applyFill="1" applyBorder="1" applyAlignment="1">
      <alignment vertical="center" wrapText="1"/>
    </xf>
    <xf numFmtId="164" fontId="11" fillId="8" borderId="2" xfId="0" applyNumberFormat="1" applyFont="1" applyFill="1" applyBorder="1" applyAlignment="1">
      <alignment vertical="center" wrapText="1"/>
    </xf>
    <xf numFmtId="164" fontId="30" fillId="8" borderId="1" xfId="0" applyNumberFormat="1" applyFont="1" applyFill="1" applyBorder="1" applyAlignment="1">
      <alignment vertical="center" wrapText="1"/>
    </xf>
    <xf numFmtId="164" fontId="21" fillId="8" borderId="2" xfId="0" applyNumberFormat="1" applyFont="1" applyFill="1" applyBorder="1" applyAlignment="1">
      <alignment vertical="center" wrapText="1"/>
    </xf>
    <xf numFmtId="164" fontId="21" fillId="8" borderId="1" xfId="0" applyNumberFormat="1" applyFont="1" applyFill="1" applyBorder="1" applyAlignment="1">
      <alignment vertical="center" wrapText="1"/>
    </xf>
    <xf numFmtId="164" fontId="18" fillId="6" borderId="1" xfId="0" applyNumberFormat="1" applyFont="1" applyFill="1" applyBorder="1" applyAlignment="1">
      <alignment vertical="center"/>
    </xf>
    <xf numFmtId="174" fontId="18" fillId="0" borderId="1" xfId="0" applyNumberFormat="1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174" fontId="18" fillId="0" borderId="1" xfId="0" applyNumberFormat="1" applyFont="1" applyBorder="1" applyAlignment="1">
      <alignment vertical="center"/>
    </xf>
    <xf numFmtId="4" fontId="19" fillId="10" borderId="2" xfId="0" applyNumberFormat="1" applyFont="1" applyFill="1" applyBorder="1" applyAlignment="1">
      <alignment horizontal="center" vertical="center"/>
    </xf>
    <xf numFmtId="174" fontId="19" fillId="10" borderId="2" xfId="0" applyNumberFormat="1" applyFont="1" applyFill="1" applyBorder="1" applyAlignment="1">
      <alignment horizontal="center" vertical="center"/>
    </xf>
    <xf numFmtId="0" fontId="12" fillId="8" borderId="0" xfId="0" applyFont="1" applyFill="1"/>
    <xf numFmtId="0" fontId="11" fillId="8" borderId="0" xfId="0" applyFont="1" applyFill="1" applyBorder="1"/>
    <xf numFmtId="0" fontId="12" fillId="8" borderId="0" xfId="0" applyFont="1" applyFill="1" applyBorder="1"/>
    <xf numFmtId="43" fontId="13" fillId="8" borderId="22" xfId="0" applyNumberFormat="1" applyFont="1" applyFill="1" applyBorder="1"/>
    <xf numFmtId="43" fontId="11" fillId="8" borderId="0" xfId="0" applyNumberFormat="1" applyFont="1" applyFill="1"/>
    <xf numFmtId="43" fontId="11" fillId="8" borderId="19" xfId="0" applyNumberFormat="1" applyFont="1" applyFill="1" applyBorder="1"/>
    <xf numFmtId="0" fontId="13" fillId="8" borderId="0" xfId="0" applyFont="1" applyFill="1"/>
    <xf numFmtId="43" fontId="12" fillId="8" borderId="19" xfId="0" applyNumberFormat="1" applyFont="1" applyFill="1" applyBorder="1"/>
    <xf numFmtId="0" fontId="14" fillId="8" borderId="0" xfId="0" applyFont="1" applyFill="1"/>
    <xf numFmtId="175" fontId="11" fillId="8" borderId="0" xfId="0" applyNumberFormat="1" applyFont="1" applyFill="1"/>
    <xf numFmtId="0" fontId="12" fillId="8" borderId="20" xfId="0" applyFont="1" applyFill="1" applyBorder="1"/>
    <xf numFmtId="3" fontId="11" fillId="8" borderId="0" xfId="2" applyNumberFormat="1" applyFont="1" applyFill="1" applyAlignment="1">
      <alignment horizontal="left" vertical="center"/>
    </xf>
    <xf numFmtId="0" fontId="12" fillId="8" borderId="1" xfId="0" applyFont="1" applyFill="1" applyBorder="1"/>
    <xf numFmtId="0" fontId="11" fillId="8" borderId="1" xfId="0" applyFont="1" applyFill="1" applyBorder="1" applyAlignment="1">
      <alignment horizontal="center"/>
    </xf>
    <xf numFmtId="43" fontId="11" fillId="8" borderId="21" xfId="0" applyNumberFormat="1" applyFont="1" applyFill="1" applyBorder="1"/>
    <xf numFmtId="43" fontId="13" fillId="8" borderId="23" xfId="0" applyNumberFormat="1" applyFont="1" applyFill="1" applyBorder="1"/>
    <xf numFmtId="43" fontId="12" fillId="8" borderId="21" xfId="0" applyNumberFormat="1" applyFont="1" applyFill="1" applyBorder="1"/>
    <xf numFmtId="177" fontId="11" fillId="8" borderId="21" xfId="9" applyNumberFormat="1" applyFont="1" applyFill="1" applyBorder="1" applyAlignment="1">
      <alignment vertical="center"/>
    </xf>
    <xf numFmtId="0" fontId="11" fillId="8" borderId="1" xfId="0" applyFont="1" applyFill="1" applyBorder="1"/>
    <xf numFmtId="0" fontId="12" fillId="8" borderId="1" xfId="0" applyFont="1" applyFill="1" applyBorder="1" applyAlignment="1">
      <alignment vertical="center"/>
    </xf>
    <xf numFmtId="3" fontId="13" fillId="8" borderId="1" xfId="1" applyNumberFormat="1" applyFont="1" applyFill="1" applyBorder="1" applyAlignment="1">
      <alignment horizontal="left" vertical="center" indent="1"/>
    </xf>
    <xf numFmtId="0" fontId="13" fillId="8" borderId="1" xfId="0" applyFont="1" applyFill="1" applyBorder="1" applyAlignment="1"/>
    <xf numFmtId="1" fontId="11" fillId="8" borderId="1" xfId="9" applyNumberFormat="1" applyFont="1" applyFill="1" applyBorder="1" applyAlignment="1">
      <alignment horizontal="center" vertical="center"/>
    </xf>
    <xf numFmtId="3" fontId="12" fillId="8" borderId="1" xfId="1" applyNumberFormat="1" applyFont="1" applyFill="1" applyBorder="1" applyAlignment="1">
      <alignment horizontal="left" vertical="center" indent="1"/>
    </xf>
    <xf numFmtId="3" fontId="13" fillId="8" borderId="1" xfId="1" applyNumberFormat="1" applyFont="1" applyFill="1" applyBorder="1" applyAlignment="1">
      <alignment horizontal="left" vertical="center" indent="2"/>
    </xf>
    <xf numFmtId="3" fontId="11" fillId="8" borderId="1" xfId="1" applyNumberFormat="1" applyFont="1" applyFill="1" applyBorder="1" applyAlignment="1">
      <alignment horizontal="center" vertical="center"/>
    </xf>
    <xf numFmtId="3" fontId="13" fillId="8" borderId="1" xfId="1" applyNumberFormat="1" applyFont="1" applyFill="1" applyBorder="1" applyAlignment="1">
      <alignment horizontal="justify" vertical="center" wrapText="1"/>
    </xf>
    <xf numFmtId="3" fontId="13" fillId="8" borderId="1" xfId="1" applyNumberFormat="1" applyFont="1" applyFill="1" applyBorder="1" applyAlignment="1">
      <alignment horizontal="center" vertical="center"/>
    </xf>
    <xf numFmtId="3" fontId="13" fillId="8" borderId="1" xfId="1" applyNumberFormat="1" applyFont="1" applyFill="1" applyBorder="1" applyAlignment="1">
      <alignment horizontal="center" vertical="center" wrapText="1"/>
    </xf>
    <xf numFmtId="3" fontId="14" fillId="8" borderId="1" xfId="1" applyNumberFormat="1" applyFont="1" applyFill="1" applyBorder="1" applyAlignment="1">
      <alignment horizontal="left" vertical="center" wrapText="1"/>
    </xf>
    <xf numFmtId="3" fontId="11" fillId="8" borderId="1" xfId="1" applyNumberFormat="1" applyFont="1" applyFill="1" applyBorder="1" applyAlignment="1">
      <alignment horizontal="left" vertical="center" indent="3"/>
    </xf>
    <xf numFmtId="41" fontId="12" fillId="8" borderId="1" xfId="9" applyNumberFormat="1" applyFont="1" applyFill="1" applyBorder="1" applyAlignment="1">
      <alignment vertical="center"/>
    </xf>
    <xf numFmtId="3" fontId="11" fillId="8" borderId="1" xfId="1" applyNumberFormat="1" applyFont="1" applyFill="1" applyBorder="1" applyAlignment="1">
      <alignment horizontal="left" vertical="center" indent="1"/>
    </xf>
    <xf numFmtId="3" fontId="11" fillId="8" borderId="1" xfId="1" applyNumberFormat="1" applyFont="1" applyFill="1" applyBorder="1" applyAlignment="1">
      <alignment horizontal="left" vertical="center" indent="2"/>
    </xf>
    <xf numFmtId="3" fontId="11" fillId="8" borderId="1" xfId="1" applyNumberFormat="1" applyFont="1" applyFill="1" applyBorder="1" applyAlignment="1">
      <alignment vertical="center"/>
    </xf>
    <xf numFmtId="3" fontId="12" fillId="8" borderId="1" xfId="1" applyNumberFormat="1" applyFont="1" applyFill="1" applyBorder="1" applyAlignment="1">
      <alignment horizontal="left" vertical="center" wrapText="1" indent="2"/>
    </xf>
    <xf numFmtId="3" fontId="11" fillId="8" borderId="1" xfId="1" applyNumberFormat="1" applyFont="1" applyFill="1" applyBorder="1" applyAlignment="1">
      <alignment horizontal="left" vertical="center" wrapText="1" indent="2"/>
    </xf>
    <xf numFmtId="3" fontId="12" fillId="8" borderId="1" xfId="1" applyNumberFormat="1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left" indent="2"/>
    </xf>
    <xf numFmtId="3" fontId="12" fillId="8" borderId="1" xfId="1" applyNumberFormat="1" applyFont="1" applyFill="1" applyBorder="1" applyAlignment="1">
      <alignment horizontal="left" vertical="center" indent="2"/>
    </xf>
    <xf numFmtId="3" fontId="11" fillId="8" borderId="1" xfId="1" applyNumberFormat="1" applyFont="1" applyFill="1" applyBorder="1" applyAlignment="1">
      <alignment horizontal="left" vertical="center" wrapText="1" indent="1"/>
    </xf>
    <xf numFmtId="3" fontId="12" fillId="8" borderId="1" xfId="1" applyNumberFormat="1" applyFont="1" applyFill="1" applyBorder="1" applyAlignment="1">
      <alignment horizontal="left" vertical="center" wrapText="1" indent="1"/>
    </xf>
    <xf numFmtId="0" fontId="13" fillId="8" borderId="1" xfId="0" applyFont="1" applyFill="1" applyBorder="1"/>
    <xf numFmtId="1" fontId="13" fillId="8" borderId="1" xfId="9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left" indent="1"/>
    </xf>
    <xf numFmtId="0" fontId="11" fillId="8" borderId="1" xfId="9" applyFont="1" applyFill="1" applyBorder="1" applyAlignment="1">
      <alignment horizontal="left" vertical="center" indent="1"/>
    </xf>
    <xf numFmtId="3" fontId="11" fillId="8" borderId="1" xfId="2" applyNumberFormat="1" applyFont="1" applyFill="1" applyBorder="1" applyAlignment="1">
      <alignment horizontal="left" vertical="center" indent="1"/>
    </xf>
    <xf numFmtId="0" fontId="11" fillId="8" borderId="1" xfId="2" applyFont="1" applyFill="1" applyBorder="1" applyAlignment="1">
      <alignment horizontal="left" vertical="center" indent="1"/>
    </xf>
    <xf numFmtId="1" fontId="11" fillId="8" borderId="1" xfId="0" applyNumberFormat="1" applyFont="1" applyFill="1" applyBorder="1" applyAlignment="1">
      <alignment horizontal="center"/>
    </xf>
    <xf numFmtId="3" fontId="12" fillId="8" borderId="1" xfId="2" applyNumberFormat="1" applyFont="1" applyFill="1" applyBorder="1" applyAlignment="1">
      <alignment horizontal="left" vertical="center"/>
    </xf>
    <xf numFmtId="3" fontId="11" fillId="8" borderId="1" xfId="2" applyNumberFormat="1" applyFont="1" applyFill="1" applyBorder="1" applyAlignment="1">
      <alignment horizontal="left" vertical="center"/>
    </xf>
    <xf numFmtId="0" fontId="26" fillId="8" borderId="1" xfId="0" applyFont="1" applyFill="1" applyBorder="1" applyAlignment="1">
      <alignment vertical="center"/>
    </xf>
    <xf numFmtId="0" fontId="22" fillId="8" borderId="1" xfId="0" applyFont="1" applyFill="1" applyBorder="1" applyAlignment="1">
      <alignment horizontal="center"/>
    </xf>
    <xf numFmtId="0" fontId="22" fillId="8" borderId="0" xfId="0" applyFont="1" applyFill="1"/>
    <xf numFmtId="0" fontId="22" fillId="8" borderId="1" xfId="0" applyFont="1" applyFill="1" applyBorder="1"/>
    <xf numFmtId="3" fontId="26" fillId="8" borderId="1" xfId="1" applyNumberFormat="1" applyFont="1" applyFill="1" applyBorder="1" applyAlignment="1">
      <alignment horizontal="left" vertical="center" indent="1"/>
    </xf>
    <xf numFmtId="3" fontId="22" fillId="8" borderId="1" xfId="0" applyNumberFormat="1" applyFont="1" applyFill="1" applyBorder="1" applyAlignment="1">
      <alignment horizontal="center" vertical="center"/>
    </xf>
    <xf numFmtId="3" fontId="23" fillId="8" borderId="1" xfId="1" applyNumberFormat="1" applyFont="1" applyFill="1" applyBorder="1" applyAlignment="1">
      <alignment horizontal="left" vertical="center" indent="2"/>
    </xf>
    <xf numFmtId="3" fontId="23" fillId="8" borderId="1" xfId="1" applyNumberFormat="1" applyFont="1" applyFill="1" applyBorder="1" applyAlignment="1">
      <alignment horizontal="center" vertical="center"/>
    </xf>
    <xf numFmtId="3" fontId="22" fillId="8" borderId="1" xfId="1" applyNumberFormat="1" applyFont="1" applyFill="1" applyBorder="1" applyAlignment="1">
      <alignment horizontal="left" vertical="center" indent="2"/>
    </xf>
    <xf numFmtId="1" fontId="22" fillId="8" borderId="1" xfId="9" applyNumberFormat="1" applyFont="1" applyFill="1" applyBorder="1" applyAlignment="1">
      <alignment horizontal="center" vertical="center"/>
    </xf>
    <xf numFmtId="0" fontId="22" fillId="8" borderId="1" xfId="9" applyFont="1" applyFill="1" applyBorder="1" applyAlignment="1">
      <alignment horizontal="left" vertical="center" indent="1"/>
    </xf>
    <xf numFmtId="0" fontId="22" fillId="8" borderId="1" xfId="0" applyFont="1" applyFill="1" applyBorder="1" applyAlignment="1">
      <alignment vertical="center"/>
    </xf>
    <xf numFmtId="3" fontId="22" fillId="8" borderId="1" xfId="2" applyNumberFormat="1" applyFont="1" applyFill="1" applyBorder="1" applyAlignment="1">
      <alignment horizontal="left" vertical="center" indent="1"/>
    </xf>
    <xf numFmtId="3" fontId="26" fillId="8" borderId="1" xfId="1" applyNumberFormat="1" applyFont="1" applyFill="1" applyBorder="1" applyAlignment="1">
      <alignment horizontal="left" vertical="center"/>
    </xf>
    <xf numFmtId="0" fontId="22" fillId="8" borderId="1" xfId="2" applyFont="1" applyFill="1" applyBorder="1" applyAlignment="1">
      <alignment horizontal="left" vertical="center" indent="1"/>
    </xf>
    <xf numFmtId="1" fontId="22" fillId="8" borderId="1" xfId="0" applyNumberFormat="1" applyFont="1" applyFill="1" applyBorder="1" applyAlignment="1">
      <alignment horizontal="center"/>
    </xf>
    <xf numFmtId="0" fontId="22" fillId="8" borderId="1" xfId="0" applyFont="1" applyFill="1" applyBorder="1" applyAlignment="1">
      <alignment horizontal="left" indent="1"/>
    </xf>
    <xf numFmtId="3" fontId="26" fillId="8" borderId="1" xfId="2" applyNumberFormat="1" applyFont="1" applyFill="1" applyBorder="1" applyAlignment="1">
      <alignment horizontal="left" vertical="center"/>
    </xf>
    <xf numFmtId="41" fontId="11" fillId="8" borderId="0" xfId="0" applyNumberFormat="1" applyFont="1" applyFill="1"/>
    <xf numFmtId="41" fontId="12" fillId="8" borderId="1" xfId="0" applyNumberFormat="1" applyFont="1" applyFill="1" applyBorder="1"/>
    <xf numFmtId="41" fontId="11" fillId="8" borderId="1" xfId="0" applyNumberFormat="1" applyFont="1" applyFill="1" applyBorder="1"/>
    <xf numFmtId="41" fontId="13" fillId="8" borderId="1" xfId="10" applyNumberFormat="1" applyFont="1" applyFill="1" applyBorder="1"/>
    <xf numFmtId="41" fontId="13" fillId="8" borderId="1" xfId="0" applyNumberFormat="1" applyFont="1" applyFill="1" applyBorder="1"/>
    <xf numFmtId="41" fontId="11" fillId="8" borderId="1" xfId="9" applyNumberFormat="1" applyFont="1" applyFill="1" applyBorder="1" applyAlignment="1">
      <alignment vertical="center"/>
    </xf>
    <xf numFmtId="41" fontId="11" fillId="8" borderId="1" xfId="10" applyNumberFormat="1" applyFont="1" applyFill="1" applyBorder="1" applyAlignment="1">
      <alignment vertical="center"/>
    </xf>
    <xf numFmtId="41" fontId="12" fillId="8" borderId="1" xfId="10" applyNumberFormat="1" applyFont="1" applyFill="1" applyBorder="1" applyAlignment="1">
      <alignment vertical="center"/>
    </xf>
    <xf numFmtId="41" fontId="11" fillId="8" borderId="1" xfId="9" applyNumberFormat="1" applyFont="1" applyFill="1" applyBorder="1" applyAlignment="1">
      <alignment horizontal="center" vertical="center"/>
    </xf>
    <xf numFmtId="41" fontId="13" fillId="8" borderId="1" xfId="9" applyNumberFormat="1" applyFont="1" applyFill="1" applyBorder="1" applyAlignment="1">
      <alignment vertical="center"/>
    </xf>
    <xf numFmtId="41" fontId="12" fillId="8" borderId="1" xfId="13" applyNumberFormat="1" applyFont="1" applyFill="1" applyBorder="1" applyAlignment="1">
      <alignment vertical="center"/>
    </xf>
    <xf numFmtId="41" fontId="12" fillId="7" borderId="1" xfId="9" applyNumberFormat="1" applyFont="1" applyFill="1" applyBorder="1" applyAlignment="1">
      <alignment horizontal="center" vertical="center"/>
    </xf>
    <xf numFmtId="41" fontId="12" fillId="8" borderId="1" xfId="0" applyNumberFormat="1" applyFont="1" applyFill="1" applyBorder="1" applyAlignment="1">
      <alignment vertical="center"/>
    </xf>
    <xf numFmtId="41" fontId="12" fillId="8" borderId="1" xfId="13" applyNumberFormat="1" applyFont="1" applyFill="1" applyBorder="1" applyAlignment="1">
      <alignment horizontal="center"/>
    </xf>
    <xf numFmtId="41" fontId="22" fillId="8" borderId="1" xfId="0" applyNumberFormat="1" applyFont="1" applyFill="1" applyBorder="1"/>
    <xf numFmtId="41" fontId="26" fillId="8" borderId="1" xfId="9" applyNumberFormat="1" applyFont="1" applyFill="1" applyBorder="1" applyAlignment="1">
      <alignment vertical="center"/>
    </xf>
    <xf numFmtId="41" fontId="23" fillId="8" borderId="1" xfId="9" applyNumberFormat="1" applyFont="1" applyFill="1" applyBorder="1" applyAlignment="1">
      <alignment vertical="center"/>
    </xf>
    <xf numFmtId="41" fontId="22" fillId="8" borderId="1" xfId="9" applyNumberFormat="1" applyFont="1" applyFill="1" applyBorder="1" applyAlignment="1">
      <alignment vertical="center"/>
    </xf>
    <xf numFmtId="41" fontId="26" fillId="8" borderId="1" xfId="0" applyNumberFormat="1" applyFont="1" applyFill="1" applyBorder="1" applyAlignment="1">
      <alignment horizontal="right" vertical="center"/>
    </xf>
    <xf numFmtId="41" fontId="26" fillId="8" borderId="1" xfId="0" applyNumberFormat="1" applyFont="1" applyFill="1" applyBorder="1" applyAlignment="1">
      <alignment horizontal="center" vertical="center"/>
    </xf>
    <xf numFmtId="41" fontId="22" fillId="8" borderId="1" xfId="9" applyNumberFormat="1" applyFont="1" applyFill="1" applyBorder="1" applyAlignment="1">
      <alignment horizontal="center" vertical="center"/>
    </xf>
    <xf numFmtId="41" fontId="26" fillId="8" borderId="1" xfId="13" applyNumberFormat="1" applyFont="1" applyFill="1" applyBorder="1" applyAlignment="1">
      <alignment horizontal="center"/>
    </xf>
    <xf numFmtId="41" fontId="26" fillId="8" borderId="1" xfId="0" applyNumberFormat="1" applyFont="1" applyFill="1" applyBorder="1"/>
    <xf numFmtId="0" fontId="13" fillId="8" borderId="1" xfId="0" applyFont="1" applyFill="1" applyBorder="1" applyAlignment="1">
      <alignment horizontal="left" indent="1"/>
    </xf>
    <xf numFmtId="186" fontId="13" fillId="8" borderId="1" xfId="0" applyNumberFormat="1" applyFont="1" applyFill="1" applyBorder="1"/>
    <xf numFmtId="41" fontId="11" fillId="7" borderId="1" xfId="9" applyNumberFormat="1" applyFont="1" applyFill="1" applyBorder="1" applyAlignment="1">
      <alignment vertical="center"/>
    </xf>
    <xf numFmtId="41" fontId="11" fillId="6" borderId="1" xfId="9" applyNumberFormat="1" applyFont="1" applyFill="1" applyBorder="1" applyAlignment="1">
      <alignment vertical="center"/>
    </xf>
    <xf numFmtId="41" fontId="11" fillId="10" borderId="1" xfId="9" applyNumberFormat="1" applyFont="1" applyFill="1" applyBorder="1" applyAlignment="1">
      <alignment vertical="center"/>
    </xf>
    <xf numFmtId="41" fontId="12" fillId="7" borderId="1" xfId="9" applyNumberFormat="1" applyFont="1" applyFill="1" applyBorder="1" applyAlignment="1">
      <alignment vertical="center"/>
    </xf>
    <xf numFmtId="3" fontId="13" fillId="10" borderId="1" xfId="1" applyNumberFormat="1" applyFont="1" applyFill="1" applyBorder="1" applyAlignment="1">
      <alignment horizontal="justify" vertical="center" wrapText="1"/>
    </xf>
    <xf numFmtId="3" fontId="12" fillId="8" borderId="1" xfId="1" applyNumberFormat="1" applyFont="1" applyFill="1" applyBorder="1" applyAlignment="1">
      <alignment horizontal="center" vertical="center"/>
    </xf>
    <xf numFmtId="174" fontId="13" fillId="10" borderId="1" xfId="10" applyNumberFormat="1" applyFont="1" applyFill="1" applyBorder="1" applyAlignment="1">
      <alignment horizontal="center"/>
    </xf>
    <xf numFmtId="41" fontId="11" fillId="7" borderId="1" xfId="0" applyNumberFormat="1" applyFont="1" applyFill="1" applyBorder="1"/>
    <xf numFmtId="9" fontId="13" fillId="7" borderId="1" xfId="10" applyNumberFormat="1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26" fillId="8" borderId="1" xfId="0" applyFont="1" applyFill="1" applyBorder="1" applyAlignment="1">
      <alignment horizontal="center" vertical="center"/>
    </xf>
    <xf numFmtId="41" fontId="12" fillId="10" borderId="1" xfId="9" applyNumberFormat="1" applyFont="1" applyFill="1" applyBorder="1" applyAlignment="1">
      <alignment vertical="center"/>
    </xf>
    <xf numFmtId="0" fontId="46" fillId="8" borderId="1" xfId="0" applyFont="1" applyFill="1" applyBorder="1" applyAlignment="1">
      <alignment horizontal="center"/>
    </xf>
    <xf numFmtId="41" fontId="11" fillId="7" borderId="1" xfId="0" applyNumberFormat="1" applyFont="1" applyFill="1" applyBorder="1" applyAlignment="1">
      <alignment vertical="center"/>
    </xf>
    <xf numFmtId="3" fontId="11" fillId="8" borderId="1" xfId="1" applyNumberFormat="1" applyFont="1" applyFill="1" applyBorder="1" applyAlignment="1">
      <alignment horizontal="center" vertical="center" wrapText="1"/>
    </xf>
    <xf numFmtId="174" fontId="13" fillId="8" borderId="1" xfId="0" applyNumberFormat="1" applyFont="1" applyFill="1" applyBorder="1" applyAlignment="1">
      <alignment horizontal="center"/>
    </xf>
    <xf numFmtId="174" fontId="13" fillId="7" borderId="1" xfId="0" applyNumberFormat="1" applyFont="1" applyFill="1" applyBorder="1" applyAlignment="1">
      <alignment horizontal="center"/>
    </xf>
    <xf numFmtId="41" fontId="11" fillId="10" borderId="1" xfId="9" applyNumberFormat="1" applyFont="1" applyFill="1" applyBorder="1" applyAlignment="1">
      <alignment horizontal="center" vertical="center"/>
    </xf>
    <xf numFmtId="3" fontId="46" fillId="8" borderId="1" xfId="1" applyNumberFormat="1" applyFont="1" applyFill="1" applyBorder="1" applyAlignment="1">
      <alignment horizontal="center" vertical="center"/>
    </xf>
    <xf numFmtId="41" fontId="12" fillId="10" borderId="1" xfId="9" applyNumberFormat="1" applyFont="1" applyFill="1" applyBorder="1" applyAlignment="1">
      <alignment horizontal="center" vertical="center"/>
    </xf>
    <xf numFmtId="41" fontId="11" fillId="10" borderId="1" xfId="0" applyNumberFormat="1" applyFont="1" applyFill="1" applyBorder="1"/>
    <xf numFmtId="164" fontId="25" fillId="0" borderId="0" xfId="0" applyNumberFormat="1" applyFont="1" applyAlignment="1">
      <alignment vertical="center" wrapText="1"/>
    </xf>
    <xf numFmtId="41" fontId="12" fillId="8" borderId="0" xfId="0" applyNumberFormat="1" applyFont="1" applyFill="1"/>
    <xf numFmtId="1" fontId="7" fillId="0" borderId="0" xfId="0" applyNumberFormat="1" applyFont="1" applyAlignment="1">
      <alignment vertical="center" wrapText="1"/>
    </xf>
    <xf numFmtId="0" fontId="46" fillId="8" borderId="1" xfId="0" applyFont="1" applyFill="1" applyBorder="1" applyAlignment="1">
      <alignment horizontal="center" vertical="center"/>
    </xf>
    <xf numFmtId="9" fontId="13" fillId="8" borderId="1" xfId="9" applyNumberFormat="1" applyFont="1" applyFill="1" applyBorder="1" applyAlignment="1">
      <alignment horizontal="center" vertical="center"/>
    </xf>
    <xf numFmtId="9" fontId="13" fillId="7" borderId="1" xfId="9" applyNumberFormat="1" applyFont="1" applyFill="1" applyBorder="1" applyAlignment="1">
      <alignment horizontal="center" vertical="center"/>
    </xf>
    <xf numFmtId="3" fontId="11" fillId="0" borderId="0" xfId="0" applyNumberFormat="1" applyFont="1" applyAlignment="1">
      <alignment vertical="center"/>
    </xf>
    <xf numFmtId="3" fontId="11" fillId="5" borderId="0" xfId="0" applyNumberFormat="1" applyFont="1" applyFill="1" applyAlignment="1">
      <alignment vertical="center"/>
    </xf>
    <xf numFmtId="164" fontId="11" fillId="0" borderId="0" xfId="0" applyNumberFormat="1" applyFont="1" applyAlignment="1">
      <alignment horizontal="justify" vertical="center" wrapText="1"/>
    </xf>
    <xf numFmtId="180" fontId="13" fillId="8" borderId="1" xfId="0" applyNumberFormat="1" applyFont="1" applyFill="1" applyBorder="1" applyAlignment="1">
      <alignment horizontal="center" vertical="center"/>
    </xf>
    <xf numFmtId="0" fontId="18" fillId="8" borderId="0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justify" vertical="center" wrapText="1"/>
    </xf>
    <xf numFmtId="164" fontId="28" fillId="8" borderId="0" xfId="0" applyNumberFormat="1" applyFont="1" applyFill="1" applyBorder="1" applyAlignment="1">
      <alignment vertical="center"/>
    </xf>
    <xf numFmtId="164" fontId="27" fillId="6" borderId="1" xfId="0" applyNumberFormat="1" applyFont="1" applyFill="1" applyBorder="1" applyAlignment="1">
      <alignment vertical="center" wrapText="1"/>
    </xf>
    <xf numFmtId="164" fontId="27" fillId="7" borderId="1" xfId="0" applyNumberFormat="1" applyFont="1" applyFill="1" applyBorder="1" applyAlignment="1">
      <alignment vertical="center" wrapText="1"/>
    </xf>
    <xf numFmtId="0" fontId="11" fillId="8" borderId="1" xfId="0" applyFont="1" applyFill="1" applyBorder="1" applyAlignment="1">
      <alignment wrapText="1"/>
    </xf>
    <xf numFmtId="3" fontId="12" fillId="8" borderId="1" xfId="1" applyNumberFormat="1" applyFont="1" applyFill="1" applyBorder="1" applyAlignment="1">
      <alignment horizontal="justify" vertical="center" wrapText="1"/>
    </xf>
    <xf numFmtId="187" fontId="13" fillId="8" borderId="1" xfId="9" applyNumberFormat="1" applyFont="1" applyFill="1" applyBorder="1" applyAlignment="1">
      <alignment vertical="center"/>
    </xf>
    <xf numFmtId="187" fontId="13" fillId="7" borderId="1" xfId="9" applyNumberFormat="1" applyFont="1" applyFill="1" applyBorder="1" applyAlignment="1">
      <alignment vertical="center"/>
    </xf>
    <xf numFmtId="41" fontId="13" fillId="10" borderId="1" xfId="9" applyNumberFormat="1" applyFont="1" applyFill="1" applyBorder="1" applyAlignment="1">
      <alignment vertical="center"/>
    </xf>
    <xf numFmtId="41" fontId="47" fillId="8" borderId="1" xfId="9" applyNumberFormat="1" applyFont="1" applyFill="1" applyBorder="1" applyAlignment="1">
      <alignment vertical="center"/>
    </xf>
    <xf numFmtId="41" fontId="11" fillId="8" borderId="1" xfId="13" applyNumberFormat="1" applyFont="1" applyFill="1" applyBorder="1" applyAlignment="1">
      <alignment horizontal="center"/>
    </xf>
    <xf numFmtId="41" fontId="11" fillId="7" borderId="1" xfId="13" applyNumberFormat="1" applyFont="1" applyFill="1" applyBorder="1" applyAlignment="1">
      <alignment horizontal="center"/>
    </xf>
    <xf numFmtId="3" fontId="13" fillId="8" borderId="1" xfId="2" applyNumberFormat="1" applyFont="1" applyFill="1" applyBorder="1" applyAlignment="1">
      <alignment horizontal="center" vertical="center"/>
    </xf>
    <xf numFmtId="41" fontId="13" fillId="7" borderId="1" xfId="9" applyNumberFormat="1" applyFont="1" applyFill="1" applyBorder="1" applyAlignment="1">
      <alignment vertical="center"/>
    </xf>
    <xf numFmtId="41" fontId="13" fillId="6" borderId="1" xfId="9" applyNumberFormat="1" applyFont="1" applyFill="1" applyBorder="1" applyAlignment="1">
      <alignment vertical="center"/>
    </xf>
    <xf numFmtId="3" fontId="11" fillId="8" borderId="1" xfId="1" applyNumberFormat="1" applyFont="1" applyFill="1" applyBorder="1" applyAlignment="1">
      <alignment horizontal="left" vertical="center" wrapText="1"/>
    </xf>
    <xf numFmtId="41" fontId="11" fillId="0" borderId="0" xfId="0" applyNumberFormat="1" applyFont="1" applyAlignment="1">
      <alignment vertical="center" wrapText="1"/>
    </xf>
    <xf numFmtId="41" fontId="12" fillId="7" borderId="1" xfId="0" applyNumberFormat="1" applyFont="1" applyFill="1" applyBorder="1" applyAlignment="1">
      <alignment vertical="center" wrapText="1"/>
    </xf>
    <xf numFmtId="41" fontId="11" fillId="7" borderId="1" xfId="0" applyNumberFormat="1" applyFont="1" applyFill="1" applyBorder="1" applyAlignment="1">
      <alignment vertical="center" wrapText="1"/>
    </xf>
    <xf numFmtId="41" fontId="13" fillId="12" borderId="1" xfId="9" applyNumberFormat="1" applyFont="1" applyFill="1" applyBorder="1" applyAlignment="1">
      <alignment vertical="center"/>
    </xf>
    <xf numFmtId="41" fontId="13" fillId="8" borderId="1" xfId="0" applyNumberFormat="1" applyFont="1" applyFill="1" applyBorder="1" applyAlignment="1">
      <alignment vertical="center" wrapText="1"/>
    </xf>
    <xf numFmtId="0" fontId="11" fillId="8" borderId="0" xfId="0" applyFont="1" applyFill="1" applyAlignment="1">
      <alignment vertical="center" wrapText="1"/>
    </xf>
    <xf numFmtId="1" fontId="11" fillId="8" borderId="1" xfId="9" applyNumberFormat="1" applyFont="1" applyFill="1" applyBorder="1" applyAlignment="1">
      <alignment horizontal="center" vertical="center" wrapText="1"/>
    </xf>
    <xf numFmtId="3" fontId="12" fillId="8" borderId="1" xfId="1" applyNumberFormat="1" applyFont="1" applyFill="1" applyBorder="1" applyAlignment="1">
      <alignment horizontal="left" vertical="center" wrapText="1"/>
    </xf>
    <xf numFmtId="0" fontId="11" fillId="8" borderId="1" xfId="2" applyFont="1" applyFill="1" applyBorder="1" applyAlignment="1">
      <alignment horizontal="left" vertical="center" wrapText="1"/>
    </xf>
    <xf numFmtId="0" fontId="13" fillId="8" borderId="1" xfId="0" applyFont="1" applyFill="1" applyBorder="1" applyAlignment="1">
      <alignment horizontal="justify" wrapText="1"/>
    </xf>
    <xf numFmtId="9" fontId="19" fillId="10" borderId="1" xfId="0" applyNumberFormat="1" applyFont="1" applyFill="1" applyBorder="1" applyAlignment="1">
      <alignment horizontal="center" vertical="center"/>
    </xf>
    <xf numFmtId="9" fontId="19" fillId="7" borderId="1" xfId="0" applyNumberFormat="1" applyFont="1" applyFill="1" applyBorder="1" applyAlignment="1">
      <alignment horizontal="center" vertical="center" wrapText="1"/>
    </xf>
    <xf numFmtId="41" fontId="13" fillId="8" borderId="1" xfId="0" applyNumberFormat="1" applyFont="1" applyFill="1" applyBorder="1" applyAlignment="1">
      <alignment horizontal="center" vertical="center" wrapText="1"/>
    </xf>
    <xf numFmtId="1" fontId="11" fillId="8" borderId="8" xfId="9" applyNumberFormat="1" applyFont="1" applyFill="1" applyBorder="1" applyAlignment="1">
      <alignment horizontal="center" vertical="center"/>
    </xf>
    <xf numFmtId="41" fontId="12" fillId="8" borderId="2" xfId="0" applyNumberFormat="1" applyFont="1" applyFill="1" applyBorder="1"/>
    <xf numFmtId="41" fontId="11" fillId="8" borderId="9" xfId="0" applyNumberFormat="1" applyFont="1" applyFill="1" applyBorder="1"/>
    <xf numFmtId="0" fontId="11" fillId="8" borderId="8" xfId="0" applyFont="1" applyFill="1" applyBorder="1" applyAlignment="1">
      <alignment horizontal="center"/>
    </xf>
    <xf numFmtId="41" fontId="11" fillId="8" borderId="7" xfId="0" applyNumberFormat="1" applyFont="1" applyFill="1" applyBorder="1"/>
    <xf numFmtId="41" fontId="12" fillId="7" borderId="25" xfId="0" applyNumberFormat="1" applyFont="1" applyFill="1" applyBorder="1"/>
    <xf numFmtId="174" fontId="14" fillId="7" borderId="25" xfId="0" applyNumberFormat="1" applyFont="1" applyFill="1" applyBorder="1" applyAlignment="1">
      <alignment horizontal="center"/>
    </xf>
    <xf numFmtId="3" fontId="11" fillId="8" borderId="1" xfId="2" applyNumberFormat="1" applyFont="1" applyFill="1" applyBorder="1" applyAlignment="1">
      <alignment horizontal="justify" vertical="center" wrapText="1"/>
    </xf>
    <xf numFmtId="3" fontId="11" fillId="0" borderId="1" xfId="0" applyNumberFormat="1" applyFont="1" applyBorder="1" applyAlignment="1">
      <alignment horizontal="justify" vertical="center" wrapText="1"/>
    </xf>
    <xf numFmtId="41" fontId="11" fillId="8" borderId="1" xfId="0" applyNumberFormat="1" applyFont="1" applyFill="1" applyBorder="1" applyAlignment="1">
      <alignment vertical="center" wrapText="1"/>
    </xf>
    <xf numFmtId="9" fontId="11" fillId="0" borderId="1" xfId="10" applyFont="1" applyBorder="1" applyAlignment="1">
      <alignment horizontal="center" vertical="center" wrapText="1"/>
    </xf>
    <xf numFmtId="9" fontId="11" fillId="0" borderId="0" xfId="10" applyFont="1" applyAlignment="1">
      <alignment vertical="center" wrapText="1"/>
    </xf>
    <xf numFmtId="41" fontId="11" fillId="0" borderId="1" xfId="0" applyNumberFormat="1" applyFont="1" applyBorder="1" applyAlignment="1">
      <alignment vertical="center" wrapText="1"/>
    </xf>
    <xf numFmtId="9" fontId="11" fillId="0" borderId="1" xfId="0" applyNumberFormat="1" applyFont="1" applyBorder="1" applyAlignment="1">
      <alignment vertical="center" wrapText="1"/>
    </xf>
    <xf numFmtId="41" fontId="18" fillId="0" borderId="1" xfId="0" applyNumberFormat="1" applyFont="1" applyBorder="1" applyAlignment="1">
      <alignment vertical="center" wrapText="1"/>
    </xf>
    <xf numFmtId="0" fontId="13" fillId="8" borderId="1" xfId="2" applyFont="1" applyFill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/>
    </xf>
    <xf numFmtId="41" fontId="11" fillId="6" borderId="1" xfId="0" applyNumberFormat="1" applyFont="1" applyFill="1" applyBorder="1" applyAlignment="1">
      <alignment vertical="center" wrapText="1"/>
    </xf>
    <xf numFmtId="41" fontId="11" fillId="7" borderId="1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3" fontId="13" fillId="10" borderId="9" xfId="1" applyNumberFormat="1" applyFont="1" applyFill="1" applyBorder="1" applyAlignment="1">
      <alignment horizontal="justify" vertical="center" wrapText="1"/>
    </xf>
    <xf numFmtId="3" fontId="13" fillId="10" borderId="16" xfId="1" applyNumberFormat="1" applyFont="1" applyFill="1" applyBorder="1" applyAlignment="1">
      <alignment horizontal="justify" vertical="center" wrapText="1"/>
    </xf>
    <xf numFmtId="3" fontId="13" fillId="10" borderId="7" xfId="1" applyNumberFormat="1" applyFont="1" applyFill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36" fillId="0" borderId="8" xfId="0" applyFont="1" applyBorder="1" applyAlignment="1">
      <alignment horizontal="justify" vertical="center" wrapText="1"/>
    </xf>
    <xf numFmtId="0" fontId="36" fillId="0" borderId="17" xfId="0" applyFont="1" applyBorder="1" applyAlignment="1">
      <alignment horizontal="justify" vertical="center" wrapText="1"/>
    </xf>
    <xf numFmtId="0" fontId="36" fillId="0" borderId="2" xfId="0" applyFont="1" applyBorder="1" applyAlignment="1">
      <alignment horizontal="justify" vertical="center" wrapText="1"/>
    </xf>
    <xf numFmtId="174" fontId="35" fillId="8" borderId="8" xfId="0" applyNumberFormat="1" applyFont="1" applyFill="1" applyBorder="1" applyAlignment="1">
      <alignment horizontal="center" vertical="center"/>
    </xf>
    <xf numFmtId="174" fontId="35" fillId="8" borderId="17" xfId="0" applyNumberFormat="1" applyFont="1" applyFill="1" applyBorder="1" applyAlignment="1">
      <alignment horizontal="center" vertical="center"/>
    </xf>
    <xf numFmtId="174" fontId="35" fillId="8" borderId="2" xfId="0" applyNumberFormat="1" applyFont="1" applyFill="1" applyBorder="1" applyAlignment="1">
      <alignment horizontal="center" vertical="center"/>
    </xf>
    <xf numFmtId="174" fontId="44" fillId="8" borderId="8" xfId="0" applyNumberFormat="1" applyFont="1" applyFill="1" applyBorder="1" applyAlignment="1">
      <alignment horizontal="center" vertical="center" wrapText="1"/>
    </xf>
    <xf numFmtId="174" fontId="45" fillId="8" borderId="17" xfId="0" applyNumberFormat="1" applyFont="1" applyFill="1" applyBorder="1" applyAlignment="1">
      <alignment horizontal="center" vertical="center" wrapText="1"/>
    </xf>
    <xf numFmtId="174" fontId="45" fillId="8" borderId="2" xfId="0" applyNumberFormat="1" applyFont="1" applyFill="1" applyBorder="1" applyAlignment="1">
      <alignment horizontal="center" vertical="center" wrapText="1"/>
    </xf>
    <xf numFmtId="174" fontId="32" fillId="8" borderId="8" xfId="0" applyNumberFormat="1" applyFont="1" applyFill="1" applyBorder="1" applyAlignment="1">
      <alignment horizontal="center" vertical="center" wrapText="1"/>
    </xf>
    <xf numFmtId="174" fontId="32" fillId="8" borderId="2" xfId="0" applyNumberFormat="1" applyFont="1" applyFill="1" applyBorder="1" applyAlignment="1">
      <alignment horizontal="center" vertical="center" wrapText="1"/>
    </xf>
    <xf numFmtId="0" fontId="25" fillId="0" borderId="8" xfId="0" applyFont="1" applyBorder="1" applyAlignment="1">
      <alignment horizontal="justify" vertical="center" wrapText="1"/>
    </xf>
    <xf numFmtId="0" fontId="25" fillId="0" borderId="17" xfId="0" applyFont="1" applyBorder="1" applyAlignment="1">
      <alignment horizontal="justify" vertical="center" wrapText="1"/>
    </xf>
    <xf numFmtId="0" fontId="25" fillId="0" borderId="2" xfId="0" applyFont="1" applyBorder="1" applyAlignment="1">
      <alignment horizontal="justify" vertical="center" wrapText="1"/>
    </xf>
    <xf numFmtId="0" fontId="12" fillId="0" borderId="8" xfId="0" applyFont="1" applyFill="1" applyBorder="1" applyAlignment="1">
      <alignment horizontal="justify" vertical="center" wrapText="1"/>
    </xf>
    <xf numFmtId="0" fontId="12" fillId="0" borderId="2" xfId="0" applyFont="1" applyFill="1" applyBorder="1" applyAlignment="1">
      <alignment horizontal="justify" vertical="center" wrapText="1"/>
    </xf>
    <xf numFmtId="0" fontId="15" fillId="0" borderId="8" xfId="0" applyFont="1" applyBorder="1" applyAlignment="1">
      <alignment horizontal="justify" vertical="center" wrapText="1"/>
    </xf>
    <xf numFmtId="0" fontId="15" fillId="0" borderId="2" xfId="0" applyFont="1" applyBorder="1" applyAlignment="1">
      <alignment horizontal="justify" vertical="center" wrapText="1"/>
    </xf>
    <xf numFmtId="0" fontId="15" fillId="0" borderId="8" xfId="0" applyFont="1" applyFill="1" applyBorder="1" applyAlignment="1">
      <alignment horizontal="justify" vertical="center" wrapText="1"/>
    </xf>
    <xf numFmtId="0" fontId="15" fillId="0" borderId="2" xfId="0" applyFont="1" applyFill="1" applyBorder="1" applyAlignment="1">
      <alignment horizontal="justify" vertical="center" wrapText="1"/>
    </xf>
    <xf numFmtId="2" fontId="11" fillId="3" borderId="9" xfId="0" applyNumberFormat="1" applyFont="1" applyFill="1" applyBorder="1" applyAlignment="1">
      <alignment horizontal="justify" vertical="center" wrapText="1"/>
    </xf>
    <xf numFmtId="2" fontId="11" fillId="3" borderId="16" xfId="0" applyNumberFormat="1" applyFont="1" applyFill="1" applyBorder="1" applyAlignment="1">
      <alignment horizontal="justify" vertical="center" wrapText="1"/>
    </xf>
    <xf numFmtId="2" fontId="11" fillId="3" borderId="7" xfId="0" applyNumberFormat="1" applyFont="1" applyFill="1" applyBorder="1" applyAlignment="1">
      <alignment horizontal="justify" vertical="center" wrapText="1"/>
    </xf>
    <xf numFmtId="0" fontId="15" fillId="0" borderId="18" xfId="0" applyFont="1" applyBorder="1" applyAlignment="1">
      <alignment horizontal="justify" vertical="center" wrapText="1"/>
    </xf>
  </cellXfs>
  <cellStyles count="21">
    <cellStyle name="Normal_GES-1" xfId="1"/>
    <cellStyle name="Normal_Zapros_XVO (          )_v2" xfId="2"/>
    <cellStyle name="Обычный" xfId="0" builtinId="0"/>
    <cellStyle name="Обычный 10" xfId="3"/>
    <cellStyle name="Обычный 11" xfId="4"/>
    <cellStyle name="Обычный 12" xfId="5"/>
    <cellStyle name="Обычный 2" xfId="6"/>
    <cellStyle name="Обычный 2 2" xfId="7"/>
    <cellStyle name="Обычный 2 3" xfId="18"/>
    <cellStyle name="Обычный 20" xfId="8"/>
    <cellStyle name="Обычный_Гидромуфты новые пр 2011" xfId="9"/>
    <cellStyle name="Обычный_Новгород ИПР 2010" xfId="20"/>
    <cellStyle name="Процентный" xfId="10" builtinId="5"/>
    <cellStyle name="Процентный 2" xfId="11"/>
    <cellStyle name="Процентный 2 2" xfId="19"/>
    <cellStyle name="Стиль 1" xfId="12"/>
    <cellStyle name="Финансовый" xfId="13" builtinId="3"/>
    <cellStyle name="Финансовый 2" xfId="14"/>
    <cellStyle name="Финансовый 2 2" xfId="15"/>
    <cellStyle name="Финансовый 2 3" xfId="17"/>
    <cellStyle name="Финансовый 9" xfId="16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Стиль таблицы 1" pivot="0" count="0"/>
  </tableStyles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23140830275755E-2"/>
          <c:y val="5.7421809969080299E-2"/>
          <c:w val="0.95074102190444842"/>
          <c:h val="0.808878716829242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БДДС!$A$33:$B$33</c:f>
              <c:strCache>
                <c:ptCount val="1"/>
                <c:pt idx="0">
                  <c:v>(справочно) прогнозный уровень текущих платежей за газ %</c:v>
                </c:pt>
              </c:strCache>
            </c:strRef>
          </c:tx>
          <c:spPr>
            <a:solidFill>
              <a:srgbClr val="FF6969"/>
            </a:solidFill>
            <a:scene3d>
              <a:camera prst="orthographicFront"/>
              <a:lightRig rig="threePt" dir="t"/>
            </a:scene3d>
            <a:sp3d>
              <a:bevelT w="381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БДДС!$C$2:$P$2</c:f>
              <c:strCache>
                <c:ptCount val="14"/>
                <c:pt idx="0">
                  <c:v> 2017 (факт) </c:v>
                </c:pt>
                <c:pt idx="1">
                  <c:v> 2018 (база) </c:v>
                </c:pt>
                <c:pt idx="2">
                  <c:v> 2 019   </c:v>
                </c:pt>
                <c:pt idx="3">
                  <c:v> 2 020   </c:v>
                </c:pt>
                <c:pt idx="4">
                  <c:v> 2 021   </c:v>
                </c:pt>
                <c:pt idx="5">
                  <c:v> 2 022   </c:v>
                </c:pt>
                <c:pt idx="6">
                  <c:v> 2 023   </c:v>
                </c:pt>
                <c:pt idx="7">
                  <c:v> 2 024   </c:v>
                </c:pt>
                <c:pt idx="8">
                  <c:v> 2 025   </c:v>
                </c:pt>
                <c:pt idx="9">
                  <c:v> 2 026   </c:v>
                </c:pt>
                <c:pt idx="10">
                  <c:v> 2 027   </c:v>
                </c:pt>
                <c:pt idx="11">
                  <c:v> 2 028   </c:v>
                </c:pt>
                <c:pt idx="12">
                  <c:v> 2 029   </c:v>
                </c:pt>
                <c:pt idx="13">
                  <c:v> 2 030   </c:v>
                </c:pt>
              </c:strCache>
            </c:strRef>
          </c:cat>
          <c:val>
            <c:numRef>
              <c:f>БДДС!$C$33:$P$33</c:f>
              <c:numCache>
                <c:formatCode>0%</c:formatCode>
                <c:ptCount val="14"/>
                <c:pt idx="0">
                  <c:v>0.87130543328446797</c:v>
                </c:pt>
                <c:pt idx="1">
                  <c:v>0.88505290964277739</c:v>
                </c:pt>
                <c:pt idx="2">
                  <c:v>0.71312123584236731</c:v>
                </c:pt>
                <c:pt idx="3">
                  <c:v>0.81682945142120789</c:v>
                </c:pt>
                <c:pt idx="4">
                  <c:v>0.93386511392549942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1"/>
          <c:order val="1"/>
          <c:tx>
            <c:strRef>
              <c:f>БДДС!$A$34:$B$34</c:f>
              <c:strCache>
                <c:ptCount val="1"/>
                <c:pt idx="0">
                  <c:v>(справочно) то же, с учетом вновь накопленной задолженности %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381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БДДС!$C$2:$P$2</c:f>
              <c:strCache>
                <c:ptCount val="14"/>
                <c:pt idx="0">
                  <c:v> 2017 (факт) </c:v>
                </c:pt>
                <c:pt idx="1">
                  <c:v> 2018 (база) </c:v>
                </c:pt>
                <c:pt idx="2">
                  <c:v> 2 019   </c:v>
                </c:pt>
                <c:pt idx="3">
                  <c:v> 2 020   </c:v>
                </c:pt>
                <c:pt idx="4">
                  <c:v> 2 021   </c:v>
                </c:pt>
                <c:pt idx="5">
                  <c:v> 2 022   </c:v>
                </c:pt>
                <c:pt idx="6">
                  <c:v> 2 023   </c:v>
                </c:pt>
                <c:pt idx="7">
                  <c:v> 2 024   </c:v>
                </c:pt>
                <c:pt idx="8">
                  <c:v> 2 025   </c:v>
                </c:pt>
                <c:pt idx="9">
                  <c:v> 2 026   </c:v>
                </c:pt>
                <c:pt idx="10">
                  <c:v> 2 027   </c:v>
                </c:pt>
                <c:pt idx="11">
                  <c:v> 2 028   </c:v>
                </c:pt>
                <c:pt idx="12">
                  <c:v> 2 029   </c:v>
                </c:pt>
                <c:pt idx="13">
                  <c:v> 2 030   </c:v>
                </c:pt>
              </c:strCache>
            </c:strRef>
          </c:cat>
          <c:val>
            <c:numRef>
              <c:f>БДДС!$C$34:$P$34</c:f>
              <c:numCache>
                <c:formatCode>0%</c:formatCode>
                <c:ptCount val="14"/>
                <c:pt idx="0">
                  <c:v>-9.0906343266596537E-2</c:v>
                </c:pt>
                <c:pt idx="1">
                  <c:v>-9.0502308210167901E-2</c:v>
                </c:pt>
                <c:pt idx="2">
                  <c:v>-0.33484429923994713</c:v>
                </c:pt>
                <c:pt idx="3">
                  <c:v>-0.50165699162292332</c:v>
                </c:pt>
                <c:pt idx="4">
                  <c:v>-0.54350733684629038</c:v>
                </c:pt>
                <c:pt idx="5">
                  <c:v>-0.49970673174196895</c:v>
                </c:pt>
                <c:pt idx="6">
                  <c:v>-0.35937844272940989</c:v>
                </c:pt>
                <c:pt idx="7">
                  <c:v>-7.2110023322965094E-2</c:v>
                </c:pt>
                <c:pt idx="8">
                  <c:v>0.20086551107355777</c:v>
                </c:pt>
                <c:pt idx="9">
                  <c:v>0.4387773869024077</c:v>
                </c:pt>
                <c:pt idx="10">
                  <c:v>0.63211824316224263</c:v>
                </c:pt>
                <c:pt idx="11">
                  <c:v>0.78941680818748461</c:v>
                </c:pt>
                <c:pt idx="12">
                  <c:v>0.92266324891750873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axId val="100790656"/>
        <c:axId val="109462656"/>
      </c:barChart>
      <c:catAx>
        <c:axId val="10079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09462656"/>
        <c:crosses val="autoZero"/>
        <c:auto val="1"/>
        <c:lblAlgn val="ctr"/>
        <c:lblOffset val="100"/>
        <c:noMultiLvlLbl val="0"/>
      </c:catAx>
      <c:valAx>
        <c:axId val="10946265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07906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2524502641783616E-2"/>
          <c:y val="0.88238372589543346"/>
          <c:w val="0.97361354404420608"/>
          <c:h val="0.1002626949288606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057221324155805E-2"/>
          <c:y val="1.2796049270804286E-2"/>
          <c:w val="0.91284815261689256"/>
          <c:h val="0.92304460909097863"/>
        </c:manualLayout>
      </c:layout>
      <c:lineChart>
        <c:grouping val="standard"/>
        <c:varyColors val="0"/>
        <c:ser>
          <c:idx val="3"/>
          <c:order val="0"/>
          <c:tx>
            <c:strRef>
              <c:f>СВОД!$A$58</c:f>
              <c:strCache>
                <c:ptCount val="1"/>
                <c:pt idx="0">
                  <c:v>EBITDAsum</c:v>
                </c:pt>
              </c:strCache>
            </c:strRef>
          </c:tx>
          <c:spPr>
            <a:ln w="50800">
              <a:solidFill>
                <a:srgbClr val="FFC000"/>
              </a:solidFill>
              <a:prstDash val="sysDash"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СВОД!$B$58:$O$58</c:f>
            </c:numRef>
          </c:val>
          <c:smooth val="1"/>
        </c:ser>
        <c:ser>
          <c:idx val="1"/>
          <c:order val="1"/>
          <c:tx>
            <c:strRef>
              <c:f>СВОД!$A$46</c:f>
              <c:strCache>
                <c:ptCount val="1"/>
                <c:pt idx="0">
                  <c:v>EBITDAee</c:v>
                </c:pt>
              </c:strCache>
            </c:strRef>
          </c:tx>
          <c:spPr>
            <a:ln w="50800">
              <a:solidFill>
                <a:srgbClr val="0070C0"/>
              </a:solidFill>
              <a:prstDash val="sysDash"/>
            </a:ln>
          </c:spPr>
          <c:marker>
            <c:spPr>
              <a:solidFill>
                <a:srgbClr val="0070C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СВОД!$B$46:$O$46</c:f>
            </c:numRef>
          </c:val>
          <c:smooth val="1"/>
        </c:ser>
        <c:ser>
          <c:idx val="2"/>
          <c:order val="2"/>
          <c:tx>
            <c:strRef>
              <c:f>СВОД!$A$51</c:f>
              <c:strCache>
                <c:ptCount val="1"/>
                <c:pt idx="0">
                  <c:v>EBITDAte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ash"/>
            </a:ln>
          </c:spPr>
          <c:marker>
            <c:spPr>
              <a:solidFill>
                <a:srgbClr val="C00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СВОД!$B$51:$O$51</c:f>
            </c:numRef>
          </c:val>
          <c:smooth val="1"/>
        </c:ser>
        <c:ser>
          <c:idx val="0"/>
          <c:order val="3"/>
          <c:tx>
            <c:v>Валовая прибыль</c:v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СВОД!$B$2:$O$2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СВОД!$B$39:$O$39</c:f>
              <c:numCache>
                <c:formatCode>_-* #,##0_р_._-;\-* #,##0_р_._-;_-* "-"_р_._-;_-@_-</c:formatCode>
                <c:ptCount val="14"/>
                <c:pt idx="0">
                  <c:v>-664520.33928859094</c:v>
                </c:pt>
                <c:pt idx="1">
                  <c:v>-689959.91023145139</c:v>
                </c:pt>
                <c:pt idx="2">
                  <c:v>-467676.12075503235</c:v>
                </c:pt>
                <c:pt idx="3">
                  <c:v>-251372.5152394193</c:v>
                </c:pt>
                <c:pt idx="4">
                  <c:v>78295.508669845934</c:v>
                </c:pt>
                <c:pt idx="5">
                  <c:v>374112.08959344315</c:v>
                </c:pt>
                <c:pt idx="6">
                  <c:v>763916.72711233865</c:v>
                </c:pt>
                <c:pt idx="7">
                  <c:v>702854.18853329471</c:v>
                </c:pt>
                <c:pt idx="8">
                  <c:v>621270.16121777194</c:v>
                </c:pt>
                <c:pt idx="9">
                  <c:v>510506.59970516426</c:v>
                </c:pt>
                <c:pt idx="10">
                  <c:v>337025.67543142475</c:v>
                </c:pt>
                <c:pt idx="11">
                  <c:v>154405.57026593602</c:v>
                </c:pt>
                <c:pt idx="12">
                  <c:v>32565.821643035655</c:v>
                </c:pt>
                <c:pt idx="13">
                  <c:v>19918.444954750419</c:v>
                </c:pt>
              </c:numCache>
            </c:numRef>
          </c:val>
          <c:smooth val="1"/>
        </c:ser>
        <c:ser>
          <c:idx val="8"/>
          <c:order val="4"/>
          <c:tx>
            <c:v>Валовая прибыль ЭЭ</c:v>
          </c:tx>
          <c:spPr>
            <a:ln w="63500">
              <a:solidFill>
                <a:srgbClr val="0070C0"/>
              </a:solidFill>
              <a:prstDash val="solid"/>
            </a:ln>
          </c:spPr>
          <c:marker>
            <c:spPr>
              <a:solidFill>
                <a:srgbClr val="0070C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СВОД!$B$2:$O$2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СВОД!$B$13:$O$13</c:f>
              <c:numCache>
                <c:formatCode>_-* #,##0_р_._-;\-* #,##0_р_._-;_-* "-"_р_._-;_-@_-</c:formatCode>
                <c:ptCount val="14"/>
                <c:pt idx="0">
                  <c:v>-169668.43593281752</c:v>
                </c:pt>
                <c:pt idx="1">
                  <c:v>-221165.31047984905</c:v>
                </c:pt>
                <c:pt idx="2">
                  <c:v>-220191.29322107282</c:v>
                </c:pt>
                <c:pt idx="3">
                  <c:v>-210646.06142481777</c:v>
                </c:pt>
                <c:pt idx="4">
                  <c:v>-214429.77619682992</c:v>
                </c:pt>
                <c:pt idx="5">
                  <c:v>-241037.04456454376</c:v>
                </c:pt>
                <c:pt idx="6">
                  <c:v>-262952.689420596</c:v>
                </c:pt>
                <c:pt idx="7">
                  <c:v>-300066.28134546761</c:v>
                </c:pt>
                <c:pt idx="8">
                  <c:v>-330818.69659991778</c:v>
                </c:pt>
                <c:pt idx="9">
                  <c:v>-362540.7762598432</c:v>
                </c:pt>
                <c:pt idx="10">
                  <c:v>-399347.96762376232</c:v>
                </c:pt>
                <c:pt idx="11">
                  <c:v>-437334.10621440288</c:v>
                </c:pt>
                <c:pt idx="12">
                  <c:v>-476531.21632610861</c:v>
                </c:pt>
                <c:pt idx="13">
                  <c:v>-516284.6970249798</c:v>
                </c:pt>
              </c:numCache>
            </c:numRef>
          </c:val>
          <c:smooth val="1"/>
        </c:ser>
        <c:ser>
          <c:idx val="9"/>
          <c:order val="5"/>
          <c:tx>
            <c:v>Валовая прибыль ТЭ</c:v>
          </c:tx>
          <c:spPr>
            <a:ln w="63500">
              <a:solidFill>
                <a:srgbClr val="C00000"/>
              </a:solidFill>
              <a:prstDash val="solid"/>
            </a:ln>
          </c:spPr>
          <c:marker>
            <c:spPr>
              <a:solidFill>
                <a:srgbClr val="C00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СВОД!$B$2:$O$2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СВОД!$B$32:$O$32</c:f>
              <c:numCache>
                <c:formatCode>_-* #,##0_р_._-;\-* #,##0_р_._-;_-* "-"_р_._-;_-@_-</c:formatCode>
                <c:ptCount val="14"/>
                <c:pt idx="0">
                  <c:v>-494851.90335577348</c:v>
                </c:pt>
                <c:pt idx="1">
                  <c:v>-468794.59975160233</c:v>
                </c:pt>
                <c:pt idx="2">
                  <c:v>-247484.82753395953</c:v>
                </c:pt>
                <c:pt idx="3">
                  <c:v>-40726.453814601526</c:v>
                </c:pt>
                <c:pt idx="4">
                  <c:v>292725.28486667585</c:v>
                </c:pt>
                <c:pt idx="5">
                  <c:v>615149.13415798685</c:v>
                </c:pt>
                <c:pt idx="6">
                  <c:v>1026869.4165329346</c:v>
                </c:pt>
                <c:pt idx="7">
                  <c:v>1002920.4698787623</c:v>
                </c:pt>
                <c:pt idx="8">
                  <c:v>952088.85781768966</c:v>
                </c:pt>
                <c:pt idx="9">
                  <c:v>873047.37596500746</c:v>
                </c:pt>
                <c:pt idx="10">
                  <c:v>736373.64305518707</c:v>
                </c:pt>
                <c:pt idx="11">
                  <c:v>591739.67648033891</c:v>
                </c:pt>
                <c:pt idx="12">
                  <c:v>509097.03796914424</c:v>
                </c:pt>
                <c:pt idx="13">
                  <c:v>536203.14197973022</c:v>
                </c:pt>
              </c:numCache>
            </c:numRef>
          </c:val>
          <c:smooth val="1"/>
        </c:ser>
        <c:ser>
          <c:idx val="4"/>
          <c:order val="6"/>
          <c:tx>
            <c:strRef>
              <c:f>СВОД!$A$59</c:f>
              <c:strCache>
                <c:ptCount val="1"/>
                <c:pt idx="0">
                  <c:v>Инвестиции</c:v>
                </c:pt>
              </c:strCache>
            </c:strRef>
          </c:tx>
          <c:spPr>
            <a:ln w="50800"/>
          </c:spPr>
          <c:val>
            <c:numRef>
              <c:f>СВОД!$B$59:$O$59</c:f>
              <c:numCache>
                <c:formatCode>_-* #,##0_р_._-;\-* #,##0_р_._-;_-* "-"_р_._-;_-@_-</c:formatCode>
                <c:ptCount val="14"/>
                <c:pt idx="2">
                  <c:v>-1090576.5794189691</c:v>
                </c:pt>
                <c:pt idx="3">
                  <c:v>-1042180.5596707482</c:v>
                </c:pt>
                <c:pt idx="4">
                  <c:v>-1003806.9864918017</c:v>
                </c:pt>
                <c:pt idx="5">
                  <c:v>-1030884.507551837</c:v>
                </c:pt>
                <c:pt idx="6">
                  <c:v>-1033273.0621602314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78592"/>
        <c:axId val="100888576"/>
      </c:lineChart>
      <c:catAx>
        <c:axId val="100878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0888576"/>
        <c:crosses val="autoZero"/>
        <c:auto val="1"/>
        <c:lblAlgn val="ctr"/>
        <c:lblOffset val="100"/>
        <c:noMultiLvlLbl val="0"/>
      </c:catAx>
      <c:valAx>
        <c:axId val="100888576"/>
        <c:scaling>
          <c:orientation val="minMax"/>
          <c:max val="1500000"/>
        </c:scaling>
        <c:delete val="0"/>
        <c:axPos val="l"/>
        <c:majorGridlines/>
        <c:numFmt formatCode="_-* #,##0_р_._-;\-* #,##0_р_._-;_-* &quot;-&quot;_р_._-;_-@_-" sourceLinked="1"/>
        <c:majorTickMark val="out"/>
        <c:minorTickMark val="none"/>
        <c:tickLblPos val="nextTo"/>
        <c:crossAx val="1008785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7.6675966000938622E-2"/>
          <c:y val="0.95806820898942868"/>
          <c:w val="0.81965783595592545"/>
          <c:h val="3.083191102052237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189"/>
          <c:h val="0.85095328430480865"/>
        </c:manualLayout>
      </c:layout>
      <c:lineChart>
        <c:grouping val="standard"/>
        <c:varyColors val="0"/>
        <c:ser>
          <c:idx val="1"/>
          <c:order val="0"/>
          <c:tx>
            <c:v>Валовая прибыль</c:v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cat>
            <c:strRef>
              <c:f>'ТЭЦ-1'!$C$3:$P$3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'ТЭЦ-1'!$C$204:$P$204</c:f>
              <c:numCache>
                <c:formatCode>_-* #,##0_р_._-;\-* #,##0_р_._-;_-* "-"_р_._-;_-@_-</c:formatCode>
                <c:ptCount val="14"/>
                <c:pt idx="0">
                  <c:v>-96567.939604257583</c:v>
                </c:pt>
                <c:pt idx="1">
                  <c:v>-81298.101463857514</c:v>
                </c:pt>
                <c:pt idx="2">
                  <c:v>-69555.221196291328</c:v>
                </c:pt>
                <c:pt idx="3">
                  <c:v>-59808.181812044757</c:v>
                </c:pt>
                <c:pt idx="4">
                  <c:v>-45795.848625354585</c:v>
                </c:pt>
                <c:pt idx="5">
                  <c:v>-34088.805290854885</c:v>
                </c:pt>
                <c:pt idx="6">
                  <c:v>-16187.05401676707</c:v>
                </c:pt>
                <c:pt idx="7">
                  <c:v>-33396.943636668089</c:v>
                </c:pt>
                <c:pt idx="8">
                  <c:v>-45802.312964363315</c:v>
                </c:pt>
                <c:pt idx="9">
                  <c:v>-59234.149785804679</c:v>
                </c:pt>
                <c:pt idx="10">
                  <c:v>-76868.081694404245</c:v>
                </c:pt>
                <c:pt idx="11">
                  <c:v>-95157.459897127119</c:v>
                </c:pt>
                <c:pt idx="12">
                  <c:v>-109311.40054659091</c:v>
                </c:pt>
                <c:pt idx="13">
                  <c:v>-108068.5280564432</c:v>
                </c:pt>
              </c:numCache>
            </c:numRef>
          </c:val>
          <c:smooth val="1"/>
        </c:ser>
        <c:ser>
          <c:idx val="2"/>
          <c:order val="1"/>
          <c:tx>
            <c:v>Валовая прибыль ЭЭ</c:v>
          </c:tx>
          <c:spPr>
            <a:ln w="63500">
              <a:solidFill>
                <a:srgbClr val="0070C0"/>
              </a:solidFill>
              <a:prstDash val="solid"/>
            </a:ln>
          </c:spPr>
          <c:marker>
            <c:spPr>
              <a:solidFill>
                <a:srgbClr val="0070C0"/>
              </a:solidFill>
            </c:spPr>
          </c:marker>
          <c:cat>
            <c:strRef>
              <c:f>'ТЭЦ-1'!$C$3:$P$3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'ТЭЦ-1'!$C$185:$P$185</c:f>
              <c:numCache>
                <c:formatCode>_-* #,##0_р_._-;\-* #,##0_р_._-;_-* "-"_р_._-;_-@_-</c:formatCode>
                <c:ptCount val="14"/>
                <c:pt idx="0">
                  <c:v>-19940.207251786356</c:v>
                </c:pt>
                <c:pt idx="1">
                  <c:v>-19414.681936891473</c:v>
                </c:pt>
                <c:pt idx="2">
                  <c:v>-8758.3349650355012</c:v>
                </c:pt>
                <c:pt idx="3">
                  <c:v>2306.7503674359687</c:v>
                </c:pt>
                <c:pt idx="4">
                  <c:v>1800.236307492065</c:v>
                </c:pt>
                <c:pt idx="5">
                  <c:v>256.39328656390717</c:v>
                </c:pt>
                <c:pt idx="6">
                  <c:v>2624.1895614846508</c:v>
                </c:pt>
                <c:pt idx="7">
                  <c:v>2374.6894570362492</c:v>
                </c:pt>
                <c:pt idx="8">
                  <c:v>2334.2957501200071</c:v>
                </c:pt>
                <c:pt idx="9">
                  <c:v>2284.982063716212</c:v>
                </c:pt>
                <c:pt idx="10">
                  <c:v>1944.8312861827362</c:v>
                </c:pt>
                <c:pt idx="11">
                  <c:v>1589.4274816988764</c:v>
                </c:pt>
                <c:pt idx="12">
                  <c:v>1218.2770887619918</c:v>
                </c:pt>
                <c:pt idx="13">
                  <c:v>1518.3689040331446</c:v>
                </c:pt>
              </c:numCache>
            </c:numRef>
          </c:val>
          <c:smooth val="1"/>
        </c:ser>
        <c:ser>
          <c:idx val="3"/>
          <c:order val="2"/>
          <c:tx>
            <c:v>Валовая прибыль ТЭ</c:v>
          </c:tx>
          <c:spPr>
            <a:ln w="63500">
              <a:solidFill>
                <a:srgbClr val="C00000"/>
              </a:solidFill>
              <a:prstDash val="solid"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'ТЭЦ-1'!$C$3:$P$3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'ТЭЦ-1'!$C$194:$P$194</c:f>
              <c:numCache>
                <c:formatCode>_-* #,##0_р_._-;\-* #,##0_р_._-;_-* "-"_р_._-;_-@_-</c:formatCode>
                <c:ptCount val="14"/>
                <c:pt idx="0">
                  <c:v>-76627.73235247127</c:v>
                </c:pt>
                <c:pt idx="1">
                  <c:v>-61883.419526965998</c:v>
                </c:pt>
                <c:pt idx="2">
                  <c:v>-60796.886231255834</c:v>
                </c:pt>
                <c:pt idx="3">
                  <c:v>-62114.932179480675</c:v>
                </c:pt>
                <c:pt idx="4">
                  <c:v>-47596.084932846599</c:v>
                </c:pt>
                <c:pt idx="5">
                  <c:v>-34345.198577418865</c:v>
                </c:pt>
                <c:pt idx="6">
                  <c:v>-18811.243578251742</c:v>
                </c:pt>
                <c:pt idx="7">
                  <c:v>-35771.633093704237</c:v>
                </c:pt>
                <c:pt idx="8">
                  <c:v>-48136.608714483387</c:v>
                </c:pt>
                <c:pt idx="9">
                  <c:v>-61519.131849520782</c:v>
                </c:pt>
                <c:pt idx="10">
                  <c:v>-78812.912980586989</c:v>
                </c:pt>
                <c:pt idx="11">
                  <c:v>-96746.887378826039</c:v>
                </c:pt>
                <c:pt idx="12">
                  <c:v>-110529.67763535288</c:v>
                </c:pt>
                <c:pt idx="13">
                  <c:v>-109586.89696047641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76096"/>
        <c:axId val="105877888"/>
      </c:lineChart>
      <c:catAx>
        <c:axId val="1058760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5877888"/>
        <c:crosses val="autoZero"/>
        <c:auto val="1"/>
        <c:lblAlgn val="ctr"/>
        <c:lblOffset val="100"/>
        <c:noMultiLvlLbl val="0"/>
      </c:catAx>
      <c:valAx>
        <c:axId val="105877888"/>
        <c:scaling>
          <c:orientation val="minMax"/>
        </c:scaling>
        <c:delete val="0"/>
        <c:axPos val="l"/>
        <c:majorGridlines/>
        <c:numFmt formatCode="_-* #,##0_р_._-;\-* #,##0_р_._-;_-* &quot;-&quot;_р_._-;_-@_-" sourceLinked="1"/>
        <c:majorTickMark val="out"/>
        <c:minorTickMark val="none"/>
        <c:tickLblPos val="nextTo"/>
        <c:crossAx val="1058760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85578757588887855"/>
          <c:h val="4.3917206867708641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234"/>
          <c:h val="0.85095328430480865"/>
        </c:manualLayout>
      </c:layout>
      <c:lineChart>
        <c:grouping val="standard"/>
        <c:varyColors val="0"/>
        <c:ser>
          <c:idx val="2"/>
          <c:order val="0"/>
          <c:tx>
            <c:strRef>
              <c:f>'ТЭЦ-3'!$B$203</c:f>
              <c:strCache>
                <c:ptCount val="1"/>
                <c:pt idx="0">
                  <c:v>Валовая прибыль</c:v>
                </c:pt>
              </c:strCache>
            </c:strRef>
          </c:tx>
          <c:spPr>
            <a:ln w="508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'ТЭЦ-3'!$C$203:$P$203</c:f>
              <c:numCache>
                <c:formatCode>_-* #,##0_р_._-;\-* #,##0_р_._-;_-* "-"_р_._-;_-@_-</c:formatCode>
                <c:ptCount val="14"/>
                <c:pt idx="0">
                  <c:v>83970.936219735537</c:v>
                </c:pt>
                <c:pt idx="1">
                  <c:v>107186.94897880172</c:v>
                </c:pt>
                <c:pt idx="2">
                  <c:v>156459.60405110894</c:v>
                </c:pt>
                <c:pt idx="3">
                  <c:v>201605.93729061726</c:v>
                </c:pt>
                <c:pt idx="4">
                  <c:v>255621.51096471678</c:v>
                </c:pt>
                <c:pt idx="5">
                  <c:v>302819.04335303791</c:v>
                </c:pt>
                <c:pt idx="6">
                  <c:v>376581.59070996428</c:v>
                </c:pt>
                <c:pt idx="7">
                  <c:v>321101.62444759766</c:v>
                </c:pt>
                <c:pt idx="8">
                  <c:v>286229.52900285088</c:v>
                </c:pt>
                <c:pt idx="9">
                  <c:v>237607.10957703087</c:v>
                </c:pt>
                <c:pt idx="10">
                  <c:v>181641.43051637849</c:v>
                </c:pt>
                <c:pt idx="11">
                  <c:v>122046.24929362023</c:v>
                </c:pt>
                <c:pt idx="12">
                  <c:v>78267.909862461034</c:v>
                </c:pt>
                <c:pt idx="13">
                  <c:v>51625.247095134109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'ТЭЦ-3'!$B$183</c:f>
              <c:strCache>
                <c:ptCount val="1"/>
                <c:pt idx="0">
                  <c:v>Валовая прибыль ЭЭ</c:v>
                </c:pt>
              </c:strCache>
            </c:strRef>
          </c:tx>
          <c:spPr>
            <a:ln w="50800">
              <a:solidFill>
                <a:srgbClr val="0070C0"/>
              </a:solidFill>
              <a:prstDash val="solid"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'ТЭЦ-3'!$C$183:$P$183</c:f>
              <c:numCache>
                <c:formatCode>_-* #,##0_р_._-;\-* #,##0_р_._-;_-* "-"_р_._-;_-@_-</c:formatCode>
                <c:ptCount val="14"/>
                <c:pt idx="0">
                  <c:v>-73816.553828303469</c:v>
                </c:pt>
                <c:pt idx="1">
                  <c:v>-82174.861797082936</c:v>
                </c:pt>
                <c:pt idx="2">
                  <c:v>-100526.65739187854</c:v>
                </c:pt>
                <c:pt idx="3">
                  <c:v>-122742.26190541778</c:v>
                </c:pt>
                <c:pt idx="4">
                  <c:v>-148192.42479334539</c:v>
                </c:pt>
                <c:pt idx="5">
                  <c:v>-189681.7019441803</c:v>
                </c:pt>
                <c:pt idx="6">
                  <c:v>-209877.43803982763</c:v>
                </c:pt>
                <c:pt idx="7">
                  <c:v>-232524.44033094007</c:v>
                </c:pt>
                <c:pt idx="8">
                  <c:v>-256403.70042604906</c:v>
                </c:pt>
                <c:pt idx="9">
                  <c:v>-279827.90575783933</c:v>
                </c:pt>
                <c:pt idx="10">
                  <c:v>-304601.85020462843</c:v>
                </c:pt>
                <c:pt idx="11">
                  <c:v>-330173.79475248978</c:v>
                </c:pt>
                <c:pt idx="12">
                  <c:v>-356565.18906190572</c:v>
                </c:pt>
                <c:pt idx="13">
                  <c:v>-383797.99245838169</c:v>
                </c:pt>
              </c:numCache>
            </c:numRef>
          </c:val>
          <c:smooth val="1"/>
        </c:ser>
        <c:ser>
          <c:idx val="4"/>
          <c:order val="2"/>
          <c:tx>
            <c:strRef>
              <c:f>'ТЭЦ-3'!$B$192</c:f>
              <c:strCache>
                <c:ptCount val="1"/>
                <c:pt idx="0">
                  <c:v>Валовая прибыль ТЭ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'ТЭЦ-3'!$C$192:$P$192</c:f>
              <c:numCache>
                <c:formatCode>_-* #,##0_р_._-;\-* #,##0_р_._-;_-* "-"_р_._-;_-@_-</c:formatCode>
                <c:ptCount val="14"/>
                <c:pt idx="0">
                  <c:v>199506.75577165093</c:v>
                </c:pt>
                <c:pt idx="1">
                  <c:v>233547.17032581475</c:v>
                </c:pt>
                <c:pt idx="2">
                  <c:v>302684.43757664086</c:v>
                </c:pt>
                <c:pt idx="3">
                  <c:v>366513.51018143888</c:v>
                </c:pt>
                <c:pt idx="4">
                  <c:v>438667.9887636858</c:v>
                </c:pt>
                <c:pt idx="5">
                  <c:v>518875.60399855464</c:v>
                </c:pt>
                <c:pt idx="6">
                  <c:v>607922.54755142215</c:v>
                </c:pt>
                <c:pt idx="7">
                  <c:v>564763.35784405936</c:v>
                </c:pt>
                <c:pt idx="8">
                  <c:v>542633.22942890017</c:v>
                </c:pt>
                <c:pt idx="9">
                  <c:v>517435.0153348709</c:v>
                </c:pt>
                <c:pt idx="10">
                  <c:v>486243.28072100691</c:v>
                </c:pt>
                <c:pt idx="11">
                  <c:v>452220.04404610931</c:v>
                </c:pt>
                <c:pt idx="12">
                  <c:v>434833.09892436652</c:v>
                </c:pt>
                <c:pt idx="13">
                  <c:v>435423.2395535158</c:v>
                </c:pt>
              </c:numCache>
            </c:numRef>
          </c:val>
          <c:smooth val="1"/>
        </c:ser>
        <c:ser>
          <c:idx val="0"/>
          <c:order val="3"/>
          <c:tx>
            <c:v>Валовая прибыль ТН</c:v>
          </c:tx>
          <c:spPr>
            <a:ln w="50800"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</c:spPr>
          </c:marker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'ТЭЦ-3'!$C$201:$P$201</c:f>
              <c:numCache>
                <c:formatCode>_-* #,##0_р_._-;\-* #,##0_р_._-;_-* "-"_р_._-;_-@_-</c:formatCode>
                <c:ptCount val="14"/>
                <c:pt idx="0">
                  <c:v>-41719.265723611476</c:v>
                </c:pt>
                <c:pt idx="1">
                  <c:v>-44185.359549929999</c:v>
                </c:pt>
                <c:pt idx="2">
                  <c:v>-45698.176133652887</c:v>
                </c:pt>
                <c:pt idx="3">
                  <c:v>-42165.310985403412</c:v>
                </c:pt>
                <c:pt idx="4">
                  <c:v>-34854.05300562342</c:v>
                </c:pt>
                <c:pt idx="5">
                  <c:v>-26374.858701336314</c:v>
                </c:pt>
                <c:pt idx="6">
                  <c:v>-21463.51880162974</c:v>
                </c:pt>
                <c:pt idx="7">
                  <c:v>-11137.293065521466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984384"/>
        <c:axId val="105986304"/>
      </c:lineChart>
      <c:catAx>
        <c:axId val="105984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5986304"/>
        <c:crosses val="autoZero"/>
        <c:auto val="1"/>
        <c:lblAlgn val="ctr"/>
        <c:lblOffset val="100"/>
        <c:noMultiLvlLbl val="0"/>
      </c:catAx>
      <c:valAx>
        <c:axId val="105986304"/>
        <c:scaling>
          <c:orientation val="minMax"/>
        </c:scaling>
        <c:delete val="0"/>
        <c:axPos val="l"/>
        <c:majorGridlines/>
        <c:numFmt formatCode="_-* #,##0_р_._-;\-* #,##0_р_._-;_-* &quot;-&quot;_р_._-;_-@_-" sourceLinked="1"/>
        <c:majorTickMark val="out"/>
        <c:minorTickMark val="none"/>
        <c:tickLblPos val="nextTo"/>
        <c:crossAx val="10598438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65967368405325111"/>
          <c:h val="4.0590153503539325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289"/>
          <c:h val="0.85095328430480865"/>
        </c:manualLayout>
      </c:layout>
      <c:lineChart>
        <c:grouping val="standard"/>
        <c:varyColors val="0"/>
        <c:ser>
          <c:idx val="1"/>
          <c:order val="0"/>
          <c:tx>
            <c:strRef>
              <c:f>'ТЭЦ-4'!$B$209</c:f>
              <c:strCache>
                <c:ptCount val="1"/>
                <c:pt idx="0">
                  <c:v>Финансовый результат, общий</c:v>
                </c:pt>
              </c:strCache>
            </c:strRef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'ТЭЦ-4'!$C$209:$P$209</c:f>
              <c:numCache>
                <c:formatCode>_-* #,##0_р_._-;\-* #,##0_р_._-;_-* "-"_р_._-;_-@_-</c:formatCode>
                <c:ptCount val="14"/>
                <c:pt idx="0">
                  <c:v>123157.64119491703</c:v>
                </c:pt>
                <c:pt idx="1">
                  <c:v>92929.293848850532</c:v>
                </c:pt>
                <c:pt idx="2">
                  <c:v>154967.33144586463</c:v>
                </c:pt>
                <c:pt idx="3">
                  <c:v>169388.67402048223</c:v>
                </c:pt>
                <c:pt idx="4">
                  <c:v>180639.18962824461</c:v>
                </c:pt>
                <c:pt idx="5">
                  <c:v>197890.15642425045</c:v>
                </c:pt>
                <c:pt idx="6">
                  <c:v>249536.9456583648</c:v>
                </c:pt>
                <c:pt idx="7">
                  <c:v>176168.95316085732</c:v>
                </c:pt>
                <c:pt idx="8">
                  <c:v>151695.61348795961</c:v>
                </c:pt>
                <c:pt idx="9">
                  <c:v>116395.49040218862</c:v>
                </c:pt>
                <c:pt idx="10">
                  <c:v>64345.140576380305</c:v>
                </c:pt>
                <c:pt idx="11">
                  <c:v>10339.661105551757</c:v>
                </c:pt>
                <c:pt idx="12">
                  <c:v>-30114.705483149737</c:v>
                </c:pt>
                <c:pt idx="13">
                  <c:v>-56619.681827013381</c:v>
                </c:pt>
              </c:numCache>
            </c:numRef>
          </c:val>
          <c:smooth val="1"/>
        </c:ser>
        <c:ser>
          <c:idx val="0"/>
          <c:order val="1"/>
          <c:tx>
            <c:v>Валовая прибыль ЭЭ</c:v>
          </c:tx>
          <c:spPr>
            <a:ln w="63500"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'ТЭЦ-4'!$C$189:$P$189</c:f>
              <c:numCache>
                <c:formatCode>_-* #,##0_р_._-;\-* #,##0_р_._-;_-* "-"_р_._-;_-@_-</c:formatCode>
                <c:ptCount val="14"/>
                <c:pt idx="0">
                  <c:v>-75911.67485272768</c:v>
                </c:pt>
                <c:pt idx="1">
                  <c:v>-119575.76674587466</c:v>
                </c:pt>
                <c:pt idx="2">
                  <c:v>-110906.30086415878</c:v>
                </c:pt>
                <c:pt idx="3">
                  <c:v>-90210.549886835972</c:v>
                </c:pt>
                <c:pt idx="4">
                  <c:v>-68037.587710976601</c:v>
                </c:pt>
                <c:pt idx="5">
                  <c:v>-51611.735906927381</c:v>
                </c:pt>
                <c:pt idx="6">
                  <c:v>-55699.440942252986</c:v>
                </c:pt>
                <c:pt idx="7">
                  <c:v>-69916.530471563805</c:v>
                </c:pt>
                <c:pt idx="8">
                  <c:v>-76749.291923988727</c:v>
                </c:pt>
                <c:pt idx="9">
                  <c:v>-84997.852565720095</c:v>
                </c:pt>
                <c:pt idx="10">
                  <c:v>-96690.948705316638</c:v>
                </c:pt>
                <c:pt idx="11">
                  <c:v>-108749.73894361197</c:v>
                </c:pt>
                <c:pt idx="12">
                  <c:v>-121184.30435296486</c:v>
                </c:pt>
                <c:pt idx="13">
                  <c:v>-134005.07347063127</c:v>
                </c:pt>
              </c:numCache>
            </c:numRef>
          </c:val>
          <c:smooth val="1"/>
        </c:ser>
        <c:ser>
          <c:idx val="2"/>
          <c:order val="2"/>
          <c:tx>
            <c:v>Валовая прибыль ТЭ</c:v>
          </c:tx>
          <c:spPr>
            <a:ln w="63500"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'ТЭЦ-4'!$C$198:$P$198</c:f>
              <c:numCache>
                <c:formatCode>_-* #,##0_р_._-;\-* #,##0_р_._-;_-* "-"_р_._-;_-@_-</c:formatCode>
                <c:ptCount val="14"/>
                <c:pt idx="0">
                  <c:v>109360.29186213785</c:v>
                </c:pt>
                <c:pt idx="1">
                  <c:v>121407.32233258744</c:v>
                </c:pt>
                <c:pt idx="2">
                  <c:v>170833.24444689834</c:v>
                </c:pt>
                <c:pt idx="3">
                  <c:v>171580.87422590889</c:v>
                </c:pt>
                <c:pt idx="4">
                  <c:v>171543.05571024981</c:v>
                </c:pt>
                <c:pt idx="5">
                  <c:v>183351.28103352897</c:v>
                </c:pt>
                <c:pt idx="6">
                  <c:v>249343.77305327007</c:v>
                </c:pt>
                <c:pt idx="7">
                  <c:v>200365.96864258102</c:v>
                </c:pt>
                <c:pt idx="8">
                  <c:v>175859.02055094182</c:v>
                </c:pt>
                <c:pt idx="9">
                  <c:v>146586.65274338331</c:v>
                </c:pt>
                <c:pt idx="10">
                  <c:v>103919.35922684753</c:v>
                </c:pt>
                <c:pt idx="11">
                  <c:v>59569.824939907528</c:v>
                </c:pt>
                <c:pt idx="12">
                  <c:v>29050.65988977463</c:v>
                </c:pt>
                <c:pt idx="13">
                  <c:v>12766.70783568942</c:v>
                </c:pt>
              </c:numCache>
            </c:numRef>
          </c:val>
          <c:smooth val="1"/>
        </c:ser>
        <c:ser>
          <c:idx val="3"/>
          <c:order val="3"/>
          <c:tx>
            <c:v>Валовая прибыль ТН</c:v>
          </c:tx>
          <c:spPr>
            <a:ln w="63500">
              <a:solidFill>
                <a:srgbClr val="00B050"/>
              </a:solidFill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'ТЭЦ-4'!$C$207:$P$207</c:f>
              <c:numCache>
                <c:formatCode>_-* #,##0_р_._-;\-* #,##0_р_._-;_-* "-"_р_._-;_-@_-</c:formatCode>
                <c:ptCount val="14"/>
                <c:pt idx="0">
                  <c:v>89709.024185507238</c:v>
                </c:pt>
                <c:pt idx="1">
                  <c:v>91097.738262137849</c:v>
                </c:pt>
                <c:pt idx="2">
                  <c:v>95040.387863124939</c:v>
                </c:pt>
                <c:pt idx="3">
                  <c:v>88018.349681409163</c:v>
                </c:pt>
                <c:pt idx="4">
                  <c:v>77133.721628971034</c:v>
                </c:pt>
                <c:pt idx="5">
                  <c:v>66150.611297648822</c:v>
                </c:pt>
                <c:pt idx="6">
                  <c:v>55892.613547347835</c:v>
                </c:pt>
                <c:pt idx="7">
                  <c:v>45719.514989840114</c:v>
                </c:pt>
                <c:pt idx="8">
                  <c:v>52585.884861006998</c:v>
                </c:pt>
                <c:pt idx="9">
                  <c:v>54806.690224525169</c:v>
                </c:pt>
                <c:pt idx="10">
                  <c:v>57116.730054849046</c:v>
                </c:pt>
                <c:pt idx="11">
                  <c:v>59519.575109256337</c:v>
                </c:pt>
                <c:pt idx="12">
                  <c:v>62018.938980040672</c:v>
                </c:pt>
                <c:pt idx="13">
                  <c:v>64618.68380792837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566208"/>
        <c:axId val="111613056"/>
      </c:lineChart>
      <c:catAx>
        <c:axId val="11156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1613056"/>
        <c:crosses val="autoZero"/>
        <c:auto val="1"/>
        <c:lblAlgn val="ctr"/>
        <c:lblOffset val="100"/>
        <c:noMultiLvlLbl val="0"/>
      </c:catAx>
      <c:valAx>
        <c:axId val="111613056"/>
        <c:scaling>
          <c:orientation val="minMax"/>
        </c:scaling>
        <c:delete val="0"/>
        <c:axPos val="l"/>
        <c:majorGridlines/>
        <c:numFmt formatCode="_-* #,##0_р_._-;\-* #,##0_р_._-;_-* &quot;-&quot;_р_._-;_-@_-" sourceLinked="1"/>
        <c:majorTickMark val="out"/>
        <c:minorTickMark val="none"/>
        <c:tickLblPos val="nextTo"/>
        <c:crossAx val="111566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7456092276890447"/>
          <c:h val="4.178605057383426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312"/>
          <c:h val="0.79160603440890365"/>
        </c:manualLayout>
      </c:layout>
      <c:lineChart>
        <c:grouping val="standard"/>
        <c:varyColors val="0"/>
        <c:ser>
          <c:idx val="3"/>
          <c:order val="0"/>
          <c:tx>
            <c:strRef>
              <c:f>Кот.!$B$301</c:f>
              <c:strCache>
                <c:ptCount val="1"/>
                <c:pt idx="0">
                  <c:v>EBITDAsum</c:v>
                </c:pt>
              </c:strCache>
            </c:strRef>
          </c:tx>
          <c:spPr>
            <a:ln w="50800">
              <a:solidFill>
                <a:srgbClr val="C00000"/>
              </a:solidFill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Кот.!$C$2:$P$2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Кот.!$C$301:$P$301</c:f>
              <c:numCache>
                <c:formatCode>#,##0</c:formatCode>
                <c:ptCount val="14"/>
                <c:pt idx="0">
                  <c:v>-132868.3275173404</c:v>
                </c:pt>
                <c:pt idx="1">
                  <c:v>-80865.150880607063</c:v>
                </c:pt>
                <c:pt idx="2">
                  <c:v>-59678.55515151807</c:v>
                </c:pt>
                <c:pt idx="3">
                  <c:v>-27305.114006818163</c:v>
                </c:pt>
                <c:pt idx="4">
                  <c:v>14556.882093237891</c:v>
                </c:pt>
                <c:pt idx="5">
                  <c:v>50767.573562525809</c:v>
                </c:pt>
                <c:pt idx="6">
                  <c:v>96157.079909968248</c:v>
                </c:pt>
                <c:pt idx="7">
                  <c:v>48421.908509947563</c:v>
                </c:pt>
                <c:pt idx="8">
                  <c:v>18941.501519147601</c:v>
                </c:pt>
                <c:pt idx="9">
                  <c:v>-11169.64046343225</c:v>
                </c:pt>
                <c:pt idx="10">
                  <c:v>-42637.342089179074</c:v>
                </c:pt>
                <c:pt idx="11">
                  <c:v>-75438.886757795481</c:v>
                </c:pt>
                <c:pt idx="12">
                  <c:v>-97614.91094783468</c:v>
                </c:pt>
                <c:pt idx="13">
                  <c:v>-110079.01443787385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56128"/>
        <c:axId val="117857664"/>
      </c:lineChart>
      <c:catAx>
        <c:axId val="11785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857664"/>
        <c:crosses val="autoZero"/>
        <c:auto val="1"/>
        <c:lblAlgn val="ctr"/>
        <c:lblOffset val="100"/>
        <c:noMultiLvlLbl val="0"/>
      </c:catAx>
      <c:valAx>
        <c:axId val="11785766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178561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88269788234928104"/>
          <c:w val="0.99465608428707253"/>
          <c:h val="0.1173021176507238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356"/>
          <c:h val="0.79160603440890365"/>
        </c:manualLayout>
      </c:layout>
      <c:lineChart>
        <c:grouping val="standard"/>
        <c:varyColors val="0"/>
        <c:ser>
          <c:idx val="0"/>
          <c:order val="0"/>
          <c:tx>
            <c:strRef>
              <c:f>Сети!$B$146</c:f>
              <c:strCache>
                <c:ptCount val="1"/>
                <c:pt idx="0">
                  <c:v>EBITDAte</c:v>
                </c:pt>
              </c:strCache>
            </c:strRef>
          </c:tx>
          <c:spPr>
            <a:ln w="50800"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Сети!$C$146:$P$146</c:f>
              <c:numCache>
                <c:formatCode>#,##0</c:formatCode>
                <c:ptCount val="14"/>
                <c:pt idx="0">
                  <c:v>-479346.59750731051</c:v>
                </c:pt>
                <c:pt idx="1">
                  <c:v>-539086.27288232674</c:v>
                </c:pt>
                <c:pt idx="2">
                  <c:v>-438766.85207188444</c:v>
                </c:pt>
                <c:pt idx="3">
                  <c:v>-225988.48668488697</c:v>
                </c:pt>
                <c:pt idx="4">
                  <c:v>75839.379237420973</c:v>
                </c:pt>
                <c:pt idx="5">
                  <c:v>349625.64853802585</c:v>
                </c:pt>
                <c:pt idx="6">
                  <c:v>646862.08561668079</c:v>
                </c:pt>
                <c:pt idx="7">
                  <c:v>870472.47303345613</c:v>
                </c:pt>
                <c:pt idx="8">
                  <c:v>910607.89132430719</c:v>
                </c:pt>
                <c:pt idx="9">
                  <c:v>950976.67901510675</c:v>
                </c:pt>
                <c:pt idx="10">
                  <c:v>958993.49465423136</c:v>
                </c:pt>
                <c:pt idx="11">
                  <c:v>966269.48484010075</c:v>
                </c:pt>
                <c:pt idx="12">
                  <c:v>991046.20173576917</c:v>
                </c:pt>
                <c:pt idx="13">
                  <c:v>1033615.6770251759</c:v>
                </c:pt>
              </c:numCache>
            </c:numRef>
          </c:val>
          <c:smooth val="1"/>
        </c:ser>
        <c:ser>
          <c:idx val="3"/>
          <c:order val="1"/>
          <c:tx>
            <c:strRef>
              <c:f>Сети!$B$145</c:f>
              <c:strCache>
                <c:ptCount val="1"/>
                <c:pt idx="0">
                  <c:v>Финансовый результат, передача т/э, тыс. руб.</c:v>
                </c:pt>
              </c:strCache>
            </c:strRef>
          </c:tx>
          <c:spPr>
            <a:ln w="50800">
              <a:solidFill>
                <a:srgbClr val="C00000"/>
              </a:solidFill>
              <a:prstDash val="dash"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Сети!$C$2:$P$2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Сети!$C$145:$P$145</c:f>
              <c:numCache>
                <c:formatCode>_-* #,##0_р_._-;\-* #,##0_р_._-;_-* "-"_р_._-;_-@_-</c:formatCode>
                <c:ptCount val="14"/>
                <c:pt idx="0">
                  <c:v>-640311.56293020281</c:v>
                </c:pt>
                <c:pt idx="1">
                  <c:v>-726011.81406319584</c:v>
                </c:pt>
                <c:pt idx="2">
                  <c:v>-647968.19325275347</c:v>
                </c:pt>
                <c:pt idx="3">
                  <c:v>-531709.34408021229</c:v>
                </c:pt>
                <c:pt idx="4">
                  <c:v>-315230.43873955542</c:v>
                </c:pt>
                <c:pt idx="5">
                  <c:v>-126882.79180407245</c:v>
                </c:pt>
                <c:pt idx="6">
                  <c:v>83418.776165064424</c:v>
                </c:pt>
                <c:pt idx="7">
                  <c:v>216589.8573658166</c:v>
                </c:pt>
                <c:pt idx="8">
                  <c:v>237004.75982586108</c:v>
                </c:pt>
                <c:pt idx="9">
                  <c:v>254487.65596829331</c:v>
                </c:pt>
                <c:pt idx="10">
                  <c:v>238928.3620049723</c:v>
                </c:pt>
                <c:pt idx="11">
                  <c:v>221827.23638420319</c:v>
                </c:pt>
                <c:pt idx="12">
                  <c:v>221401.67363714753</c:v>
                </c:pt>
                <c:pt idx="13">
                  <c:v>273999.50395582011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889792"/>
        <c:axId val="129891328"/>
      </c:lineChart>
      <c:catAx>
        <c:axId val="12988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891328"/>
        <c:crosses val="autoZero"/>
        <c:auto val="1"/>
        <c:lblAlgn val="ctr"/>
        <c:lblOffset val="100"/>
        <c:noMultiLvlLbl val="0"/>
      </c:catAx>
      <c:valAx>
        <c:axId val="1298913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9889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88269788234928126"/>
          <c:w val="0.45562043359380838"/>
          <c:h val="7.1544662258463981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234"/>
          <c:h val="0.85095328430480865"/>
        </c:manualLayout>
      </c:layout>
      <c:lineChart>
        <c:grouping val="standard"/>
        <c:varyColors val="0"/>
        <c:ser>
          <c:idx val="1"/>
          <c:order val="0"/>
          <c:tx>
            <c:v>Валовая прибыль</c:v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'ТЭЦ-1 - котельная'!$C$3:$P$3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'ТЭЦ-1 - котельная'!$C$195:$P$195</c:f>
              <c:numCache>
                <c:formatCode>_-* #,##0_р_._-;\-* #,##0_р_._-;_-* "-"_р_._-;_-@_-</c:formatCode>
                <c:ptCount val="14"/>
                <c:pt idx="0">
                  <c:v>-95355.405404257588</c:v>
                </c:pt>
                <c:pt idx="1">
                  <c:v>-79765.345273857471</c:v>
                </c:pt>
                <c:pt idx="2">
                  <c:v>-70815.016758691345</c:v>
                </c:pt>
                <c:pt idx="3">
                  <c:v>-76491.217808164249</c:v>
                </c:pt>
                <c:pt idx="4">
                  <c:v>-74707.313669350289</c:v>
                </c:pt>
                <c:pt idx="5">
                  <c:v>30964.652745719883</c:v>
                </c:pt>
                <c:pt idx="6">
                  <c:v>77119.240260917111</c:v>
                </c:pt>
                <c:pt idx="7">
                  <c:v>52058.581102249853</c:v>
                </c:pt>
                <c:pt idx="8">
                  <c:v>45888.806740881293</c:v>
                </c:pt>
                <c:pt idx="9">
                  <c:v>38695.723768887634</c:v>
                </c:pt>
                <c:pt idx="10">
                  <c:v>26968.787660332513</c:v>
                </c:pt>
                <c:pt idx="11">
                  <c:v>14821.107378736488</c:v>
                </c:pt>
                <c:pt idx="12">
                  <c:v>7052.8452842592378</c:v>
                </c:pt>
                <c:pt idx="13">
                  <c:v>3773.7939038467593</c:v>
                </c:pt>
              </c:numCache>
            </c:numRef>
          </c:val>
          <c:smooth val="1"/>
        </c:ser>
        <c:ser>
          <c:idx val="2"/>
          <c:order val="1"/>
          <c:tx>
            <c:v>Валовая прибыль ЭЭ</c:v>
          </c:tx>
          <c:spPr>
            <a:ln w="63500">
              <a:solidFill>
                <a:srgbClr val="0070C0"/>
              </a:solidFill>
              <a:prstDash val="solid"/>
            </a:ln>
          </c:spPr>
          <c:marker>
            <c:spPr>
              <a:solidFill>
                <a:srgbClr val="0070C0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'ТЭЦ-1 - котельная'!$C$3:$P$3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'ТЭЦ-1 - котельная'!$C$176:$P$176</c:f>
              <c:numCache>
                <c:formatCode>_-* #,##0_р_._-;\-* #,##0_р_._-;_-* "-"_р_._-;_-@_-</c:formatCode>
                <c:ptCount val="14"/>
                <c:pt idx="0">
                  <c:v>-19769.948428715375</c:v>
                </c:pt>
                <c:pt idx="1">
                  <c:v>-19241.190669525466</c:v>
                </c:pt>
                <c:pt idx="2">
                  <c:v>-8868.2344253966294</c:v>
                </c:pt>
                <c:pt idx="3">
                  <c:v>1258.4815893982959</c:v>
                </c:pt>
                <c:pt idx="4">
                  <c:v>66.292583940994518</c:v>
                </c:pt>
              </c:numCache>
            </c:numRef>
          </c:val>
          <c:smooth val="1"/>
        </c:ser>
        <c:ser>
          <c:idx val="3"/>
          <c:order val="2"/>
          <c:tx>
            <c:v>Валовая прибыль ТЭ</c:v>
          </c:tx>
          <c:spPr>
            <a:ln w="63500">
              <a:solidFill>
                <a:srgbClr val="C00000"/>
              </a:solidFill>
              <a:prstDash val="solid"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'ТЭЦ-1 - котельная'!$C$3:$P$3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'ТЭЦ-1 - котельная'!$C$185:$P$185</c:f>
              <c:numCache>
                <c:formatCode>_-* #,##0_р_._-;\-* #,##0_р_._-;_-* "-"_р_._-;_-@_-</c:formatCode>
                <c:ptCount val="14"/>
                <c:pt idx="0">
                  <c:v>-75585.456975542242</c:v>
                </c:pt>
                <c:pt idx="1">
                  <c:v>-60524.154604331998</c:v>
                </c:pt>
                <c:pt idx="2">
                  <c:v>-61946.782333294686</c:v>
                </c:pt>
                <c:pt idx="3">
                  <c:v>-77749.699397562537</c:v>
                </c:pt>
                <c:pt idx="4">
                  <c:v>-74773.606253291247</c:v>
                </c:pt>
                <c:pt idx="5">
                  <c:v>30964.652745719883</c:v>
                </c:pt>
                <c:pt idx="6">
                  <c:v>77119.24026091717</c:v>
                </c:pt>
                <c:pt idx="7">
                  <c:v>52058.581102249911</c:v>
                </c:pt>
                <c:pt idx="8">
                  <c:v>45888.806740881293</c:v>
                </c:pt>
                <c:pt idx="9">
                  <c:v>38695.723768887634</c:v>
                </c:pt>
                <c:pt idx="10">
                  <c:v>26968.787660332513</c:v>
                </c:pt>
                <c:pt idx="11">
                  <c:v>14821.107378736429</c:v>
                </c:pt>
                <c:pt idx="12">
                  <c:v>7052.8452842592378</c:v>
                </c:pt>
                <c:pt idx="13">
                  <c:v>3773.7939038467593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52768"/>
        <c:axId val="133566848"/>
      </c:lineChart>
      <c:catAx>
        <c:axId val="133552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3566848"/>
        <c:crosses val="autoZero"/>
        <c:auto val="1"/>
        <c:lblAlgn val="ctr"/>
        <c:lblOffset val="100"/>
        <c:noMultiLvlLbl val="0"/>
      </c:catAx>
      <c:valAx>
        <c:axId val="133566848"/>
        <c:scaling>
          <c:orientation val="minMax"/>
        </c:scaling>
        <c:delete val="0"/>
        <c:axPos val="l"/>
        <c:majorGridlines/>
        <c:numFmt formatCode="_-* #,##0_р_._-;\-* #,##0_р_._-;_-* &quot;-&quot;_р_._-;_-@_-" sourceLinked="1"/>
        <c:majorTickMark val="out"/>
        <c:minorTickMark val="none"/>
        <c:tickLblPos val="nextTo"/>
        <c:crossAx val="1335527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85578757588887877"/>
          <c:h val="4.391720686770867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35</xdr:row>
      <xdr:rowOff>19049</xdr:rowOff>
    </xdr:from>
    <xdr:to>
      <xdr:col>15</xdr:col>
      <xdr:colOff>676274</xdr:colOff>
      <xdr:row>67</xdr:row>
      <xdr:rowOff>114300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63</xdr:row>
      <xdr:rowOff>57151</xdr:rowOff>
    </xdr:from>
    <xdr:to>
      <xdr:col>15</xdr:col>
      <xdr:colOff>38100</xdr:colOff>
      <xdr:row>115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59</xdr:row>
          <xdr:rowOff>28575</xdr:rowOff>
        </xdr:from>
        <xdr:to>
          <xdr:col>4</xdr:col>
          <xdr:colOff>552450</xdr:colOff>
          <xdr:row>59</xdr:row>
          <xdr:rowOff>323850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рост на индекс-дефлятор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59</xdr:row>
          <xdr:rowOff>38100</xdr:rowOff>
        </xdr:from>
        <xdr:to>
          <xdr:col>8</xdr:col>
          <xdr:colOff>619125</xdr:colOff>
          <xdr:row>59</xdr:row>
          <xdr:rowOff>333375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рост на индекс-дефлятор + амортизация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59</xdr:row>
          <xdr:rowOff>38100</xdr:rowOff>
        </xdr:from>
        <xdr:to>
          <xdr:col>13</xdr:col>
          <xdr:colOff>28575</xdr:colOff>
          <xdr:row>59</xdr:row>
          <xdr:rowOff>333375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рост на инвестиции за счет прибыли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207</xdr:row>
      <xdr:rowOff>38099</xdr:rowOff>
    </xdr:from>
    <xdr:to>
      <xdr:col>16</xdr:col>
      <xdr:colOff>28574</xdr:colOff>
      <xdr:row>243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206</xdr:row>
      <xdr:rowOff>76200</xdr:rowOff>
    </xdr:from>
    <xdr:to>
      <xdr:col>16</xdr:col>
      <xdr:colOff>28574</xdr:colOff>
      <xdr:row>246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212</xdr:row>
      <xdr:rowOff>38100</xdr:rowOff>
    </xdr:from>
    <xdr:to>
      <xdr:col>16</xdr:col>
      <xdr:colOff>28574</xdr:colOff>
      <xdr:row>250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301</xdr:row>
      <xdr:rowOff>123825</xdr:rowOff>
    </xdr:from>
    <xdr:to>
      <xdr:col>16</xdr:col>
      <xdr:colOff>47625</xdr:colOff>
      <xdr:row>324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146</xdr:row>
      <xdr:rowOff>123825</xdr:rowOff>
    </xdr:from>
    <xdr:to>
      <xdr:col>16</xdr:col>
      <xdr:colOff>47625</xdr:colOff>
      <xdr:row>169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197</xdr:row>
      <xdr:rowOff>38099</xdr:rowOff>
    </xdr:from>
    <xdr:to>
      <xdr:col>16</xdr:col>
      <xdr:colOff>28574</xdr:colOff>
      <xdr:row>233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HEV~1/AppData/Local/Temp/&#1060;&#1086;&#1088;&#1084;&#1072;%20&#8470;5-&#1048;&#1055;%20&#1058;&#1057;%20&#1060;&#1080;&#1085;&#1072;&#1085;&#1089;&#1086;&#1074;&#1099;&#1081;%20&#1087;&#1083;&#1072;&#1085;%202019-2023%20&#1082;&#1086;&#1088;&#1088;2018-07-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/2017%20-%20&#1090;&#1077;&#1082;&#1091;&#1097;&#1077;&#1077;/&#1054;&#1073;&#1098;&#1077;&#1076;&#1080;&#1085;&#1077;&#1085;&#1080;&#1077;%20+%20&#1080;&#1085;&#1074;&#1077;&#1089;&#1090;/2017-06-07%20&#1048;&#1085;&#1074;&#1077;&#1089;&#1090;&#1084;&#1086;&#1076;&#1077;&#1083;&#1100;%20&#1057;&#1042;&#1054;&#1044;%20(1&#1042;)%20-%20&#1040;&#1085;&#1076;&#1088;&#1077;&#108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%20-%20&#1090;&#1077;&#1082;&#1091;&#1097;&#1077;&#1077;/&#1044;&#1080;&#1085;&#1072;&#1084;&#1080;&#1082;&#1072;%20&#1044;&#1047;%20&#1080;%20&#1050;&#1047;%20&#1085;&#1072;%2031.05.201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!%20&#1047;&#1072;&#1103;&#1074;&#1082;&#1072;%2019/01.&#1047;&#1072;&#1103;&#1074;&#1083;&#1077;&#1085;&#1080;&#1077;,%20&#1088;&#1072;&#1089;&#1095;&#1077;&#1090;,%20&#1055;&#1047;/!%20&#1058;&#1072;&#1088;&#1080;&#1092;_&#1058;&#1069;_&#1058;&#1043;_2019-23%20&#1080;&#1085;&#1076;&#1077;&#1082;&#1089;&#1072;&#1094;&#1080;&#1103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&#1058;&#1043;%20&#1055;&#1088;&#1080;&#1083;.%202-2_2017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/2017%20-%20&#1090;&#1077;&#1082;&#1091;&#1097;&#1077;&#1077;/&#1054;&#1073;&#1098;&#1077;&#1076;&#1080;&#1085;&#1077;&#1085;&#1080;&#1077;%20+%20&#1080;&#1085;&#1074;&#1077;&#1089;&#1090;/2017-11-23%20&#1048;&#1085;&#1074;&#1077;&#1089;&#1090;&#1084;&#1086;&#1076;&#1077;&#1083;&#1100;%20&#1057;&#1042;&#1054;&#1044;%20(1&#1042;)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5/2015%20-%20&#1092;&#1072;&#1082;&#1090;/&#1058;&#1043;%20&#1055;&#1088;&#1080;&#1083;.%202-2_201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!%20&#1041;&#1044;&#1056;_&#1058;&#1043;_17&#1092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%20-%20&#1092;&#1072;&#1082;&#1090;/!%20&#1041;&#1044;&#1056;_&#1058;&#1043;_18&#109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/2018%20-%20&#1080;&#1085;&#1076;&#1077;&#1082;&#1089;&#1099;/7-&#1048;&#1055;&#1062;%20&#1073;&#1072;&#1079;&#1086;&#1074;&#1099;&#1081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/2018%20-%20&#1091;&#1090;&#1074;&#1077;&#1088;&#1078;&#1076;&#1077;&#1085;&#1086;%20&#1056;&#1069;&#1050;/&#1056;&#1072;&#1089;&#1095;&#1077;&#1090;%20&#1056;&#1069;&#1050;%20&#1089;%2001.01.2018%20&#1058;&#1072;&#1088;&#1080;&#1092;_&#1058;&#1069;_&#1058;&#1043;_&#1082;&#1086;&#1088;&#1088;_18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HEV~1/AppData/Local/Temp/&#1055;&#1088;&#1080;&#1083;&#1086;&#1078;&#1077;&#1085;&#1080;&#1077;%204,5%20&#1056;&#1072;&#1089;&#1095;&#1077;&#1090;%20&#1072;&#1084;&#1086;&#1088;&#1090;,&#1053;&#1048;,&#1090;&#1072;&#1088;&#1080;&#1092;&#1072;%20&#1082;&#1086;&#1088;&#1088;2018-07-09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69;&#1062;-1%202017,2018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2018%20-%20&#1082;&#1086;&#1088;&#1088;&#1077;&#1082;&#1090;&#1080;&#1088;&#1086;&#1074;&#1082;&#1072;%20&#1090;&#1072;&#1088;&#1080;&#1092;&#1072;%20&#1058;&#1069;/_&#1047;&#1040;&#1071;&#1042;&#1050;&#1040;%20&#1058;&#1069;%20&#1082;&#1086;&#1088;&#1088;18/01.&#1047;&#1072;&#1103;&#1074;&#1083;&#1077;&#1085;&#1080;&#1077;,%20&#1088;&#1072;&#1089;&#1095;&#1077;&#1090;,%20&#1087;&#1086;&#1103;&#1089;&#1085;&#1080;&#1090;&#1077;&#1083;&#1100;&#1085;&#1072;&#1103;%20&#1079;&#1072;&#1087;&#1080;&#1089;&#1082;&#1072;/&#1058;&#1072;&#1088;&#1080;&#1092;_&#1058;&#1069;_16-18_&#1058;&#1043;%20&#1080;&#1085;&#1076;&#1077;&#1082;&#1089;%20-%20&#1082;&#1086;&#1088;&#1088;_18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!%20&#1057;&#1084;&#1077;&#1090;&#1099;_&#1058;&#1043;_17&#1092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69;&#1062;-3%202017,20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69;&#1062;-4%202017,2018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2017%20-%20&#1090;&#1077;&#1082;&#1091;&#1097;&#1077;&#1077;/&#1057;&#1074;&#1086;&#1076;&#1085;&#1072;&#1103;%20&#1090;&#1072;&#1073;&#1083;&#1080;&#1094;&#1072;%20&#1085;&#1072;&#1075;&#1088;&#1091;&#1079;&#1086;&#1082;%20&#1080;%20&#1084;&#1086;&#1097;&#1085;&#1086;&#1089;&#1090;&#1077;&#1081;%20&#1085;&#1072;%2001.01.2017%20&#1087;&#1086;%20&#1089;&#1093;%20&#1090;&#1089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2016%20-%20&#1092;&#1072;&#1082;&#1090;/&#1058;&#1043;%20&#1055;&#1088;&#1080;&#1083;.%202-2_2016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4;&#1073;&#1098;&#1077;&#1076;&#1080;&#1085;&#1077;&#1085;&#1085;&#1099;&#1077;%20&#1082;&#1086;&#1090;&#1077;&#1083;&#1100;&#1085;&#1099;&#1077;%202017,2018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2016%20-%20&#1092;&#1072;&#1082;&#1090;/!%20&#1041;&#1044;&#1056;_&#1058;&#1043;_16&#1092;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2016%20-%20&#1092;&#1072;&#1082;&#1090;/!%20&#1057;&#1084;&#1077;&#1090;&#1099;_&#1058;&#1043;_16&#1092;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2018%20-%20&#1082;&#1086;&#1088;&#1088;&#1077;&#1082;&#1090;&#1080;&#1088;&#1086;&#1074;&#1082;&#1072;%20&#1090;&#1072;&#1088;&#1080;&#1092;&#1072;%20&#1058;&#1069;/_&#1047;&#1040;&#1071;&#1042;&#1050;&#1040;%20&#1058;&#1069;%20&#1082;&#1086;&#1088;&#1088;18/04.&#1053;&#1077;&#1082;&#1086;&#1085;&#1090;&#1088;.&#1088;&#1072;&#1089;&#1093;&#1086;&#1076;&#1099;%20-%20&#1072;&#1088;&#1077;&#1085;&#1076;&#1072;%20&#1079;&#1077;&#1084;&#1083;&#1080;/05_&#1040;&#1088;&#1077;&#1085;&#1076;&#1085;&#1072;&#1103;%20&#1087;&#1083;&#1072;&#1090;&#1072;%20&#1079;&#1072;%20&#1079;&#1077;&#1084;&#1083;&#1102;%2018%20-%20&#1089;&#1074;&#1086;&#1076;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77;&#1087;&#1083;&#1086;&#1074;&#1099;&#1077;%20&#1089;&#1077;&#1090;&#1080;%202017,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Расходы на демонтаж"/>
    </sheetNames>
    <sheetDataSet>
      <sheetData sheetId="0">
        <row r="14">
          <cell r="B14" t="str">
            <v>прибыль, направленная на инвестиции</v>
          </cell>
          <cell r="H14">
            <v>331223.53290847165</v>
          </cell>
          <cell r="I14">
            <v>347214.4968193302</v>
          </cell>
        </row>
        <row r="15">
          <cell r="H15">
            <v>48138.343236245571</v>
          </cell>
          <cell r="I15">
            <v>59596.77589203314</v>
          </cell>
          <cell r="J15">
            <v>63397.722686002155</v>
          </cell>
          <cell r="K15">
            <v>72041.841204183889</v>
          </cell>
          <cell r="L15">
            <v>73257.427336781475</v>
          </cell>
        </row>
        <row r="20">
          <cell r="B20" t="str">
            <v>прочие привлеченные средства</v>
          </cell>
        </row>
        <row r="22">
          <cell r="H22">
            <v>62576.286795200002</v>
          </cell>
        </row>
        <row r="24">
          <cell r="H24">
            <v>1090576.5794189691</v>
          </cell>
          <cell r="I24">
            <v>1042180.5596707482</v>
          </cell>
          <cell r="J24">
            <v>1003806.9864918017</v>
          </cell>
          <cell r="K24">
            <v>1030884.507551837</v>
          </cell>
          <cell r="L24">
            <v>1033273.0621602314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ариант 1 с БМГПУ"/>
      <sheetName val="Вариант 2 без БМГПУ "/>
      <sheetName val="Вариант 3 без БМГПУ "/>
      <sheetName val="Вариант 3 без БМГПУ БМК 70 "/>
      <sheetName val="БМК-30,8 МВт Левый Берег 1 вар"/>
      <sheetName val="БМК-30,8 МВт правый Берег 1  ва"/>
      <sheetName val="БМК-30,8 МВт пр.+лев Берег "/>
      <sheetName val="БМК-30,8 МВт Левый берег окупае"/>
      <sheetName val="БМК-30,8 МВт Правый Берег"/>
      <sheetName val="БМК-30,8 МВт Правый берег окупа"/>
      <sheetName val="Две БМК-30,8 МВт"/>
      <sheetName val="Две БМК-30,8 МВт Окупаемость"/>
      <sheetName val="база для расчета"/>
      <sheetName val="расчет эффективности ДЗО"/>
      <sheetName val="расчет эффективности ГТЭ"/>
      <sheetName val="вспомогательные расчеты"/>
      <sheetName val="ТЭЦ 3"/>
      <sheetName val="СВОД 1 В СВОД"/>
      <sheetName val="Лист4"/>
      <sheetName val="сравнение с ГИГ"/>
      <sheetName val="СВОД 2 В СВОД (2)"/>
      <sheetName val="СВОД 3 В СВОД (3)"/>
      <sheetName val="СВОД 4 В СВОД (4)"/>
      <sheetName val="план производства свод"/>
      <sheetName val="аренда"/>
      <sheetName val="инвестиции свод"/>
      <sheetName val="снижение ИК"/>
      <sheetName val="показатели"/>
      <sheetName val="дефляторы"/>
      <sheetName val="свод + 130 МВт "/>
      <sheetName val="свод max - 130 мвт"/>
      <sheetName val="штатное расписание"/>
      <sheetName val="факт штатное расписание"/>
      <sheetName val="план капстр. гтэ"/>
      <sheetName val="сведения об объектах"/>
      <sheetName val="амортизация факт"/>
      <sheetName val="Лист9"/>
      <sheetName val="ИП"/>
      <sheetName val="расчет ТО"/>
      <sheetName val="пиковая котельная"/>
      <sheetName val="Лист1"/>
      <sheetName val="ТЭЦ-1"/>
      <sheetName val="ТЭЦ-3"/>
      <sheetName val="ТЭЦ-4-ПГУ"/>
      <sheetName val="Кот."/>
      <sheetName val="Сах."/>
      <sheetName val="Сети"/>
      <sheetName val="СВОД"/>
      <sheetName val="ВНИИСВ"/>
      <sheetName val="Перспект.кот."/>
      <sheetName val="ТЭЦ-4 ТЭЦ"/>
      <sheetName val="График ТО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632">
          <cell r="F632">
            <v>1</v>
          </cell>
          <cell r="G632">
            <v>0.89285714285714279</v>
          </cell>
          <cell r="H632">
            <v>0.79719387755102034</v>
          </cell>
          <cell r="I632">
            <v>0.71178024781341087</v>
          </cell>
          <cell r="J632">
            <v>0.63551807840483121</v>
          </cell>
          <cell r="K632">
            <v>0.56742685571859919</v>
          </cell>
          <cell r="L632">
            <v>0.50663112117732068</v>
          </cell>
          <cell r="M632">
            <v>0.45234921533689343</v>
          </cell>
          <cell r="N632">
            <v>0.4038832279793691</v>
          </cell>
          <cell r="O632">
            <v>0.36061002498157957</v>
          </cell>
          <cell r="P632">
            <v>0.32197323659069599</v>
          </cell>
          <cell r="Q632">
            <v>0.28747610409883567</v>
          </cell>
          <cell r="R632">
            <v>0.25667509294538904</v>
          </cell>
          <cell r="S632">
            <v>0.22917419012981158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98">
          <cell r="K98">
            <v>3.58</v>
          </cell>
          <cell r="L98">
            <v>5.274</v>
          </cell>
          <cell r="M98">
            <v>6.968</v>
          </cell>
          <cell r="N98">
            <v>8.6620000000000008</v>
          </cell>
          <cell r="O98">
            <v>10.356000000000002</v>
          </cell>
          <cell r="P98">
            <v>12.050000000000002</v>
          </cell>
          <cell r="Q98">
            <v>12.188000000000002</v>
          </cell>
          <cell r="R98">
            <v>12.326000000000002</v>
          </cell>
          <cell r="S98">
            <v>12.464000000000002</v>
          </cell>
          <cell r="T98">
            <v>12.602000000000002</v>
          </cell>
          <cell r="U98">
            <v>12.740000000000002</v>
          </cell>
        </row>
        <row r="99">
          <cell r="K99">
            <v>2.17</v>
          </cell>
          <cell r="L99">
            <v>3.8639999999999999</v>
          </cell>
          <cell r="M99">
            <v>5.5579999999999998</v>
          </cell>
          <cell r="N99">
            <v>7.2519999999999998</v>
          </cell>
          <cell r="O99">
            <v>8.9459999999999997</v>
          </cell>
          <cell r="P99">
            <v>10.64</v>
          </cell>
          <cell r="Q99">
            <v>10.778</v>
          </cell>
          <cell r="R99">
            <v>10.916</v>
          </cell>
          <cell r="S99">
            <v>11.054</v>
          </cell>
          <cell r="T99">
            <v>11.192</v>
          </cell>
          <cell r="U99">
            <v>11.33</v>
          </cell>
        </row>
      </sheetData>
      <sheetData sheetId="42">
        <row r="90">
          <cell r="G90">
            <v>380</v>
          </cell>
        </row>
        <row r="93">
          <cell r="G93">
            <v>684</v>
          </cell>
        </row>
        <row r="97">
          <cell r="G97">
            <v>529.07000000000005</v>
          </cell>
        </row>
        <row r="98">
          <cell r="I98">
            <v>9.9499999999999993</v>
          </cell>
          <cell r="J98">
            <v>11.27</v>
          </cell>
          <cell r="K98">
            <v>20.93</v>
          </cell>
          <cell r="L98">
            <v>33.311999999999998</v>
          </cell>
          <cell r="M98">
            <v>45.693999999999996</v>
          </cell>
          <cell r="N98">
            <v>58.075999999999993</v>
          </cell>
          <cell r="O98">
            <v>70.457999999999998</v>
          </cell>
          <cell r="P98">
            <v>82.84</v>
          </cell>
          <cell r="Q98">
            <v>92.828000000000003</v>
          </cell>
          <cell r="R98">
            <v>102.816</v>
          </cell>
          <cell r="S98">
            <v>112.804</v>
          </cell>
          <cell r="T98">
            <v>122.792</v>
          </cell>
          <cell r="U98">
            <v>132.78</v>
          </cell>
        </row>
      </sheetData>
      <sheetData sheetId="43">
        <row r="64">
          <cell r="G64">
            <v>88</v>
          </cell>
        </row>
        <row r="88">
          <cell r="G88">
            <v>320</v>
          </cell>
        </row>
        <row r="90">
          <cell r="G90">
            <v>129</v>
          </cell>
        </row>
        <row r="92">
          <cell r="G92">
            <v>300</v>
          </cell>
        </row>
        <row r="95">
          <cell r="G95">
            <v>391</v>
          </cell>
        </row>
        <row r="96">
          <cell r="G96">
            <v>129</v>
          </cell>
        </row>
        <row r="99">
          <cell r="G99">
            <v>368.85300000000001</v>
          </cell>
        </row>
        <row r="100">
          <cell r="L100">
            <v>32.734000000000002</v>
          </cell>
          <cell r="M100">
            <v>43.488</v>
          </cell>
          <cell r="N100">
            <v>54.242000000000004</v>
          </cell>
          <cell r="O100">
            <v>64.996000000000009</v>
          </cell>
          <cell r="P100">
            <v>75.750000000000014</v>
          </cell>
          <cell r="Q100">
            <v>76.954000000000008</v>
          </cell>
          <cell r="R100">
            <v>78.158000000000001</v>
          </cell>
          <cell r="S100">
            <v>79.361999999999995</v>
          </cell>
          <cell r="T100">
            <v>80.565999999999988</v>
          </cell>
          <cell r="U100">
            <v>81.769999999999982</v>
          </cell>
        </row>
        <row r="101">
          <cell r="G101">
            <v>35.57</v>
          </cell>
        </row>
      </sheetData>
      <sheetData sheetId="44">
        <row r="98">
          <cell r="K98">
            <v>1.5</v>
          </cell>
          <cell r="L98">
            <v>1.59</v>
          </cell>
          <cell r="M98">
            <v>1.6800000000000002</v>
          </cell>
          <cell r="N98">
            <v>1.7700000000000002</v>
          </cell>
          <cell r="O98">
            <v>1.8600000000000003</v>
          </cell>
          <cell r="P98">
            <v>1.9500000000000004</v>
          </cell>
          <cell r="Q98">
            <v>2.4020000000000001</v>
          </cell>
          <cell r="R98">
            <v>2.8540000000000001</v>
          </cell>
          <cell r="S98">
            <v>3.306</v>
          </cell>
          <cell r="T98">
            <v>3.758</v>
          </cell>
          <cell r="U98">
            <v>4.21</v>
          </cell>
        </row>
        <row r="101">
          <cell r="L101">
            <v>10.013199999999999</v>
          </cell>
          <cell r="M101">
            <v>10.166399999999999</v>
          </cell>
          <cell r="N101">
            <v>10.319599999999999</v>
          </cell>
          <cell r="O101">
            <v>10.472799999999999</v>
          </cell>
          <cell r="P101">
            <v>10.625999999999999</v>
          </cell>
          <cell r="Q101">
            <v>11.382</v>
          </cell>
          <cell r="R101">
            <v>12.138</v>
          </cell>
          <cell r="S101">
            <v>12.894</v>
          </cell>
          <cell r="T101">
            <v>13.65</v>
          </cell>
          <cell r="U101">
            <v>14.406000000000001</v>
          </cell>
        </row>
      </sheetData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30">
          <cell r="AM30">
            <v>3644352.31874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"/>
      <sheetName val="3.1.Инф"/>
      <sheetName val="4.1.РчПО_ТЭ"/>
      <sheetName val="4.2.РчПО_ТН"/>
      <sheetName val="4.3.СтПО_ТЭ"/>
      <sheetName val="4.4.Р_т"/>
      <sheetName val="+Лок.к."/>
      <sheetName val="4.5.Б_т"/>
      <sheetName val="+Газ"/>
      <sheetName val="4.12.Инв"/>
      <sheetName val="5.1.Оп_i0"/>
      <sheetName val="+Оп_i0"/>
      <sheetName val="+ФОТ"/>
      <sheetName val="+Рем."/>
      <sheetName val="5.2.Оп_i1"/>
      <sheetName val="+УЕ"/>
      <sheetName val="5.3.Нк"/>
      <sheetName val="+Ам"/>
      <sheetName val="+А,С,Н"/>
      <sheetName val="+Рег"/>
      <sheetName val="5.4.ЭРВ"/>
      <sheetName val="+Пок_ЭЭ,ТЭ"/>
      <sheetName val="+Всн"/>
      <sheetName val="5.9.Рч_НВВ"/>
      <sheetName val="+ВД"/>
      <sheetName val="5.5.Эк_оп."/>
      <sheetName val="5.6.Эк_т"/>
      <sheetName val="5.7.Эк_ЭРВ"/>
      <sheetName val="6.1.Тф_ист"/>
      <sheetName val="6.2.Тф_пер"/>
      <sheetName val="6.4.Рч_тф"/>
      <sheetName val="+Тф"/>
    </sheetNames>
    <sheetDataSet>
      <sheetData sheetId="0"/>
      <sheetData sheetId="1"/>
      <sheetData sheetId="2">
        <row r="10">
          <cell r="K10">
            <v>1033.843395259682</v>
          </cell>
          <cell r="S10">
            <v>1094.6666666666667</v>
          </cell>
        </row>
        <row r="14">
          <cell r="S14">
            <v>123.95623333333334</v>
          </cell>
        </row>
        <row r="16">
          <cell r="S16">
            <v>130.11510733333333</v>
          </cell>
        </row>
        <row r="17">
          <cell r="C17">
            <v>156.62468699999999</v>
          </cell>
          <cell r="S17">
            <v>381.21552933333339</v>
          </cell>
        </row>
        <row r="18">
          <cell r="S18">
            <v>69.112020000000001</v>
          </cell>
        </row>
        <row r="20">
          <cell r="S20">
            <v>1.1365779999999999</v>
          </cell>
        </row>
        <row r="21">
          <cell r="C21">
            <v>8.7918029999999998</v>
          </cell>
          <cell r="K21">
            <v>19.060011000000003</v>
          </cell>
          <cell r="S21">
            <v>20.346970333333335</v>
          </cell>
        </row>
        <row r="22">
          <cell r="C22">
            <v>3.2127999999999997E-2</v>
          </cell>
          <cell r="K22">
            <v>0.311921</v>
          </cell>
          <cell r="S22">
            <v>0.32691533333333339</v>
          </cell>
        </row>
        <row r="23">
          <cell r="C23">
            <v>8.1860000000000016E-2</v>
          </cell>
          <cell r="K23">
            <v>0.18205700000000002</v>
          </cell>
          <cell r="S23">
            <v>0.28585717666666666</v>
          </cell>
        </row>
        <row r="24">
          <cell r="C24">
            <v>0.70404600000000006</v>
          </cell>
          <cell r="K24">
            <v>2.496842</v>
          </cell>
          <cell r="S24">
            <v>1.9663933333333332</v>
          </cell>
        </row>
        <row r="25">
          <cell r="C25">
            <v>0.13319</v>
          </cell>
          <cell r="K25">
            <v>0.38517399999999996</v>
          </cell>
          <cell r="S25">
            <v>0.35498833333333335</v>
          </cell>
        </row>
        <row r="26">
          <cell r="C26">
            <v>0.69723299999999999</v>
          </cell>
          <cell r="K26">
            <v>1.9774710000000002</v>
          </cell>
          <cell r="S26">
            <v>1.4754986666666665</v>
          </cell>
        </row>
        <row r="27">
          <cell r="C27">
            <v>3.5968079999999998</v>
          </cell>
          <cell r="K27">
            <v>8.8528349999999989</v>
          </cell>
          <cell r="T27">
            <v>8.1413803333333341</v>
          </cell>
        </row>
        <row r="28">
          <cell r="C28">
            <v>1.6624190000000001</v>
          </cell>
          <cell r="K28">
            <v>5.6996560000000001</v>
          </cell>
          <cell r="S28">
            <v>5.6513706666659997</v>
          </cell>
        </row>
        <row r="29">
          <cell r="C29">
            <v>13.989467000000001</v>
          </cell>
          <cell r="K29">
            <v>38.442861999999998</v>
          </cell>
          <cell r="S29">
            <v>31.882581333333331</v>
          </cell>
        </row>
        <row r="30">
          <cell r="C30">
            <v>25.937922999999998</v>
          </cell>
          <cell r="K30">
            <v>74.448634499999997</v>
          </cell>
          <cell r="S30">
            <v>54.535048643066659</v>
          </cell>
        </row>
        <row r="31">
          <cell r="C31">
            <v>5.2216000000000005</v>
          </cell>
          <cell r="K31">
            <v>16.229724000000001</v>
          </cell>
          <cell r="S31">
            <v>11.959850999999999</v>
          </cell>
        </row>
        <row r="32">
          <cell r="C32">
            <v>0.22928599999999999</v>
          </cell>
          <cell r="K32">
            <v>0.87194699999999992</v>
          </cell>
          <cell r="S32">
            <v>0.64919867000000031</v>
          </cell>
        </row>
        <row r="34">
          <cell r="C34">
            <v>136.66149389899999</v>
          </cell>
          <cell r="K34">
            <v>57.222790078716969</v>
          </cell>
          <cell r="S34">
            <v>54.9359368</v>
          </cell>
        </row>
        <row r="43">
          <cell r="C43">
            <v>2.0890573200000007</v>
          </cell>
          <cell r="K43">
            <v>2.0282489953333336</v>
          </cell>
          <cell r="S43">
            <v>2.0282489953333336</v>
          </cell>
        </row>
        <row r="48">
          <cell r="C48">
            <v>615.3242616745523</v>
          </cell>
          <cell r="K48">
            <v>615.3242616745523</v>
          </cell>
        </row>
        <row r="49">
          <cell r="C49">
            <v>81.939091301935946</v>
          </cell>
          <cell r="K49">
            <v>81.939091301935946</v>
          </cell>
        </row>
        <row r="63">
          <cell r="C63">
            <v>445.47939687210948</v>
          </cell>
          <cell r="K63">
            <v>360.28591460720759</v>
          </cell>
        </row>
      </sheetData>
      <sheetData sheetId="3">
        <row r="8">
          <cell r="D8">
            <v>3136.1885999999995</v>
          </cell>
        </row>
        <row r="9">
          <cell r="D9">
            <v>7459.277</v>
          </cell>
        </row>
        <row r="11">
          <cell r="D11">
            <v>58.109290000000016</v>
          </cell>
        </row>
        <row r="22">
          <cell r="D22">
            <v>106.820471</v>
          </cell>
        </row>
        <row r="25">
          <cell r="B25" t="str">
            <v>Расход теплоносителя на хозяйственные нужды</v>
          </cell>
          <cell r="D25">
            <v>21.599110053</v>
          </cell>
        </row>
        <row r="28">
          <cell r="D28">
            <v>1457.2282441140758</v>
          </cell>
        </row>
        <row r="41">
          <cell r="D41">
            <v>6074.8918456909232</v>
          </cell>
        </row>
      </sheetData>
      <sheetData sheetId="4"/>
      <sheetData sheetId="5">
        <row r="5">
          <cell r="E5">
            <v>26.210578000000002</v>
          </cell>
          <cell r="F5">
            <v>676.34577439999998</v>
          </cell>
          <cell r="G5">
            <v>354.06696799999997</v>
          </cell>
          <cell r="O5">
            <v>27.470399999999998</v>
          </cell>
          <cell r="P5">
            <v>780.4</v>
          </cell>
          <cell r="Q5">
            <v>366.69732233333332</v>
          </cell>
        </row>
        <row r="6">
          <cell r="E6">
            <v>6.3922210000000002</v>
          </cell>
          <cell r="F6">
            <v>109.44148100000001</v>
          </cell>
          <cell r="G6">
            <v>76.180953000000002</v>
          </cell>
          <cell r="O6">
            <v>7.191336999999999</v>
          </cell>
          <cell r="P6">
            <v>115.81699999999999</v>
          </cell>
          <cell r="Q6">
            <v>75.946273966666666</v>
          </cell>
        </row>
        <row r="12">
          <cell r="E12">
            <v>3.840919</v>
          </cell>
          <cell r="F12">
            <v>0.62927999999999995</v>
          </cell>
          <cell r="G12">
            <v>0.13242600000000002</v>
          </cell>
          <cell r="H12">
            <v>2.7729516000000003</v>
          </cell>
          <cell r="J12">
            <v>2.4243749999999999</v>
          </cell>
          <cell r="K12">
            <v>5.2640104999999995</v>
          </cell>
          <cell r="L12">
            <v>2.5139445550000001</v>
          </cell>
          <cell r="R12">
            <v>3.1632800000000003</v>
          </cell>
          <cell r="T12">
            <v>2.9618799999999998</v>
          </cell>
          <cell r="U12">
            <v>12.46</v>
          </cell>
          <cell r="V12">
            <v>2.4136500000000001</v>
          </cell>
        </row>
        <row r="14">
          <cell r="E14">
            <v>2.341364</v>
          </cell>
          <cell r="F14">
            <v>7.3919377000000006</v>
          </cell>
          <cell r="G14">
            <v>3.665451</v>
          </cell>
        </row>
        <row r="17">
          <cell r="E17">
            <v>206.78731999999999</v>
          </cell>
          <cell r="F17">
            <v>1356.9047499999999</v>
          </cell>
          <cell r="G17">
            <v>1165.211</v>
          </cell>
          <cell r="H17">
            <v>146.44369599999999</v>
          </cell>
          <cell r="I17">
            <v>101.55254000000001</v>
          </cell>
          <cell r="J17">
            <v>136.00272999999999</v>
          </cell>
          <cell r="L17">
            <v>68.902477000000005</v>
          </cell>
          <cell r="R17">
            <v>120.927437</v>
          </cell>
          <cell r="T17">
            <v>136.55816100000001</v>
          </cell>
          <cell r="V17">
            <v>73.552431999999996</v>
          </cell>
          <cell r="Y17">
            <v>237.9231733333333</v>
          </cell>
          <cell r="Z17">
            <v>1301.7882333333334</v>
          </cell>
        </row>
        <row r="18">
          <cell r="E18">
            <v>0.71899999999999997</v>
          </cell>
          <cell r="F18">
            <v>6.3810600000000006</v>
          </cell>
          <cell r="G18">
            <v>3.8090000000000002</v>
          </cell>
          <cell r="Y18">
            <v>0.82499999999999996</v>
          </cell>
          <cell r="Z18">
            <v>5.61</v>
          </cell>
          <cell r="AA18">
            <v>3.7360000000000002</v>
          </cell>
        </row>
        <row r="22">
          <cell r="E22">
            <v>387.277988797901</v>
          </cell>
          <cell r="F22">
            <v>316.50492347461909</v>
          </cell>
          <cell r="G22">
            <v>365.7326907941013</v>
          </cell>
          <cell r="O22">
            <v>336.85</v>
          </cell>
          <cell r="P22">
            <v>309.50475451523744</v>
          </cell>
          <cell r="Q22">
            <v>365.7326907941013</v>
          </cell>
          <cell r="Y22">
            <v>260.02499999999998</v>
          </cell>
          <cell r="Z22">
            <v>308.57</v>
          </cell>
          <cell r="AA22">
            <v>343.19623257259053</v>
          </cell>
        </row>
        <row r="25">
          <cell r="E25">
            <v>152.56357381952233</v>
          </cell>
          <cell r="F25">
            <v>136.47914490681825</v>
          </cell>
          <cell r="G25">
            <v>140.7779363565912</v>
          </cell>
          <cell r="H25">
            <v>151.43456226343812</v>
          </cell>
          <cell r="I25">
            <v>152.01223918180676</v>
          </cell>
          <cell r="J25">
            <v>155.94856809124346</v>
          </cell>
          <cell r="K25">
            <v>156.93713724708033</v>
          </cell>
          <cell r="L25">
            <v>159.48143634952342</v>
          </cell>
          <cell r="O25">
            <v>158.69999999999999</v>
          </cell>
          <cell r="P25">
            <v>135.03630366350041</v>
          </cell>
          <cell r="Q25">
            <v>141.69999999999999</v>
          </cell>
          <cell r="R25">
            <v>154.1</v>
          </cell>
          <cell r="S25">
            <v>155.19999999999999</v>
          </cell>
          <cell r="T25">
            <v>156.5</v>
          </cell>
          <cell r="U25">
            <v>157.69999999999999</v>
          </cell>
          <cell r="V25">
            <v>159.48143634952342</v>
          </cell>
          <cell r="Y25">
            <v>165.65</v>
          </cell>
          <cell r="Z25">
            <v>135.49</v>
          </cell>
          <cell r="AA25">
            <v>148.05513622809971</v>
          </cell>
        </row>
        <row r="49">
          <cell r="E49">
            <v>1.1614308585123241</v>
          </cell>
          <cell r="G49">
            <v>1.1573008382587102</v>
          </cell>
        </row>
        <row r="57">
          <cell r="H57">
            <v>19.095993</v>
          </cell>
          <cell r="J57">
            <v>18.330482999999997</v>
          </cell>
          <cell r="K57">
            <v>21.240094000000003</v>
          </cell>
          <cell r="L57">
            <v>9.4572559999999992</v>
          </cell>
          <cell r="M57">
            <v>8.4068240000000021</v>
          </cell>
          <cell r="R57">
            <v>16.094456484072644</v>
          </cell>
          <cell r="T57">
            <v>18.457837977213948</v>
          </cell>
          <cell r="U57">
            <v>52.769523503624484</v>
          </cell>
          <cell r="V57">
            <v>10.131086037066492</v>
          </cell>
          <cell r="W57">
            <v>23.0050973838934</v>
          </cell>
        </row>
        <row r="136">
          <cell r="H136">
            <v>99373.830700000006</v>
          </cell>
          <cell r="J136">
            <v>95211.79531999999</v>
          </cell>
          <cell r="K136">
            <v>112697.64971</v>
          </cell>
          <cell r="L136">
            <v>52875.524769999996</v>
          </cell>
          <cell r="M136">
            <v>48010.992279999999</v>
          </cell>
          <cell r="R136">
            <v>86778.518464715395</v>
          </cell>
          <cell r="T136">
            <v>99521.461647959295</v>
          </cell>
          <cell r="U136">
            <v>284524.1201071454</v>
          </cell>
          <cell r="V136">
            <v>54625.059106856301</v>
          </cell>
          <cell r="W136">
            <v>133615.50681222946</v>
          </cell>
        </row>
        <row r="149">
          <cell r="Y149">
            <v>5563.7284705584352</v>
          </cell>
          <cell r="Z149">
            <v>5302.5347036361018</v>
          </cell>
          <cell r="AA149">
            <v>5301.8855299679617</v>
          </cell>
        </row>
        <row r="150">
          <cell r="E150">
            <v>5195.375787039784</v>
          </cell>
          <cell r="F150">
            <v>4948.6697393528166</v>
          </cell>
          <cell r="G150">
            <v>4950.6710266776709</v>
          </cell>
          <cell r="O150">
            <v>5391.8265926278982</v>
          </cell>
          <cell r="P150">
            <v>5128.5491496278974</v>
          </cell>
          <cell r="Q150">
            <v>5128.5491496278974</v>
          </cell>
        </row>
        <row r="164">
          <cell r="Y164">
            <v>183.2</v>
          </cell>
          <cell r="Z164">
            <v>172.6</v>
          </cell>
        </row>
        <row r="172">
          <cell r="Y172">
            <v>320.65977435107976</v>
          </cell>
          <cell r="Z172">
            <v>154.41027245619944</v>
          </cell>
        </row>
        <row r="173">
          <cell r="Y173">
            <v>298.12331612956899</v>
          </cell>
          <cell r="Z173">
            <v>160.76540868429916</v>
          </cell>
        </row>
        <row r="174">
          <cell r="Y174">
            <v>275.58685790805822</v>
          </cell>
          <cell r="Z174">
            <v>167.12054491239888</v>
          </cell>
        </row>
      </sheetData>
      <sheetData sheetId="6">
        <row r="5">
          <cell r="E5">
            <v>4.4743999999999999E-2</v>
          </cell>
          <cell r="F5">
            <v>0.21540675000000001</v>
          </cell>
          <cell r="G5">
            <v>1.6034000000000001E-3</v>
          </cell>
          <cell r="H5">
            <v>0</v>
          </cell>
          <cell r="I5">
            <v>1.2860360000000001E-2</v>
          </cell>
          <cell r="J5">
            <v>3.4638500000000005E-3</v>
          </cell>
          <cell r="K5">
            <v>2.63935E-2</v>
          </cell>
          <cell r="L5">
            <v>0.11810292999999999</v>
          </cell>
          <cell r="M5">
            <v>3.0023500000000002E-2</v>
          </cell>
          <cell r="N5">
            <v>0.29496819000000002</v>
          </cell>
          <cell r="O5">
            <v>0.28653876</v>
          </cell>
          <cell r="P5">
            <v>0.12481544</v>
          </cell>
          <cell r="Q5">
            <v>7.6554000000000006E-3</v>
          </cell>
          <cell r="S5">
            <v>1.7171832387503586E-2</v>
          </cell>
          <cell r="T5">
            <v>0.51</v>
          </cell>
          <cell r="U5">
            <v>0.02</v>
          </cell>
          <cell r="V5">
            <v>0.02</v>
          </cell>
          <cell r="W5">
            <v>0.09</v>
          </cell>
          <cell r="X5">
            <v>0.01</v>
          </cell>
          <cell r="Y5">
            <v>0.04</v>
          </cell>
          <cell r="Z5">
            <v>0.41</v>
          </cell>
          <cell r="AA5">
            <v>0.31</v>
          </cell>
          <cell r="AB5">
            <v>0.91</v>
          </cell>
          <cell r="AC5">
            <v>0.55000000000000004</v>
          </cell>
          <cell r="AD5">
            <v>0.22</v>
          </cell>
          <cell r="AE5">
            <v>0.01</v>
          </cell>
        </row>
        <row r="6">
          <cell r="E6">
            <v>1.052637</v>
          </cell>
          <cell r="S6">
            <v>1.4135600000000001</v>
          </cell>
        </row>
        <row r="11">
          <cell r="E11">
            <v>155.36409987488562</v>
          </cell>
          <cell r="F11">
            <v>158.44531548306986</v>
          </cell>
          <cell r="G11">
            <v>159.92280876494024</v>
          </cell>
          <cell r="H11">
            <v>161.16540434888833</v>
          </cell>
          <cell r="I11">
            <v>160.11737869400577</v>
          </cell>
          <cell r="J11">
            <v>162.35453112095504</v>
          </cell>
          <cell r="K11">
            <v>156.32077081836346</v>
          </cell>
          <cell r="L11">
            <v>155.83845454080395</v>
          </cell>
          <cell r="M11">
            <v>166.84602377619601</v>
          </cell>
          <cell r="N11">
            <v>163.79558992490564</v>
          </cell>
          <cell r="O11">
            <v>150.67042954827187</v>
          </cell>
          <cell r="P11">
            <v>160.4299448444921</v>
          </cell>
          <cell r="Q11">
            <v>167.70757918058669</v>
          </cell>
          <cell r="S11">
            <v>161</v>
          </cell>
          <cell r="T11">
            <v>156.1</v>
          </cell>
          <cell r="U11">
            <v>160.80000000000001</v>
          </cell>
          <cell r="V11">
            <v>158.5</v>
          </cell>
          <cell r="W11">
            <v>161</v>
          </cell>
          <cell r="X11">
            <v>161.4</v>
          </cell>
          <cell r="Y11">
            <v>156.80000000000001</v>
          </cell>
          <cell r="Z11">
            <v>156.5</v>
          </cell>
          <cell r="AA11">
            <v>162</v>
          </cell>
          <cell r="AB11">
            <v>164.5</v>
          </cell>
          <cell r="AC11">
            <v>150.69999999999999</v>
          </cell>
          <cell r="AD11">
            <v>159.30000000000001</v>
          </cell>
          <cell r="AE11">
            <v>163.80000000000001</v>
          </cell>
        </row>
      </sheetData>
      <sheetData sheetId="7"/>
      <sheetData sheetId="8">
        <row r="32">
          <cell r="H32">
            <v>1.03</v>
          </cell>
        </row>
      </sheetData>
      <sheetData sheetId="9"/>
      <sheetData sheetId="10">
        <row r="5">
          <cell r="D5">
            <v>22232.907639999998</v>
          </cell>
          <cell r="F5">
            <v>23065.887599524078</v>
          </cell>
          <cell r="H5">
            <v>23989.827726286683</v>
          </cell>
        </row>
        <row r="6">
          <cell r="D6">
            <v>120872.61093</v>
          </cell>
        </row>
        <row r="7">
          <cell r="D7">
            <v>240840.377199418</v>
          </cell>
          <cell r="F7">
            <v>269615.66695784515</v>
          </cell>
          <cell r="H7">
            <v>283571.28127819486</v>
          </cell>
        </row>
        <row r="8">
          <cell r="D8">
            <v>3326.9815700000008</v>
          </cell>
          <cell r="F8">
            <v>3451.6305371251997</v>
          </cell>
          <cell r="H8">
            <v>3589.8909852544512</v>
          </cell>
        </row>
        <row r="9">
          <cell r="D9">
            <v>7366.5947940719352</v>
          </cell>
          <cell r="F9">
            <v>5984.1152569448268</v>
          </cell>
          <cell r="H9">
            <v>6223.8183329789663</v>
          </cell>
        </row>
        <row r="10">
          <cell r="D10">
            <v>878.59257521210498</v>
          </cell>
          <cell r="F10">
            <v>884.27912304822871</v>
          </cell>
          <cell r="H10">
            <v>919.7003034176139</v>
          </cell>
        </row>
        <row r="11">
          <cell r="D11">
            <v>3522.4195175201371</v>
          </cell>
          <cell r="F11">
            <v>2023.1446653849989</v>
          </cell>
          <cell r="H11">
            <v>2104.1848824817594</v>
          </cell>
        </row>
        <row r="12">
          <cell r="D12">
            <v>239.13003635660101</v>
          </cell>
          <cell r="F12">
            <v>248.08930210945024</v>
          </cell>
          <cell r="H12">
            <v>258.02690629877185</v>
          </cell>
        </row>
        <row r="13">
          <cell r="D13">
            <v>2726.4526649830923</v>
          </cell>
          <cell r="F13">
            <v>2828.6021664021487</v>
          </cell>
          <cell r="H13">
            <v>2941.9062407808215</v>
          </cell>
        </row>
        <row r="19">
          <cell r="D19">
            <v>13041.821470000001</v>
          </cell>
          <cell r="F19">
            <v>9752.2539341360789</v>
          </cell>
          <cell r="H19">
            <v>9752.2539341360789</v>
          </cell>
        </row>
        <row r="20">
          <cell r="D20">
            <v>19875.669203443798</v>
          </cell>
          <cell r="F20">
            <v>5232.7098126489673</v>
          </cell>
          <cell r="H20">
            <v>6386.261621660843</v>
          </cell>
        </row>
      </sheetData>
      <sheetData sheetId="11">
        <row r="6">
          <cell r="E6">
            <v>338.43163727519732</v>
          </cell>
          <cell r="F6">
            <v>7951.9757403082167</v>
          </cell>
          <cell r="G6">
            <v>6928.9579724165869</v>
          </cell>
          <cell r="I6">
            <v>3191.6554718008138</v>
          </cell>
          <cell r="J6">
            <v>7416.871764682599</v>
          </cell>
          <cell r="K6">
            <v>11181.350279366332</v>
          </cell>
          <cell r="L6">
            <v>3239.1645741502571</v>
          </cell>
          <cell r="P6">
            <v>351.11134503469759</v>
          </cell>
          <cell r="Q6">
            <v>8249.9051221755344</v>
          </cell>
          <cell r="R6">
            <v>7188.5588858402343</v>
          </cell>
          <cell r="T6">
            <v>3311.2343001197996</v>
          </cell>
          <cell r="U6">
            <v>7694.7528966684713</v>
          </cell>
          <cell r="V6">
            <v>11600.271675251332</v>
          </cell>
          <cell r="W6">
            <v>3360.5233824337565</v>
          </cell>
        </row>
        <row r="12">
          <cell r="E12">
            <v>601.65899000000002</v>
          </cell>
          <cell r="F12">
            <v>43262.523970000002</v>
          </cell>
          <cell r="G12">
            <v>24800.279329999998</v>
          </cell>
          <cell r="I12">
            <v>14525.840759999997</v>
          </cell>
          <cell r="J12">
            <v>38536.554429999997</v>
          </cell>
          <cell r="K12">
            <v>39998.10252</v>
          </cell>
          <cell r="L12">
            <v>5270.7370900000005</v>
          </cell>
          <cell r="R12">
            <v>31291.429691212397</v>
          </cell>
          <cell r="V12">
            <v>49355.33815709794</v>
          </cell>
        </row>
        <row r="16">
          <cell r="E16">
            <v>7084.0505726219717</v>
          </cell>
          <cell r="F16">
            <v>69563.739930068667</v>
          </cell>
          <cell r="G16">
            <v>49965.082951380282</v>
          </cell>
          <cell r="I16">
            <v>68480.236211276017</v>
          </cell>
          <cell r="J16">
            <v>67980.625394757022</v>
          </cell>
          <cell r="K16">
            <v>80631.97439988429</v>
          </cell>
          <cell r="L16">
            <v>65763.097581356298</v>
          </cell>
          <cell r="P16">
            <v>14343.754730540779</v>
          </cell>
          <cell r="Q16">
            <v>85133.37768162592</v>
          </cell>
          <cell r="R16">
            <v>63048.180508304002</v>
          </cell>
          <cell r="T16">
            <v>65061.512886635013</v>
          </cell>
          <cell r="U16">
            <v>75351.046895423482</v>
          </cell>
          <cell r="V16">
            <v>86858.4540218732</v>
          </cell>
          <cell r="W16">
            <v>100485.47630931565</v>
          </cell>
        </row>
        <row r="17">
          <cell r="E17">
            <v>517.88573728226572</v>
          </cell>
          <cell r="F17">
            <v>7750.1248347665787</v>
          </cell>
          <cell r="G17">
            <v>5291.854867951155</v>
          </cell>
          <cell r="I17">
            <v>4665.6844603544923</v>
          </cell>
          <cell r="J17">
            <v>7679.0512158220372</v>
          </cell>
          <cell r="K17">
            <v>7686.1352735004075</v>
          </cell>
          <cell r="L17">
            <v>2532.1330703230624</v>
          </cell>
          <cell r="P17">
            <v>537.28888721949443</v>
          </cell>
          <cell r="Q17">
            <v>8040.49165388455</v>
          </cell>
          <cell r="R17">
            <v>5490.1199408371967</v>
          </cell>
          <cell r="T17">
            <v>4840.48938087447</v>
          </cell>
          <cell r="U17">
            <v>7966.7551848445401</v>
          </cell>
          <cell r="V17">
            <v>7974.1046544147666</v>
          </cell>
          <cell r="W17">
            <v>2627.0021777101911</v>
          </cell>
        </row>
        <row r="25">
          <cell r="E25">
            <v>594.72132913090115</v>
          </cell>
          <cell r="F25">
            <v>5270.8551640318274</v>
          </cell>
          <cell r="G25">
            <v>3281.0431431600946</v>
          </cell>
          <cell r="I25">
            <v>6440.5728968582789</v>
          </cell>
          <cell r="J25">
            <v>4996.0937970029663</v>
          </cell>
          <cell r="K25">
            <v>5251.0766022960033</v>
          </cell>
          <cell r="L25">
            <v>2068.9387890027538</v>
          </cell>
          <cell r="P25">
            <v>1348.7359899400885</v>
          </cell>
          <cell r="Q25">
            <v>6377.2127134891462</v>
          </cell>
          <cell r="R25">
            <v>4232.1174015368197</v>
          </cell>
          <cell r="T25">
            <v>6978.8129251399469</v>
          </cell>
          <cell r="U25">
            <v>5787.1986301637207</v>
          </cell>
          <cell r="V25">
            <v>6131.2009172555681</v>
          </cell>
          <cell r="W25">
            <v>4175.146803589193</v>
          </cell>
        </row>
        <row r="33">
          <cell r="E33">
            <v>4.5289360853891996</v>
          </cell>
          <cell r="F33">
            <v>76.69439487364491</v>
          </cell>
          <cell r="G33">
            <v>40.25555218381227</v>
          </cell>
          <cell r="I33">
            <v>43.223042231005849</v>
          </cell>
          <cell r="J33">
            <v>73.267034915313189</v>
          </cell>
          <cell r="K33">
            <v>64.522238315332487</v>
          </cell>
          <cell r="L33">
            <v>39.961553973643042</v>
          </cell>
          <cell r="P33">
            <v>4.698617579963817</v>
          </cell>
          <cell r="Q33">
            <v>79.567833425723208</v>
          </cell>
          <cell r="R33">
            <v>41.763770036899672</v>
          </cell>
          <cell r="T33">
            <v>44.842440312042932</v>
          </cell>
          <cell r="U33">
            <v>76.01206371525322</v>
          </cell>
          <cell r="V33">
            <v>66.939633841395505</v>
          </cell>
          <cell r="W33">
            <v>41.45875686543198</v>
          </cell>
        </row>
        <row r="34">
          <cell r="E34">
            <v>11.062168631463882</v>
          </cell>
          <cell r="F34">
            <v>116.5832625723888</v>
          </cell>
          <cell r="G34">
            <v>140.09006245149052</v>
          </cell>
          <cell r="I34">
            <v>118.83763510071662</v>
          </cell>
          <cell r="J34">
            <v>110.54320826572868</v>
          </cell>
          <cell r="K34">
            <v>224.13411890359475</v>
          </cell>
          <cell r="L34">
            <v>41.082889073397226</v>
          </cell>
          <cell r="P34">
            <v>11.476624757854973</v>
          </cell>
          <cell r="Q34">
            <v>120.95118074625898</v>
          </cell>
          <cell r="R34">
            <v>145.33868833705048</v>
          </cell>
          <cell r="T34">
            <v>123.29001578249648</v>
          </cell>
          <cell r="U34">
            <v>114.68482926455761</v>
          </cell>
          <cell r="V34">
            <v>232.53154637081383</v>
          </cell>
          <cell r="W34">
            <v>42.622103998930491</v>
          </cell>
        </row>
        <row r="36">
          <cell r="E36">
            <v>37.816246764306953</v>
          </cell>
          <cell r="F36">
            <v>453.91989848002049</v>
          </cell>
          <cell r="G36">
            <v>597.54640686950995</v>
          </cell>
          <cell r="I36">
            <v>355.70265406770199</v>
          </cell>
          <cell r="J36">
            <v>441.83812809566962</v>
          </cell>
          <cell r="K36">
            <v>964.25813060120436</v>
          </cell>
          <cell r="L36">
            <v>352.31574512158772</v>
          </cell>
          <cell r="P36">
            <v>156.02752162007482</v>
          </cell>
          <cell r="Q36">
            <v>548.19938999244937</v>
          </cell>
          <cell r="R36">
            <v>1341.7894078751137</v>
          </cell>
          <cell r="T36">
            <v>532.09958110181299</v>
          </cell>
          <cell r="U36">
            <v>458.69067612174456</v>
          </cell>
          <cell r="V36">
            <v>1699.98653691809</v>
          </cell>
          <cell r="W36">
            <v>306.051556876662</v>
          </cell>
        </row>
        <row r="37">
          <cell r="E37">
            <v>470.36089348022091</v>
          </cell>
          <cell r="F37">
            <v>9613.5900074912697</v>
          </cell>
          <cell r="G37">
            <v>3846.0553963194984</v>
          </cell>
          <cell r="I37">
            <v>4498.4949820629154</v>
          </cell>
          <cell r="J37">
            <v>9163.0119616468692</v>
          </cell>
          <cell r="K37">
            <v>6165.5090592841061</v>
          </cell>
          <cell r="L37">
            <v>4210.2218859716286</v>
          </cell>
          <cell r="P37">
            <v>158.3669020258657</v>
          </cell>
          <cell r="Q37">
            <v>6832.0333762920864</v>
          </cell>
          <cell r="R37">
            <v>1391.4643418349033</v>
          </cell>
          <cell r="T37">
            <v>1512.5750666697807</v>
          </cell>
          <cell r="U37">
            <v>6407.3286807483264</v>
          </cell>
          <cell r="V37">
            <v>2446.1982365901213</v>
          </cell>
          <cell r="W37">
            <v>1705.2450682488329</v>
          </cell>
        </row>
        <row r="46">
          <cell r="I46">
            <v>102320.24811375194</v>
          </cell>
          <cell r="J46">
            <v>136397.8569351882</v>
          </cell>
          <cell r="K46">
            <v>152167.06262215128</v>
          </cell>
        </row>
      </sheetData>
      <sheetData sheetId="12"/>
      <sheetData sheetId="13"/>
      <sheetData sheetId="14">
        <row r="6">
          <cell r="E6">
            <v>0.04</v>
          </cell>
        </row>
      </sheetData>
      <sheetData sheetId="15"/>
      <sheetData sheetId="16">
        <row r="27">
          <cell r="C27">
            <v>407.88092</v>
          </cell>
          <cell r="D27">
            <v>8644.3848430940452</v>
          </cell>
          <cell r="F27">
            <v>8832.6598679451326</v>
          </cell>
        </row>
        <row r="29">
          <cell r="C29">
            <v>418.69100000000003</v>
          </cell>
          <cell r="D29">
            <v>221.124</v>
          </cell>
        </row>
        <row r="30">
          <cell r="C30">
            <v>56270.936159999997</v>
          </cell>
          <cell r="D30">
            <v>49910.741796000002</v>
          </cell>
        </row>
        <row r="33">
          <cell r="C33">
            <v>39.271609999999995</v>
          </cell>
          <cell r="D33">
            <v>39.271609999999995</v>
          </cell>
        </row>
        <row r="34">
          <cell r="C34">
            <v>347.37734</v>
          </cell>
          <cell r="D34">
            <v>37.469163854269254</v>
          </cell>
        </row>
        <row r="37">
          <cell r="C37">
            <v>105.152</v>
          </cell>
          <cell r="D37">
            <v>105.152</v>
          </cell>
        </row>
        <row r="38">
          <cell r="C38">
            <v>75391.701939855528</v>
          </cell>
        </row>
      </sheetData>
      <sheetData sheetId="17">
        <row r="7">
          <cell r="H7">
            <v>1226961.2934498016</v>
          </cell>
        </row>
        <row r="37">
          <cell r="H37">
            <v>259649.32519727282</v>
          </cell>
          <cell r="N37">
            <v>222758</v>
          </cell>
        </row>
        <row r="52">
          <cell r="H52">
            <v>-43.56761750538795</v>
          </cell>
        </row>
        <row r="97">
          <cell r="D97">
            <v>8577.5572524374402</v>
          </cell>
          <cell r="E97">
            <v>32965.880230429932</v>
          </cell>
          <cell r="F97">
            <v>30185.452822796709</v>
          </cell>
          <cell r="G97">
            <v>1901.0866514436357</v>
          </cell>
          <cell r="H97">
            <v>160964.9654228923</v>
          </cell>
        </row>
      </sheetData>
      <sheetData sheetId="18">
        <row r="13">
          <cell r="E13">
            <v>121.04611</v>
          </cell>
          <cell r="F13">
            <v>3019.1112174934315</v>
          </cell>
          <cell r="G13">
            <v>2896.3954003927315</v>
          </cell>
          <cell r="I13">
            <v>1227.5523699999999</v>
          </cell>
          <cell r="J13">
            <v>3504.830942506569</v>
          </cell>
          <cell r="K13">
            <v>4727.3025996072683</v>
          </cell>
          <cell r="L13">
            <v>4952.6030300000002</v>
          </cell>
          <cell r="W13">
            <v>7149.5179640000024</v>
          </cell>
        </row>
        <row r="17">
          <cell r="E17">
            <v>23.735196701050437</v>
          </cell>
          <cell r="F17">
            <v>600.68807124729824</v>
          </cell>
          <cell r="G17">
            <v>129.19121205165129</v>
          </cell>
          <cell r="I17">
            <v>277.88073361396818</v>
          </cell>
          <cell r="J17">
            <v>485.48589880981922</v>
          </cell>
          <cell r="K17">
            <v>201.43303659653213</v>
          </cell>
        </row>
        <row r="21">
          <cell r="E21">
            <v>175.41909979548848</v>
          </cell>
          <cell r="F21">
            <v>5513.9727149011451</v>
          </cell>
          <cell r="G21">
            <v>2671.4184953033669</v>
          </cell>
          <cell r="I21">
            <v>1783.7029829725993</v>
          </cell>
          <cell r="J21">
            <v>4396.8419615078174</v>
          </cell>
          <cell r="K21">
            <v>4212.8273023331312</v>
          </cell>
        </row>
        <row r="22">
          <cell r="L22">
            <v>35.183409999999995</v>
          </cell>
        </row>
        <row r="23">
          <cell r="M23">
            <v>15308.025010000001</v>
          </cell>
        </row>
      </sheetData>
      <sheetData sheetId="19">
        <row r="14">
          <cell r="E14">
            <v>131.94003999999998</v>
          </cell>
          <cell r="H14">
            <v>131.94004000000001</v>
          </cell>
        </row>
        <row r="19">
          <cell r="E19">
            <v>248.70581999999999</v>
          </cell>
          <cell r="H19">
            <v>248.70582000000005</v>
          </cell>
        </row>
        <row r="24">
          <cell r="E24">
            <v>5564.0688200000004</v>
          </cell>
          <cell r="H24">
            <v>5564.0688200000004</v>
          </cell>
        </row>
        <row r="32">
          <cell r="E32">
            <v>1363.9384299999997</v>
          </cell>
          <cell r="H32">
            <v>1382.5066999999997</v>
          </cell>
        </row>
      </sheetData>
      <sheetData sheetId="20">
        <row r="18">
          <cell r="C18">
            <v>188633.77312999999</v>
          </cell>
          <cell r="D18">
            <v>79483.768573599998</v>
          </cell>
        </row>
      </sheetData>
      <sheetData sheetId="21">
        <row r="4">
          <cell r="L4">
            <v>1.03</v>
          </cell>
        </row>
        <row r="13">
          <cell r="C13">
            <v>14.141857735</v>
          </cell>
          <cell r="J13">
            <v>58555.921889664904</v>
          </cell>
        </row>
        <row r="34">
          <cell r="C34">
            <v>8.2875433300000001</v>
          </cell>
          <cell r="E34">
            <v>5641.974349713596</v>
          </cell>
        </row>
        <row r="49">
          <cell r="C49">
            <v>24.115981832387508</v>
          </cell>
          <cell r="J49">
            <v>107086.81207132108</v>
          </cell>
        </row>
        <row r="70">
          <cell r="C70">
            <v>9.0686999999999998</v>
          </cell>
        </row>
      </sheetData>
      <sheetData sheetId="22">
        <row r="9">
          <cell r="E9">
            <v>786.07366000000002</v>
          </cell>
          <cell r="H9">
            <v>1031.6018799335002</v>
          </cell>
          <cell r="K9">
            <v>1176.4958106264771</v>
          </cell>
        </row>
        <row r="25">
          <cell r="E25">
            <v>9247.5258300000005</v>
          </cell>
          <cell r="H25">
            <v>13116.770400000003</v>
          </cell>
        </row>
        <row r="33">
          <cell r="E33">
            <v>1528.0732647620002</v>
          </cell>
          <cell r="H33">
            <v>2567.8439706138624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"/>
      <sheetName val="4"/>
      <sheetName val="5"/>
      <sheetName val="6"/>
      <sheetName val="7"/>
      <sheetName val="8"/>
      <sheetName val="9"/>
      <sheetName val="10"/>
      <sheetName val="11"/>
      <sheetName val="12"/>
      <sheetName val="год "/>
      <sheetName val="2 кв"/>
      <sheetName val="3 кв"/>
      <sheetName val="6 мес."/>
      <sheetName val="9мес"/>
      <sheetName val="4 кв"/>
      <sheetName val="Лист1"/>
      <sheetName val="Лист2"/>
    </sheetNames>
    <sheetDataSet>
      <sheetData sheetId="0">
        <row r="55">
          <cell r="K55">
            <v>38735.14</v>
          </cell>
          <cell r="L55">
            <v>43157.69</v>
          </cell>
          <cell r="Q55">
            <v>20290.04</v>
          </cell>
          <cell r="R55">
            <v>21833.8</v>
          </cell>
          <cell r="W55">
            <v>194971.25</v>
          </cell>
          <cell r="X55">
            <v>213275.97</v>
          </cell>
          <cell r="AC55">
            <v>162202</v>
          </cell>
          <cell r="AD55">
            <v>179910</v>
          </cell>
        </row>
      </sheetData>
      <sheetData sheetId="1">
        <row r="83">
          <cell r="C83">
            <v>72647.369333130264</v>
          </cell>
        </row>
      </sheetData>
      <sheetData sheetId="2">
        <row r="83">
          <cell r="C83">
            <v>97423.244968004336</v>
          </cell>
        </row>
      </sheetData>
      <sheetData sheetId="3"/>
      <sheetData sheetId="4">
        <row r="83">
          <cell r="C83">
            <v>53237.400253356413</v>
          </cell>
        </row>
      </sheetData>
      <sheetData sheetId="5">
        <row r="83">
          <cell r="C83">
            <v>65138.674598247897</v>
          </cell>
        </row>
      </sheetData>
      <sheetData sheetId="6">
        <row r="83">
          <cell r="C83">
            <v>52588.941921630591</v>
          </cell>
        </row>
      </sheetData>
      <sheetData sheetId="7">
        <row r="83">
          <cell r="C83">
            <v>62009.918861374681</v>
          </cell>
        </row>
      </sheetData>
      <sheetData sheetId="8">
        <row r="83">
          <cell r="C83">
            <v>58962.075494487122</v>
          </cell>
        </row>
      </sheetData>
      <sheetData sheetId="9">
        <row r="83">
          <cell r="C83">
            <v>71316.455728793837</v>
          </cell>
        </row>
      </sheetData>
      <sheetData sheetId="10">
        <row r="17">
          <cell r="I17">
            <v>1785.6</v>
          </cell>
        </row>
      </sheetData>
      <sheetData sheetId="11">
        <row r="17">
          <cell r="I17">
            <v>3960</v>
          </cell>
        </row>
      </sheetData>
      <sheetData sheetId="12">
        <row r="17">
          <cell r="I17">
            <v>4612.8</v>
          </cell>
        </row>
      </sheetData>
      <sheetData sheetId="13">
        <row r="17">
          <cell r="I17">
            <v>26527.766000000003</v>
          </cell>
        </row>
        <row r="44">
          <cell r="K44">
            <v>924.84399999999994</v>
          </cell>
        </row>
        <row r="45">
          <cell r="K45">
            <v>2769.3220000000001</v>
          </cell>
        </row>
      </sheetData>
      <sheetData sheetId="14"/>
      <sheetData sheetId="15"/>
      <sheetData sheetId="16">
        <row r="55">
          <cell r="K55">
            <v>141695.33000000002</v>
          </cell>
          <cell r="Q55">
            <v>53625.37</v>
          </cell>
          <cell r="W55">
            <v>759409.19</v>
          </cell>
          <cell r="AC55">
            <v>644803</v>
          </cell>
        </row>
      </sheetData>
      <sheetData sheetId="17"/>
      <sheetData sheetId="18">
        <row r="153">
          <cell r="U153">
            <v>8050</v>
          </cell>
        </row>
      </sheetData>
      <sheetData sheetId="19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ариант 1 с БМГПУ"/>
      <sheetName val="Вариант 2 без БМГПУ "/>
      <sheetName val="Вариант 3 без БМГПУ "/>
      <sheetName val="Вариант 3 без БМГПУ БМК 70 "/>
      <sheetName val="БМК-30,8 МВт Левый Берег 1 вар"/>
      <sheetName val="БМК-30,8 МВт правый Берег 1  ва"/>
      <sheetName val="БМК-30,8 МВт пр.+лев Берег "/>
      <sheetName val="БМК-30,8 МВт Левый берег окупае"/>
      <sheetName val="БМК-30,8 МВт Правый Берег"/>
      <sheetName val="БМК-30,8 МВт Правый берег окупа"/>
      <sheetName val="Две БМК-30,8 МВт"/>
      <sheetName val="Две БМК-30,8 МВт Окупаемость"/>
      <sheetName val="база для расчета"/>
      <sheetName val="расчет эффективности ДЗО"/>
      <sheetName val="расчет эффективности ГТЭ"/>
      <sheetName val="вспомогательные расчеты"/>
      <sheetName val="ТЭЦ 3"/>
      <sheetName val="СВОД 1 В СВОД"/>
      <sheetName val="Лист4"/>
      <sheetName val="сравнение с ГИГ"/>
      <sheetName val="СВОД 2 В СВОД (2)"/>
      <sheetName val="СВОД 3 В СВОД (3)"/>
      <sheetName val="СВОД 4 В СВОД (4)"/>
      <sheetName val="план производства свод"/>
      <sheetName val="аренда"/>
      <sheetName val="инвестиции свод"/>
      <sheetName val="снижение ИК"/>
      <sheetName val="показатели"/>
      <sheetName val="дефляторы"/>
      <sheetName val="свод + 130 МВт "/>
      <sheetName val="свод max - 130 мвт"/>
      <sheetName val="штатное расписание"/>
      <sheetName val="факт штатное расписание"/>
      <sheetName val="план капстр. гтэ"/>
      <sheetName val="сведения об объектах"/>
      <sheetName val="амортизация факт"/>
      <sheetName val="Лист9"/>
      <sheetName val="ИП"/>
      <sheetName val="расчет ТО"/>
      <sheetName val="пиковая котельная"/>
      <sheetName val="Лист1"/>
      <sheetName val="ТЭЦ-1"/>
      <sheetName val="ТЭЦ-3"/>
      <sheetName val="ТЭЦ-4-ПГУ"/>
      <sheetName val="Кот."/>
      <sheetName val="Сах."/>
      <sheetName val="Сети"/>
      <sheetName val="СВОД"/>
      <sheetName val="ВНИИСВ"/>
      <sheetName val="Перспект.кот."/>
      <sheetName val="ТЭЦ-4 ТЭЦ"/>
      <sheetName val="График ТО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85">
          <cell r="G85">
            <v>73</v>
          </cell>
        </row>
        <row r="87">
          <cell r="G87">
            <v>37</v>
          </cell>
        </row>
        <row r="88">
          <cell r="G88">
            <v>68</v>
          </cell>
        </row>
        <row r="90">
          <cell r="G90">
            <v>60</v>
          </cell>
        </row>
        <row r="92">
          <cell r="G92">
            <v>133</v>
          </cell>
        </row>
        <row r="93">
          <cell r="G93">
            <v>37</v>
          </cell>
        </row>
        <row r="96">
          <cell r="G96">
            <v>80.367999999999995</v>
          </cell>
        </row>
        <row r="97">
          <cell r="G97">
            <v>58.673000000000002</v>
          </cell>
        </row>
      </sheetData>
      <sheetData sheetId="42">
        <row r="85">
          <cell r="G85">
            <v>0</v>
          </cell>
        </row>
        <row r="86">
          <cell r="G86">
            <v>314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год"/>
      <sheetName val="1 кв"/>
      <sheetName val="2 кв"/>
      <sheetName val="6 мес"/>
      <sheetName val="3 кв"/>
      <sheetName val="9мес"/>
      <sheetName val="4 кв"/>
      <sheetName val="АРМ"/>
      <sheetName val="Лист2"/>
    </sheetNames>
    <sheetDataSet>
      <sheetData sheetId="0">
        <row r="55">
          <cell r="K55">
            <v>39463.67</v>
          </cell>
          <cell r="Q55">
            <v>19401.62</v>
          </cell>
          <cell r="W55">
            <v>162209.10999999999</v>
          </cell>
          <cell r="AC55">
            <v>139631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"/>
      <sheetName val="4"/>
      <sheetName val="5"/>
      <sheetName val="6"/>
      <sheetName val="2 кв"/>
      <sheetName val="6 мес"/>
      <sheetName val="7"/>
      <sheetName val="8"/>
      <sheetName val="9"/>
      <sheetName val="3 кв"/>
      <sheetName val="9 мес"/>
      <sheetName val="10"/>
      <sheetName val="11"/>
      <sheetName val="12"/>
      <sheetName val="4 кв"/>
      <sheetName val="ГОД"/>
      <sheetName val="янв"/>
      <sheetName val="фев"/>
      <sheetName val="мар"/>
      <sheetName val="апр"/>
      <sheetName val="май"/>
      <sheetName val="июн"/>
      <sheetName val="июл"/>
      <sheetName val="авг"/>
      <sheetName val="сен"/>
      <sheetName val="окт"/>
      <sheetName val="ноя"/>
      <sheetName val="де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8">
          <cell r="E8">
            <v>5196289.9560200004</v>
          </cell>
        </row>
        <row r="12">
          <cell r="L12">
            <v>118.99545217965053</v>
          </cell>
          <cell r="S12">
            <v>119.59686605212676</v>
          </cell>
          <cell r="Z12">
            <v>124.73405359011068</v>
          </cell>
        </row>
        <row r="15">
          <cell r="S15">
            <v>46.549416666666659</v>
          </cell>
          <cell r="Z15">
            <v>19.44991666666667</v>
          </cell>
        </row>
        <row r="16">
          <cell r="S16">
            <v>130440.81553116493</v>
          </cell>
          <cell r="Z16">
            <v>162568.40843362649</v>
          </cell>
        </row>
        <row r="18">
          <cell r="S18">
            <v>99.071333333333328</v>
          </cell>
          <cell r="Z18">
            <v>38.405666666666662</v>
          </cell>
        </row>
        <row r="19">
          <cell r="L19">
            <v>129230.14983892316</v>
          </cell>
          <cell r="S19">
            <v>116373.44600187073</v>
          </cell>
          <cell r="Z19">
            <v>119267.98766675057</v>
          </cell>
        </row>
        <row r="22">
          <cell r="E22">
            <v>893.94310630510074</v>
          </cell>
          <cell r="L22">
            <v>891.40301952264429</v>
          </cell>
        </row>
        <row r="25">
          <cell r="E25">
            <v>543.54475533856294</v>
          </cell>
        </row>
        <row r="28">
          <cell r="L28">
            <v>1983.2677999999999</v>
          </cell>
        </row>
        <row r="29">
          <cell r="Z29">
            <v>1659.9284799999998</v>
          </cell>
        </row>
        <row r="31">
          <cell r="L31">
            <v>1071.23245</v>
          </cell>
        </row>
        <row r="33">
          <cell r="L33">
            <v>523.18910999999991</v>
          </cell>
          <cell r="S33">
            <v>4890.6845000000003</v>
          </cell>
          <cell r="Z33">
            <v>471.54854</v>
          </cell>
        </row>
        <row r="35">
          <cell r="Z35">
            <v>238.41189000000003</v>
          </cell>
        </row>
        <row r="36">
          <cell r="Z36">
            <v>105.14757</v>
          </cell>
        </row>
        <row r="37">
          <cell r="Z37">
            <v>105.28380000000001</v>
          </cell>
        </row>
        <row r="38">
          <cell r="Z38">
            <v>2514.39732</v>
          </cell>
        </row>
        <row r="39">
          <cell r="S39">
            <v>2462.4087500000001</v>
          </cell>
          <cell r="Z39">
            <v>1648.1152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"/>
      <sheetName val="апр"/>
      <sheetName val="май"/>
      <sheetName val="июн"/>
      <sheetName val="2 кв"/>
      <sheetName val="6 мес"/>
      <sheetName val="июл"/>
      <sheetName val="авг"/>
      <sheetName val="сен"/>
      <sheetName val="3 кв"/>
      <sheetName val="9 мес"/>
      <sheetName val="окт"/>
      <sheetName val="ноя"/>
      <sheetName val="дек"/>
      <sheetName val="4 кв"/>
      <sheetName val="ГО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2">
          <cell r="J12">
            <v>120.50791085144336</v>
          </cell>
          <cell r="X12">
            <v>125.16154416516872</v>
          </cell>
        </row>
        <row r="15">
          <cell r="Q15">
            <v>46.587249999999997</v>
          </cell>
          <cell r="X15">
            <v>19.308500000000002</v>
          </cell>
        </row>
        <row r="16">
          <cell r="Q16">
            <v>135740.52879274907</v>
          </cell>
          <cell r="X16">
            <v>169501.30430466717</v>
          </cell>
        </row>
        <row r="18">
          <cell r="Q18">
            <v>104.56591666666667</v>
          </cell>
          <cell r="X18">
            <v>43.190583333333343</v>
          </cell>
        </row>
        <row r="19">
          <cell r="J19">
            <v>133495.08264229706</v>
          </cell>
          <cell r="Q19">
            <v>119026.28028890866</v>
          </cell>
          <cell r="X19">
            <v>122582.13736790618</v>
          </cell>
        </row>
        <row r="22">
          <cell r="C22">
            <v>945.85881492310978</v>
          </cell>
          <cell r="J22">
            <v>977.58454786238337</v>
          </cell>
        </row>
        <row r="25">
          <cell r="C25">
            <v>523.2829897992342</v>
          </cell>
        </row>
        <row r="51">
          <cell r="J51">
            <v>13563</v>
          </cell>
          <cell r="Q51">
            <v>62956</v>
          </cell>
          <cell r="AE51">
            <v>6517</v>
          </cell>
          <cell r="AL51">
            <v>69129</v>
          </cell>
        </row>
        <row r="64">
          <cell r="J64">
            <v>112</v>
          </cell>
          <cell r="Q64">
            <v>515</v>
          </cell>
          <cell r="AE64">
            <v>87</v>
          </cell>
          <cell r="AL64">
            <v>73195</v>
          </cell>
        </row>
        <row r="65">
          <cell r="J65">
            <v>4825</v>
          </cell>
          <cell r="Q65">
            <v>52582</v>
          </cell>
          <cell r="AE65">
            <v>3072</v>
          </cell>
          <cell r="AL65">
            <v>850</v>
          </cell>
        </row>
        <row r="108">
          <cell r="J108">
            <v>1532.7561900000001</v>
          </cell>
          <cell r="Q108">
            <v>24258.234079999998</v>
          </cell>
          <cell r="X108">
            <v>12504.82598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пч1-СPI баз"/>
    </sheetNames>
    <sheetDataSet>
      <sheetData sheetId="0">
        <row r="5">
          <cell r="K5">
            <v>103.85113807510544</v>
          </cell>
          <cell r="M5">
            <v>104.00565607014261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ул"/>
      <sheetName val="3.1.Инф"/>
      <sheetName val="4.1.РчПО_ТЭ"/>
      <sheetName val="4.2.РчПО_ТН"/>
      <sheetName val="4.3.СтрПО_ТЭ"/>
      <sheetName val="4.4.Р_топл"/>
      <sheetName val="+Лок.кот."/>
      <sheetName val="+Газ"/>
      <sheetName val="4.12.Инв"/>
      <sheetName val="5.1.Опер_i0"/>
      <sheetName val="5.2.Опер_i1"/>
      <sheetName val="+УЕ"/>
      <sheetName val="5.3.Неконтр."/>
      <sheetName val="+Ам"/>
      <sheetName val="5.4.ЭРВ"/>
      <sheetName val="+Пок_ЭЭ,ТЭ"/>
      <sheetName val="+Вснаб"/>
      <sheetName val="5.9.Рч_НВВ"/>
      <sheetName val="+ВД"/>
      <sheetName val="6.1.Тф_ист"/>
      <sheetName val="6.2.Тф_пер"/>
      <sheetName val="6.4.Рч_тф"/>
      <sheetName val="+ТАРИФЫ"/>
      <sheetName val="+СВОД"/>
      <sheetName val="+НУР"/>
    </sheetNames>
    <sheetDataSet>
      <sheetData sheetId="0"/>
      <sheetData sheetId="1"/>
      <sheetData sheetId="2">
        <row r="42">
          <cell r="S42">
            <v>3601.4125416495499</v>
          </cell>
        </row>
        <row r="64">
          <cell r="S64">
            <v>2904.1491886730619</v>
          </cell>
        </row>
      </sheetData>
      <sheetData sheetId="3"/>
      <sheetData sheetId="4">
        <row r="14">
          <cell r="M14">
            <v>1846.19099126894</v>
          </cell>
        </row>
      </sheetData>
      <sheetData sheetId="5">
        <row r="25">
          <cell r="W25">
            <v>158.69999999999999</v>
          </cell>
        </row>
      </sheetData>
      <sheetData sheetId="6">
        <row r="11">
          <cell r="E11">
            <v>161</v>
          </cell>
        </row>
      </sheetData>
      <sheetData sheetId="7">
        <row r="10">
          <cell r="G10">
            <v>643.6</v>
          </cell>
        </row>
      </sheetData>
      <sheetData sheetId="8"/>
      <sheetData sheetId="9"/>
      <sheetData sheetId="10">
        <row r="11">
          <cell r="F11">
            <v>556736.6446296894</v>
          </cell>
        </row>
      </sheetData>
      <sheetData sheetId="11"/>
      <sheetData sheetId="12">
        <row r="8">
          <cell r="L8">
            <v>8755.3519113836337</v>
          </cell>
        </row>
      </sheetData>
      <sheetData sheetId="13"/>
      <sheetData sheetId="14">
        <row r="5">
          <cell r="L5">
            <v>2237425.5342569919</v>
          </cell>
        </row>
        <row r="18">
          <cell r="L18">
            <v>76662.269950892558</v>
          </cell>
        </row>
      </sheetData>
      <sheetData sheetId="15">
        <row r="59">
          <cell r="C59">
            <v>41.234554080456498</v>
          </cell>
        </row>
      </sheetData>
      <sheetData sheetId="16">
        <row r="6">
          <cell r="I6">
            <v>77172.407898099977</v>
          </cell>
        </row>
      </sheetData>
      <sheetData sheetId="17">
        <row r="6">
          <cell r="L6">
            <v>556736.6446296894</v>
          </cell>
        </row>
      </sheetData>
      <sheetData sheetId="18">
        <row r="5">
          <cell r="G5">
            <v>2148.3202820462998</v>
          </cell>
        </row>
      </sheetData>
      <sheetData sheetId="19"/>
      <sheetData sheetId="20"/>
      <sheetData sheetId="21">
        <row r="8">
          <cell r="C8">
            <v>977.61435919634869</v>
          </cell>
        </row>
        <row r="21">
          <cell r="C21">
            <v>1494.3340947457748</v>
          </cell>
        </row>
      </sheetData>
      <sheetData sheetId="22"/>
      <sheetData sheetId="23"/>
      <sheetData sheetId="2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.4.Амортизация"/>
      <sheetName val="Пр.5.Тариф"/>
      <sheetName val="Износ"/>
      <sheetName val="Налог на имущество"/>
    </sheetNames>
    <sheetDataSet>
      <sheetData sheetId="0">
        <row r="5">
          <cell r="F5">
            <v>1090576.5794189691</v>
          </cell>
        </row>
        <row r="7">
          <cell r="F7">
            <v>5726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F8">
            <v>0</v>
          </cell>
          <cell r="G8">
            <v>0</v>
          </cell>
          <cell r="H8">
            <v>8448</v>
          </cell>
          <cell r="I8">
            <v>0</v>
          </cell>
          <cell r="J8">
            <v>9103</v>
          </cell>
        </row>
        <row r="9">
          <cell r="F9">
            <v>4553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F10">
            <v>0</v>
          </cell>
          <cell r="G10">
            <v>0</v>
          </cell>
          <cell r="H10">
            <v>18982</v>
          </cell>
          <cell r="I10">
            <v>27532</v>
          </cell>
          <cell r="J10">
            <v>0</v>
          </cell>
        </row>
        <row r="11">
          <cell r="F11">
            <v>0</v>
          </cell>
          <cell r="G11">
            <v>14924</v>
          </cell>
          <cell r="H11">
            <v>0</v>
          </cell>
          <cell r="I11">
            <v>0</v>
          </cell>
          <cell r="J11">
            <v>0</v>
          </cell>
        </row>
        <row r="13">
          <cell r="F13">
            <v>10588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F14">
            <v>1496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F15">
            <v>5006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F16">
            <v>0</v>
          </cell>
          <cell r="G16">
            <v>45657</v>
          </cell>
          <cell r="H16">
            <v>0</v>
          </cell>
          <cell r="I16">
            <v>0</v>
          </cell>
          <cell r="J16">
            <v>0</v>
          </cell>
        </row>
        <row r="17">
          <cell r="F17">
            <v>0</v>
          </cell>
          <cell r="G17">
            <v>0</v>
          </cell>
          <cell r="H17">
            <v>4589</v>
          </cell>
          <cell r="I17">
            <v>0</v>
          </cell>
          <cell r="J17">
            <v>0</v>
          </cell>
        </row>
        <row r="18">
          <cell r="F18">
            <v>2009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F19">
            <v>2000</v>
          </cell>
          <cell r="G19">
            <v>2000</v>
          </cell>
          <cell r="H19">
            <v>4000</v>
          </cell>
          <cell r="I19">
            <v>2000</v>
          </cell>
          <cell r="J19">
            <v>0</v>
          </cell>
        </row>
        <row r="21">
          <cell r="F21">
            <v>40177</v>
          </cell>
          <cell r="G21">
            <v>30000</v>
          </cell>
          <cell r="H21">
            <v>13500</v>
          </cell>
          <cell r="I21">
            <v>0</v>
          </cell>
          <cell r="J21">
            <v>0</v>
          </cell>
        </row>
        <row r="22">
          <cell r="F22">
            <v>0</v>
          </cell>
          <cell r="G22">
            <v>0</v>
          </cell>
          <cell r="H22">
            <v>0</v>
          </cell>
          <cell r="I22">
            <v>9388</v>
          </cell>
          <cell r="J22">
            <v>23836</v>
          </cell>
        </row>
        <row r="23">
          <cell r="F23">
            <v>3354.8698167791708</v>
          </cell>
          <cell r="G23">
            <v>9739</v>
          </cell>
          <cell r="H23">
            <v>0</v>
          </cell>
          <cell r="I23">
            <v>0</v>
          </cell>
          <cell r="J23">
            <v>25715</v>
          </cell>
        </row>
        <row r="24">
          <cell r="F24">
            <v>0</v>
          </cell>
          <cell r="G24">
            <v>0</v>
          </cell>
          <cell r="H24">
            <v>12899</v>
          </cell>
          <cell r="I24">
            <v>0</v>
          </cell>
          <cell r="J24">
            <v>0</v>
          </cell>
        </row>
        <row r="25">
          <cell r="F25">
            <v>0</v>
          </cell>
          <cell r="G25">
            <v>1091</v>
          </cell>
          <cell r="H25">
            <v>0</v>
          </cell>
          <cell r="I25">
            <v>0</v>
          </cell>
          <cell r="J25">
            <v>0</v>
          </cell>
        </row>
        <row r="26">
          <cell r="F26">
            <v>18550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F27">
            <v>0</v>
          </cell>
          <cell r="G27">
            <v>0</v>
          </cell>
          <cell r="H27">
            <v>0</v>
          </cell>
          <cell r="I27">
            <v>14496</v>
          </cell>
          <cell r="J27">
            <v>0</v>
          </cell>
        </row>
        <row r="28"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28377</v>
          </cell>
        </row>
        <row r="29"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37443</v>
          </cell>
        </row>
        <row r="30">
          <cell r="F30">
            <v>0</v>
          </cell>
          <cell r="G30">
            <v>0</v>
          </cell>
          <cell r="H30">
            <v>3745.6647398843929</v>
          </cell>
          <cell r="I30">
            <v>0</v>
          </cell>
          <cell r="J30">
            <v>0</v>
          </cell>
        </row>
        <row r="31">
          <cell r="F31">
            <v>0</v>
          </cell>
          <cell r="G31">
            <v>0</v>
          </cell>
          <cell r="H31">
            <v>28298</v>
          </cell>
          <cell r="I31">
            <v>9931</v>
          </cell>
          <cell r="J31">
            <v>0</v>
          </cell>
        </row>
        <row r="33">
          <cell r="F33">
            <v>0</v>
          </cell>
          <cell r="G33">
            <v>6387</v>
          </cell>
          <cell r="H33">
            <v>13638</v>
          </cell>
          <cell r="I33">
            <v>43847</v>
          </cell>
          <cell r="J33">
            <v>0</v>
          </cell>
        </row>
        <row r="34">
          <cell r="F34">
            <v>5270</v>
          </cell>
          <cell r="G34">
            <v>10309</v>
          </cell>
          <cell r="H34">
            <v>0</v>
          </cell>
          <cell r="I34">
            <v>0</v>
          </cell>
          <cell r="J34">
            <v>0</v>
          </cell>
        </row>
        <row r="35">
          <cell r="F35">
            <v>0</v>
          </cell>
          <cell r="G35">
            <v>0</v>
          </cell>
          <cell r="H35">
            <v>34036</v>
          </cell>
          <cell r="I35">
            <v>42240</v>
          </cell>
          <cell r="J35">
            <v>0</v>
          </cell>
        </row>
        <row r="36">
          <cell r="F36">
            <v>1398</v>
          </cell>
          <cell r="G36">
            <v>5700</v>
          </cell>
          <cell r="H36">
            <v>0</v>
          </cell>
          <cell r="I36">
            <v>0</v>
          </cell>
          <cell r="J36">
            <v>0</v>
          </cell>
        </row>
        <row r="37">
          <cell r="F37">
            <v>2896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F38">
            <v>0</v>
          </cell>
          <cell r="G38">
            <v>3414</v>
          </cell>
          <cell r="H38">
            <v>0</v>
          </cell>
          <cell r="I38">
            <v>0</v>
          </cell>
          <cell r="J38">
            <v>3819</v>
          </cell>
        </row>
        <row r="39">
          <cell r="F39">
            <v>0</v>
          </cell>
          <cell r="G39">
            <v>0</v>
          </cell>
          <cell r="H39">
            <v>1299</v>
          </cell>
          <cell r="I39">
            <v>0</v>
          </cell>
          <cell r="J39">
            <v>0</v>
          </cell>
        </row>
        <row r="40">
          <cell r="F40">
            <v>1581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</row>
        <row r="41">
          <cell r="F41">
            <v>1581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F42">
            <v>1054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F43">
            <v>1054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F44">
            <v>1054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F45">
            <v>0</v>
          </cell>
          <cell r="G45">
            <v>1093</v>
          </cell>
          <cell r="H45">
            <v>0</v>
          </cell>
          <cell r="I45">
            <v>0</v>
          </cell>
          <cell r="J45">
            <v>0</v>
          </cell>
        </row>
        <row r="46">
          <cell r="F46">
            <v>0</v>
          </cell>
          <cell r="G46">
            <v>1093</v>
          </cell>
          <cell r="H46">
            <v>0</v>
          </cell>
          <cell r="I46">
            <v>0</v>
          </cell>
          <cell r="J46">
            <v>0</v>
          </cell>
        </row>
        <row r="47">
          <cell r="F47">
            <v>0</v>
          </cell>
          <cell r="G47">
            <v>19660</v>
          </cell>
          <cell r="H47">
            <v>0</v>
          </cell>
          <cell r="I47">
            <v>0</v>
          </cell>
          <cell r="J47">
            <v>0</v>
          </cell>
        </row>
        <row r="48"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587</v>
          </cell>
        </row>
        <row r="49">
          <cell r="F49">
            <v>0</v>
          </cell>
          <cell r="G49">
            <v>11000</v>
          </cell>
          <cell r="H49">
            <v>0</v>
          </cell>
          <cell r="I49">
            <v>0</v>
          </cell>
          <cell r="J49">
            <v>0</v>
          </cell>
        </row>
        <row r="50">
          <cell r="F50">
            <v>0</v>
          </cell>
          <cell r="G50">
            <v>1784</v>
          </cell>
          <cell r="H50">
            <v>0</v>
          </cell>
          <cell r="I50">
            <v>0</v>
          </cell>
          <cell r="J50">
            <v>0</v>
          </cell>
        </row>
        <row r="51">
          <cell r="F51">
            <v>0</v>
          </cell>
          <cell r="G51">
            <v>0</v>
          </cell>
          <cell r="H51">
            <v>0</v>
          </cell>
          <cell r="I51">
            <v>5888.2466281310208</v>
          </cell>
          <cell r="J51">
            <v>0</v>
          </cell>
        </row>
        <row r="52">
          <cell r="F52">
            <v>546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</row>
        <row r="53">
          <cell r="F53">
            <v>0</v>
          </cell>
          <cell r="G53">
            <v>19073</v>
          </cell>
          <cell r="H53">
            <v>0</v>
          </cell>
          <cell r="I53">
            <v>0</v>
          </cell>
          <cell r="J53">
            <v>0</v>
          </cell>
        </row>
        <row r="55">
          <cell r="F55">
            <v>168059.65401273611</v>
          </cell>
          <cell r="G55">
            <v>314138.28236416762</v>
          </cell>
          <cell r="H55">
            <v>425667.12915411836</v>
          </cell>
          <cell r="I55">
            <v>451286.61151640443</v>
          </cell>
          <cell r="J55">
            <v>578322.6443210264</v>
          </cell>
        </row>
        <row r="56">
          <cell r="F56">
            <v>29298.787504709733</v>
          </cell>
          <cell r="G56">
            <v>29913.856164430475</v>
          </cell>
          <cell r="H56">
            <v>24643.767102441783</v>
          </cell>
          <cell r="I56">
            <v>20038.793937328213</v>
          </cell>
          <cell r="J56">
            <v>56070.141854579422</v>
          </cell>
        </row>
        <row r="57">
          <cell r="F57">
            <v>134523.95251974405</v>
          </cell>
          <cell r="G57">
            <v>139922.83239823752</v>
          </cell>
          <cell r="H57">
            <v>150456.71108386022</v>
          </cell>
          <cell r="I57">
            <v>165267.86220396336</v>
          </cell>
          <cell r="J57">
            <v>105149.54083393466</v>
          </cell>
        </row>
        <row r="58">
          <cell r="F58">
            <v>300123.68660815671</v>
          </cell>
          <cell r="G58">
            <v>37613.541102420291</v>
          </cell>
          <cell r="H58">
            <v>39023.633201533223</v>
          </cell>
          <cell r="I58">
            <v>21165.51157186467</v>
          </cell>
          <cell r="J58">
            <v>0</v>
          </cell>
        </row>
        <row r="59">
          <cell r="F59">
            <v>55177.560964504548</v>
          </cell>
          <cell r="G59">
            <v>58101.378891613116</v>
          </cell>
          <cell r="H59">
            <v>55249.329485696406</v>
          </cell>
          <cell r="I59">
            <v>53149.551346511129</v>
          </cell>
          <cell r="J59">
            <v>56806.917886109833</v>
          </cell>
        </row>
        <row r="60">
          <cell r="F60">
            <v>55362.286795200002</v>
          </cell>
          <cell r="G60">
            <v>56447.633271554587</v>
          </cell>
          <cell r="H60">
            <v>55335.704988640173</v>
          </cell>
          <cell r="I60">
            <v>56099.569895266584</v>
          </cell>
          <cell r="J60">
            <v>55747.140079379205</v>
          </cell>
        </row>
        <row r="61">
          <cell r="F61">
            <v>15487.547457627121</v>
          </cell>
          <cell r="G61">
            <v>5766.9538542372884</v>
          </cell>
          <cell r="H61">
            <v>5986.0981006983056</v>
          </cell>
          <cell r="I61">
            <v>6213.5698285248409</v>
          </cell>
          <cell r="J61">
            <v>0</v>
          </cell>
        </row>
        <row r="62">
          <cell r="F62">
            <v>11142.887999999999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</row>
        <row r="63">
          <cell r="F63">
            <v>0</v>
          </cell>
          <cell r="G63">
            <v>12231.26316368366</v>
          </cell>
          <cell r="H63">
            <v>0</v>
          </cell>
          <cell r="I63">
            <v>12267.98241459298</v>
          </cell>
          <cell r="J63">
            <v>0</v>
          </cell>
        </row>
        <row r="64">
          <cell r="F64">
            <v>8874.37392894</v>
          </cell>
          <cell r="G64">
            <v>0</v>
          </cell>
          <cell r="H64">
            <v>12598.0747454715</v>
          </cell>
          <cell r="I64">
            <v>0</v>
          </cell>
          <cell r="J64">
            <v>0</v>
          </cell>
        </row>
        <row r="65">
          <cell r="F65">
            <v>14819.59973153584</v>
          </cell>
          <cell r="G65">
            <v>15367.924921602666</v>
          </cell>
          <cell r="H65">
            <v>15951.906068623568</v>
          </cell>
          <cell r="I65">
            <v>16558.078499231266</v>
          </cell>
          <cell r="J65">
            <v>17187.285482202053</v>
          </cell>
        </row>
        <row r="66">
          <cell r="F66">
            <v>17390.897019575259</v>
          </cell>
          <cell r="G66">
            <v>18034.360209299542</v>
          </cell>
          <cell r="H66">
            <v>18719.665897252926</v>
          </cell>
          <cell r="I66">
            <v>19431.013201348538</v>
          </cell>
          <cell r="J66">
            <v>20169.391702999783</v>
          </cell>
        </row>
        <row r="67">
          <cell r="F67">
            <v>5447.5568400000002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</row>
        <row r="68">
          <cell r="F68">
            <v>120230.04982400054</v>
          </cell>
          <cell r="G68">
            <v>118677.84853476915</v>
          </cell>
          <cell r="H68">
            <v>0</v>
          </cell>
          <cell r="I68">
            <v>0</v>
          </cell>
          <cell r="J68">
            <v>0</v>
          </cell>
        </row>
        <row r="69">
          <cell r="F69">
            <v>2605.3643868799995</v>
          </cell>
          <cell r="G69">
            <v>3377.2035864931991</v>
          </cell>
          <cell r="H69">
            <v>2804.429858223953</v>
          </cell>
          <cell r="I69">
            <v>3638.747741045579</v>
          </cell>
          <cell r="J69">
            <v>0</v>
          </cell>
        </row>
        <row r="70">
          <cell r="F70">
            <v>4019.9560000000001</v>
          </cell>
          <cell r="G70">
            <v>14314.994806000001</v>
          </cell>
          <cell r="H70">
            <v>22802.0495149368</v>
          </cell>
          <cell r="I70">
            <v>35444.968767624407</v>
          </cell>
          <cell r="J70">
            <v>0</v>
          </cell>
        </row>
        <row r="71">
          <cell r="F71">
            <v>23118.548008579997</v>
          </cell>
          <cell r="G71">
            <v>20348.486402238999</v>
          </cell>
          <cell r="H71">
            <v>14133.822550420156</v>
          </cell>
          <cell r="I71">
            <v>0</v>
          </cell>
          <cell r="J71">
            <v>0</v>
          </cell>
        </row>
        <row r="73">
          <cell r="F73">
            <v>9297</v>
          </cell>
          <cell r="G73">
            <v>14014</v>
          </cell>
          <cell r="H73">
            <v>17000</v>
          </cell>
          <cell r="I73">
            <v>14150</v>
          </cell>
          <cell r="J73">
            <v>14118</v>
          </cell>
        </row>
        <row r="74">
          <cell r="F74">
            <v>5703</v>
          </cell>
          <cell r="G74">
            <v>986</v>
          </cell>
          <cell r="H74">
            <v>0</v>
          </cell>
          <cell r="I74">
            <v>850</v>
          </cell>
          <cell r="J74">
            <v>822</v>
          </cell>
        </row>
      </sheetData>
      <sheetData sheetId="1"/>
      <sheetData sheetId="2"/>
      <sheetData sheetId="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ЭЦ-1"/>
      <sheetName val="Налог на имущество"/>
      <sheetName val="Лист3"/>
    </sheetNames>
    <sheetDataSet>
      <sheetData sheetId="0">
        <row r="216">
          <cell r="O216">
            <v>96394211.569999993</v>
          </cell>
          <cell r="P216">
            <v>24299081.530000001</v>
          </cell>
        </row>
      </sheetData>
      <sheetData sheetId="1">
        <row r="77">
          <cell r="G77">
            <v>57515489</v>
          </cell>
        </row>
        <row r="78">
          <cell r="D78">
            <v>1540766.1580000001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ул"/>
      <sheetName val="3.1.Инф"/>
      <sheetName val="4.1.РчПО_ТЭ"/>
      <sheetName val="4.2.РчПО_ТН"/>
      <sheetName val="4.3.СтрПО_ТЭ"/>
      <sheetName val="4.4.Р_топл"/>
      <sheetName val="+Газ"/>
      <sheetName val="4.12.Инв"/>
      <sheetName val="5.1.Опер_i0"/>
      <sheetName val="5.2.Опер_i1"/>
      <sheetName val="+УЕ"/>
      <sheetName val="5.3.Неконтр."/>
      <sheetName val="+Ам"/>
      <sheetName val="5.4.ЭРВ"/>
      <sheetName val="+Пок_ЭЭ,ТЭ"/>
      <sheetName val="+Вснаб"/>
      <sheetName val="5.9.Рч_НВВ"/>
      <sheetName val="+ВД"/>
      <sheetName val="6.1.Тф_ист"/>
      <sheetName val="6.2.Тф_пер"/>
      <sheetName val="6.4.Рч_тф"/>
      <sheetName val="+ТАРИФЫ"/>
      <sheetName val="+СВОД"/>
      <sheetName val="+НУР"/>
    </sheetNames>
    <sheetDataSet>
      <sheetData sheetId="0" refreshError="1"/>
      <sheetData sheetId="1" refreshError="1"/>
      <sheetData sheetId="2">
        <row r="14">
          <cell r="C14">
            <v>124.20244899999999</v>
          </cell>
        </row>
      </sheetData>
      <sheetData sheetId="3">
        <row r="19">
          <cell r="D19">
            <v>1415.9161700000002</v>
          </cell>
        </row>
      </sheetData>
      <sheetData sheetId="4" refreshError="1"/>
      <sheetData sheetId="5">
        <row r="5">
          <cell r="E5">
            <v>30.505891999999999</v>
          </cell>
        </row>
        <row r="49">
          <cell r="E49">
            <v>1.1647142857142858</v>
          </cell>
        </row>
      </sheetData>
      <sheetData sheetId="6" refreshError="1"/>
      <sheetData sheetId="7" refreshError="1"/>
      <sheetData sheetId="8">
        <row r="19">
          <cell r="B19" t="str">
            <v>Арендная плата</v>
          </cell>
        </row>
      </sheetData>
      <sheetData sheetId="9" refreshError="1"/>
      <sheetData sheetId="10" refreshError="1"/>
      <sheetData sheetId="11">
        <row r="9">
          <cell r="K9">
            <v>178</v>
          </cell>
        </row>
      </sheetData>
      <sheetData sheetId="12">
        <row r="7">
          <cell r="H7">
            <v>883960.27511571406</v>
          </cell>
        </row>
      </sheetData>
      <sheetData sheetId="13" refreshError="1"/>
      <sheetData sheetId="14">
        <row r="17">
          <cell r="C17">
            <v>0.66368799999999994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."/>
      <sheetName val="4"/>
      <sheetName val="5"/>
      <sheetName val="6"/>
      <sheetName val="2 кв."/>
      <sheetName val="6 мес."/>
      <sheetName val="7"/>
      <sheetName val="8"/>
      <sheetName val="9"/>
      <sheetName val="3 кв."/>
      <sheetName val="9 мес."/>
      <sheetName val="10"/>
      <sheetName val="11"/>
      <sheetName val="12"/>
      <sheetName val="4 кв."/>
      <sheetName val="ГО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7">
          <cell r="G17">
            <v>46758.106890000003</v>
          </cell>
        </row>
        <row r="21">
          <cell r="AP21">
            <v>7802.7962900000002</v>
          </cell>
          <cell r="BN21">
            <v>8140.4719599999989</v>
          </cell>
        </row>
        <row r="29">
          <cell r="BM29">
            <v>1101.0733599999999</v>
          </cell>
        </row>
        <row r="30">
          <cell r="AO30">
            <v>54632.405409999999</v>
          </cell>
        </row>
        <row r="33">
          <cell r="AO33">
            <v>6320.3411999999998</v>
          </cell>
        </row>
        <row r="40">
          <cell r="AO40">
            <v>3551.9088299999999</v>
          </cell>
          <cell r="BM40">
            <v>3883.6171800000006</v>
          </cell>
        </row>
        <row r="49">
          <cell r="M49">
            <v>52250.770669999998</v>
          </cell>
          <cell r="AK49">
            <v>108131.08888999998</v>
          </cell>
          <cell r="AO49">
            <v>18394.434260000002</v>
          </cell>
          <cell r="BM49">
            <v>16507.863109999998</v>
          </cell>
        </row>
        <row r="51">
          <cell r="M51">
            <v>16343.142089999999</v>
          </cell>
          <cell r="AK51">
            <v>33981.38637</v>
          </cell>
          <cell r="AO51">
            <v>5487.66975</v>
          </cell>
          <cell r="BM51">
            <v>4948.9215299999996</v>
          </cell>
        </row>
        <row r="53">
          <cell r="AO53">
            <v>6422.6099599999998</v>
          </cell>
          <cell r="BM53">
            <v>3574.4670399999995</v>
          </cell>
        </row>
        <row r="54">
          <cell r="B54" t="str">
            <v>Услуги операторов рынка</v>
          </cell>
          <cell r="N54">
            <v>1212.5342000000001</v>
          </cell>
          <cell r="AL54">
            <v>19208.5157</v>
          </cell>
          <cell r="BJ54">
            <v>9927.4260200000008</v>
          </cell>
        </row>
        <row r="60">
          <cell r="AO60">
            <v>115.71254999999999</v>
          </cell>
          <cell r="BM60">
            <v>164.00069999999999</v>
          </cell>
        </row>
        <row r="62">
          <cell r="AO62">
            <v>52.615440000000007</v>
          </cell>
          <cell r="BM62">
            <v>135.32352</v>
          </cell>
        </row>
        <row r="69">
          <cell r="AP69">
            <v>16211.628769999999</v>
          </cell>
          <cell r="BN69">
            <v>38703.625769999999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ЭЦ-3"/>
      <sheetName val="Налог на имущество"/>
      <sheetName val="Лист3"/>
    </sheetNames>
    <sheetDataSet>
      <sheetData sheetId="0">
        <row r="449">
          <cell r="O449">
            <v>533115957.98000002</v>
          </cell>
          <cell r="P449">
            <v>96348378.579999998</v>
          </cell>
        </row>
      </sheetData>
      <sheetData sheetId="1">
        <row r="77">
          <cell r="G77">
            <v>441223026.84615386</v>
          </cell>
        </row>
        <row r="78">
          <cell r="D78">
            <v>9756139.0647692308</v>
          </cell>
        </row>
      </sheetData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ЭЦ-4"/>
      <sheetName val="Налог на имущество"/>
      <sheetName val="Лист3"/>
    </sheetNames>
    <sheetDataSet>
      <sheetData sheetId="0">
        <row r="381">
          <cell r="O381">
            <v>436048045.13999999</v>
          </cell>
          <cell r="P381">
            <v>119949134.04000001</v>
          </cell>
        </row>
      </sheetData>
      <sheetData sheetId="1">
        <row r="77">
          <cell r="G77">
            <v>322660751.84615386</v>
          </cell>
        </row>
        <row r="78">
          <cell r="D78">
            <v>6972032.3903076928</v>
          </cell>
        </row>
      </sheetData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ложение 1"/>
    </sheetNames>
    <sheetDataSet>
      <sheetData sheetId="0">
        <row r="3">
          <cell r="G3">
            <v>620</v>
          </cell>
          <cell r="I3">
            <v>100</v>
          </cell>
        </row>
        <row r="4">
          <cell r="H4">
            <v>80</v>
          </cell>
          <cell r="J4">
            <v>60</v>
          </cell>
          <cell r="K4">
            <v>0.32400000000000001</v>
          </cell>
        </row>
        <row r="17">
          <cell r="K17">
            <v>0.57299999999999995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4 кв"/>
      <sheetName val="год "/>
      <sheetName val="1 кв"/>
      <sheetName val="2 кв"/>
      <sheetName val="6 мес."/>
      <sheetName val="3 кв"/>
      <sheetName val="9мес"/>
      <sheetName val="АРМ"/>
      <sheetName val="Лист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3">
          <cell r="K13">
            <v>141</v>
          </cell>
        </row>
      </sheetData>
      <sheetData sheetId="14" refreshError="1"/>
      <sheetData sheetId="15" refreshError="1"/>
      <sheetData sheetId="16">
        <row r="55">
          <cell r="K55">
            <v>139544.67000000001</v>
          </cell>
        </row>
        <row r="61">
          <cell r="E61">
            <v>195245.55999999982</v>
          </cell>
        </row>
        <row r="64">
          <cell r="E64">
            <v>77678.576261000009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ОК"/>
      <sheetName val="Налог на имущество"/>
      <sheetName val="Лист3"/>
    </sheetNames>
    <sheetDataSet>
      <sheetData sheetId="0">
        <row r="77">
          <cell r="O77">
            <v>16713086</v>
          </cell>
          <cell r="P77">
            <v>4582567.6900000004</v>
          </cell>
        </row>
      </sheetData>
      <sheetData sheetId="1" refreshError="1"/>
      <sheetData sheetId="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"/>
      <sheetName val="фев"/>
      <sheetName val="мар"/>
      <sheetName val="1 кв"/>
      <sheetName val="апр"/>
      <sheetName val="май"/>
      <sheetName val="июн"/>
      <sheetName val="2 кв"/>
      <sheetName val="6 мес"/>
      <sheetName val="июл"/>
      <sheetName val="авг"/>
      <sheetName val="сен"/>
      <sheetName val="3 кв"/>
      <sheetName val="9 мес"/>
      <sheetName val="окт"/>
      <sheetName val="ноя"/>
      <sheetName val="дек"/>
      <sheetName val="4 кв"/>
      <sheetName val="ГО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8">
          <cell r="E8">
            <v>4861796.0561830001</v>
          </cell>
        </row>
        <row r="131">
          <cell r="AG131">
            <v>123.02700000000002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"/>
      <sheetName val="фев"/>
      <sheetName val="мар"/>
      <sheetName val="1 кв."/>
      <sheetName val="апр"/>
      <sheetName val="май"/>
      <sheetName val="июн"/>
      <sheetName val="2 кв."/>
      <sheetName val="6 мес."/>
      <sheetName val="июл"/>
      <sheetName val="авг"/>
      <sheetName val="сен"/>
      <sheetName val="3 кв."/>
      <sheetName val="9 мес."/>
      <sheetName val="окт"/>
      <sheetName val="ноя"/>
      <sheetName val="дек"/>
      <sheetName val="4 кв."/>
      <sheetName val="ГО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2">
          <cell r="E12">
            <v>1253141.01468</v>
          </cell>
        </row>
        <row r="29">
          <cell r="DE29">
            <v>49337.733279999993</v>
          </cell>
        </row>
        <row r="58">
          <cell r="CG58">
            <v>314.96351000000004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танции"/>
      <sheetName val="сети"/>
    </sheetNames>
    <sheetDataSet>
      <sheetData sheetId="0">
        <row r="4">
          <cell r="D4">
            <v>1348.5984799999999</v>
          </cell>
        </row>
        <row r="102">
          <cell r="D102">
            <v>197.56699999999998</v>
          </cell>
        </row>
      </sheetData>
      <sheetData sheetId="1">
        <row r="46">
          <cell r="J46">
            <v>221124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С"/>
      <sheetName val="Налог на имущество"/>
      <sheetName val="Лист3"/>
    </sheetNames>
    <sheetDataSet>
      <sheetData sheetId="0">
        <row r="403">
          <cell r="O403">
            <v>1344921330.1199999</v>
          </cell>
          <cell r="P403">
            <v>356630811.56</v>
          </cell>
        </row>
      </sheetData>
      <sheetData sheetId="1">
        <row r="77">
          <cell r="G77">
            <v>8938359.615384616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Другая 10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FFF99"/>
      </a:accent1>
      <a:accent2>
        <a:srgbClr val="CCFFCC"/>
      </a:accent2>
      <a:accent3>
        <a:srgbClr val="CCFFFF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T558"/>
  <sheetViews>
    <sheetView view="pageBreakPreview" zoomScaleNormal="100" zoomScaleSheetLayoutView="100" workbookViewId="0">
      <pane xSplit="2" ySplit="2" topLeftCell="C471" activePane="bottomRight" state="frozen"/>
      <selection activeCell="A242" sqref="A242"/>
      <selection pane="topRight" activeCell="A242" sqref="A242"/>
      <selection pane="bottomLeft" activeCell="A242" sqref="A242"/>
      <selection pane="bottomRight" activeCell="E487" sqref="E487"/>
    </sheetView>
  </sheetViews>
  <sheetFormatPr defaultRowHeight="11.25" outlineLevelRow="1" x14ac:dyDescent="0.2"/>
  <cols>
    <col min="1" max="1" width="49" style="519" customWidth="1"/>
    <col min="2" max="2" width="10.42578125" style="519" customWidth="1"/>
    <col min="3" max="7" width="12.28515625" style="813" customWidth="1"/>
    <col min="8" max="8" width="13" style="813" customWidth="1"/>
    <col min="9" max="16" width="12.28515625" style="813" customWidth="1"/>
    <col min="17" max="17" width="10.28515625" style="519" bestFit="1" customWidth="1"/>
    <col min="18" max="16384" width="9.140625" style="519"/>
  </cols>
  <sheetData>
    <row r="1" spans="1:16" ht="12" x14ac:dyDescent="0.2">
      <c r="A1" s="847" t="s">
        <v>676</v>
      </c>
    </row>
    <row r="2" spans="1:16" s="750" customFormat="1" x14ac:dyDescent="0.2">
      <c r="A2" s="849" t="s">
        <v>14</v>
      </c>
      <c r="B2" s="849" t="s">
        <v>82</v>
      </c>
      <c r="C2" s="817" t="str">
        <f>+'ТЭЦ-1'!C3</f>
        <v>2017 (факт)</v>
      </c>
      <c r="D2" s="817" t="str">
        <f>+'ТЭЦ-1'!D3</f>
        <v>2018 (база)</v>
      </c>
      <c r="E2" s="817">
        <f>+'ТЭЦ-1'!E3</f>
        <v>2019</v>
      </c>
      <c r="F2" s="817">
        <f>+'ТЭЦ-1'!F3</f>
        <v>2020</v>
      </c>
      <c r="G2" s="817">
        <f>+'ТЭЦ-1'!G3</f>
        <v>2021</v>
      </c>
      <c r="H2" s="817">
        <f>+'ТЭЦ-1'!H3</f>
        <v>2022</v>
      </c>
      <c r="I2" s="817">
        <f>+'ТЭЦ-1'!I3</f>
        <v>2023</v>
      </c>
      <c r="J2" s="817">
        <f>+'ТЭЦ-1'!J3</f>
        <v>2024</v>
      </c>
      <c r="K2" s="817">
        <f>+'ТЭЦ-1'!K3</f>
        <v>2025</v>
      </c>
      <c r="L2" s="817">
        <f>+'ТЭЦ-1'!L3</f>
        <v>2026</v>
      </c>
      <c r="M2" s="817">
        <f>+'ТЭЦ-1'!M3</f>
        <v>2027</v>
      </c>
      <c r="N2" s="817">
        <f>+'ТЭЦ-1'!N3</f>
        <v>2028</v>
      </c>
      <c r="O2" s="817">
        <f>+'ТЭЦ-1'!O3</f>
        <v>2029</v>
      </c>
      <c r="P2" s="817">
        <f>+'ТЭЦ-1'!P3</f>
        <v>2030</v>
      </c>
    </row>
    <row r="3" spans="1:16" x14ac:dyDescent="0.2">
      <c r="A3" s="849">
        <f>COLUMN()</f>
        <v>1</v>
      </c>
      <c r="B3" s="849">
        <f>COLUMN()</f>
        <v>2</v>
      </c>
      <c r="C3" s="849">
        <f>COLUMN()</f>
        <v>3</v>
      </c>
      <c r="D3" s="849">
        <f>COLUMN()</f>
        <v>4</v>
      </c>
      <c r="E3" s="849">
        <f>COLUMN()</f>
        <v>5</v>
      </c>
      <c r="F3" s="849">
        <f>COLUMN()</f>
        <v>6</v>
      </c>
      <c r="G3" s="849">
        <f>COLUMN()</f>
        <v>7</v>
      </c>
      <c r="H3" s="849">
        <f>COLUMN()</f>
        <v>8</v>
      </c>
      <c r="I3" s="849">
        <f>COLUMN()</f>
        <v>9</v>
      </c>
      <c r="J3" s="849">
        <f>COLUMN()</f>
        <v>10</v>
      </c>
      <c r="K3" s="849">
        <f>COLUMN()</f>
        <v>11</v>
      </c>
      <c r="L3" s="849">
        <f>COLUMN()</f>
        <v>12</v>
      </c>
      <c r="M3" s="849">
        <f>COLUMN()</f>
        <v>13</v>
      </c>
      <c r="N3" s="849">
        <f>COLUMN()</f>
        <v>14</v>
      </c>
      <c r="O3" s="849">
        <f>COLUMN()</f>
        <v>15</v>
      </c>
      <c r="P3" s="849">
        <f>COLUMN()</f>
        <v>16</v>
      </c>
    </row>
    <row r="4" spans="1:16" x14ac:dyDescent="0.2">
      <c r="A4" s="763" t="s">
        <v>83</v>
      </c>
      <c r="B4" s="762"/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</row>
    <row r="5" spans="1:16" x14ac:dyDescent="0.2">
      <c r="A5" s="762"/>
      <c r="B5" s="762"/>
      <c r="C5" s="815"/>
      <c r="D5" s="815"/>
      <c r="E5" s="815"/>
      <c r="F5" s="815"/>
      <c r="G5" s="815"/>
      <c r="H5" s="815"/>
      <c r="I5" s="815"/>
      <c r="J5" s="815"/>
      <c r="K5" s="815"/>
      <c r="L5" s="815"/>
      <c r="M5" s="815"/>
      <c r="N5" s="815"/>
      <c r="O5" s="815"/>
      <c r="P5" s="815"/>
    </row>
    <row r="6" spans="1:16" x14ac:dyDescent="0.2">
      <c r="A6" s="764" t="s">
        <v>28</v>
      </c>
      <c r="B6" s="757"/>
      <c r="C6" s="816"/>
      <c r="D6" s="844">
        <f>+'ТЭЦ-1'!D108</f>
        <v>1.04</v>
      </c>
      <c r="E6" s="844">
        <f>+'ТЭЦ-1'!E108</f>
        <v>1.04</v>
      </c>
      <c r="F6" s="844">
        <f>+'ТЭЦ-1'!F108</f>
        <v>1.04</v>
      </c>
      <c r="G6" s="844">
        <f>+'ТЭЦ-1'!G108</f>
        <v>1.04</v>
      </c>
      <c r="H6" s="844">
        <f>+'ТЭЦ-1'!H108</f>
        <v>1.04</v>
      </c>
      <c r="I6" s="844">
        <f>+'ТЭЦ-1'!I108</f>
        <v>1.04</v>
      </c>
      <c r="J6" s="844">
        <f>+'ТЭЦ-1'!J108</f>
        <v>1.04</v>
      </c>
      <c r="K6" s="844">
        <f>+'ТЭЦ-1'!K108</f>
        <v>1.04</v>
      </c>
      <c r="L6" s="844">
        <f>+'ТЭЦ-1'!L108</f>
        <v>1.04</v>
      </c>
      <c r="M6" s="844">
        <f>+'ТЭЦ-1'!M108</f>
        <v>1.04</v>
      </c>
      <c r="N6" s="844">
        <f>+'ТЭЦ-1'!N108</f>
        <v>1.04</v>
      </c>
      <c r="O6" s="844">
        <f>+'ТЭЦ-1'!O108</f>
        <v>1.04</v>
      </c>
      <c r="P6" s="844">
        <f>+'ТЭЦ-1'!P108</f>
        <v>1.04</v>
      </c>
    </row>
    <row r="7" spans="1:16" x14ac:dyDescent="0.2">
      <c r="A7" s="764" t="s">
        <v>84</v>
      </c>
      <c r="B7" s="757"/>
      <c r="C7" s="816"/>
      <c r="D7" s="844">
        <f>+'ТЭЦ-1'!D103</f>
        <v>1.0395455395617126</v>
      </c>
      <c r="E7" s="844">
        <f>+'ТЭЦ-1'!E103</f>
        <v>1.08</v>
      </c>
      <c r="F7" s="844">
        <f>+'ТЭЦ-1'!F103</f>
        <v>1.08</v>
      </c>
      <c r="G7" s="844">
        <f>+'ТЭЦ-1'!G103</f>
        <v>1.08</v>
      </c>
      <c r="H7" s="844">
        <f>+'ТЭЦ-1'!H103</f>
        <v>1.08</v>
      </c>
      <c r="I7" s="844">
        <f>+'ТЭЦ-1'!I103</f>
        <v>1.08</v>
      </c>
      <c r="J7" s="844">
        <f>+'ТЭЦ-1'!J103</f>
        <v>1</v>
      </c>
      <c r="K7" s="844">
        <f>+'ТЭЦ-1'!K103</f>
        <v>1</v>
      </c>
      <c r="L7" s="844">
        <f>+'ТЭЦ-1'!L103</f>
        <v>1</v>
      </c>
      <c r="M7" s="844">
        <f>+'ТЭЦ-1'!M103</f>
        <v>1</v>
      </c>
      <c r="N7" s="844">
        <f>+'ТЭЦ-1'!N103</f>
        <v>1</v>
      </c>
      <c r="O7" s="844">
        <f>+'ТЭЦ-1'!O103</f>
        <v>1.01</v>
      </c>
      <c r="P7" s="844">
        <f>+'ТЭЦ-1'!P103</f>
        <v>1.02</v>
      </c>
    </row>
    <row r="8" spans="1:16" x14ac:dyDescent="0.2">
      <c r="A8" s="764" t="s">
        <v>85</v>
      </c>
      <c r="B8" s="757"/>
      <c r="C8" s="816"/>
      <c r="D8" s="844">
        <f>+'ТЭЦ-1'!D105</f>
        <v>1.0378126267744046</v>
      </c>
      <c r="E8" s="844">
        <f>+'ТЭЦ-1'!E105</f>
        <v>1.0318819374060684</v>
      </c>
      <c r="F8" s="844">
        <f>+'ТЭЦ-1'!F105</f>
        <v>1.03</v>
      </c>
      <c r="G8" s="844">
        <f>+'ТЭЦ-1'!G105</f>
        <v>1.03</v>
      </c>
      <c r="H8" s="844">
        <f>+'ТЭЦ-1'!H105</f>
        <v>1.03</v>
      </c>
      <c r="I8" s="844">
        <f>+'ТЭЦ-1'!I105</f>
        <v>1.03</v>
      </c>
      <c r="J8" s="844">
        <f>+'ТЭЦ-1'!J105</f>
        <v>1.03</v>
      </c>
      <c r="K8" s="844">
        <f>+'ТЭЦ-1'!K105</f>
        <v>1.03</v>
      </c>
      <c r="L8" s="844">
        <f>+'ТЭЦ-1'!L105</f>
        <v>1.03</v>
      </c>
      <c r="M8" s="844">
        <f>+'ТЭЦ-1'!M105</f>
        <v>1.03</v>
      </c>
      <c r="N8" s="844">
        <f>+'ТЭЦ-1'!N105</f>
        <v>1.03</v>
      </c>
      <c r="O8" s="844">
        <f>+'ТЭЦ-1'!O105</f>
        <v>1.03</v>
      </c>
      <c r="P8" s="844">
        <f>+'ТЭЦ-1'!P105</f>
        <v>1.03</v>
      </c>
    </row>
    <row r="9" spans="1:16" x14ac:dyDescent="0.2">
      <c r="A9" s="764" t="s">
        <v>86</v>
      </c>
      <c r="B9" s="757"/>
      <c r="C9" s="816"/>
      <c r="D9" s="844">
        <f>+Кот.!D203</f>
        <v>1.03</v>
      </c>
      <c r="E9" s="844">
        <f>+Кот.!E203</f>
        <v>1.03</v>
      </c>
      <c r="F9" s="844">
        <f>+Кот.!F203</f>
        <v>1.03</v>
      </c>
      <c r="G9" s="844">
        <f>+Кот.!G203</f>
        <v>1.03</v>
      </c>
      <c r="H9" s="844">
        <f>+Кот.!H203</f>
        <v>1.03</v>
      </c>
      <c r="I9" s="844">
        <f>+Кот.!I203</f>
        <v>1.03</v>
      </c>
      <c r="J9" s="844">
        <f>+Кот.!J203</f>
        <v>1.03</v>
      </c>
      <c r="K9" s="844">
        <f>+Кот.!K203</f>
        <v>1.03</v>
      </c>
      <c r="L9" s="844">
        <f>+Кот.!L203</f>
        <v>1.03</v>
      </c>
      <c r="M9" s="844">
        <f>+Кот.!M203</f>
        <v>1.03</v>
      </c>
      <c r="N9" s="844">
        <f>+Кот.!N203</f>
        <v>1.03</v>
      </c>
      <c r="O9" s="844">
        <f>+Кот.!O203</f>
        <v>1.03</v>
      </c>
      <c r="P9" s="844">
        <f>+Кот.!P203</f>
        <v>1.03</v>
      </c>
    </row>
    <row r="10" spans="1:16" x14ac:dyDescent="0.2">
      <c r="A10" s="764" t="s">
        <v>87</v>
      </c>
      <c r="B10" s="757"/>
      <c r="C10" s="816"/>
      <c r="D10" s="844">
        <f>+'ТЭЦ-1'!D94</f>
        <v>1.0127102224840443</v>
      </c>
      <c r="E10" s="844">
        <f>+'ТЭЦ-1'!E94</f>
        <v>1.0127102224840443</v>
      </c>
      <c r="F10" s="844">
        <f>+'ТЭЦ-1'!F94</f>
        <v>1.0127102224840443</v>
      </c>
      <c r="G10" s="844">
        <f>+'ТЭЦ-1'!G94</f>
        <v>1.0127102224840443</v>
      </c>
      <c r="H10" s="844">
        <f>+'ТЭЦ-1'!H94</f>
        <v>1.0127102224840443</v>
      </c>
      <c r="I10" s="844">
        <f>+'ТЭЦ-1'!I94</f>
        <v>1.0127102224840443</v>
      </c>
      <c r="J10" s="844">
        <f>+'ТЭЦ-1'!J94</f>
        <v>1.0127102224840443</v>
      </c>
      <c r="K10" s="844">
        <f>+'ТЭЦ-1'!K94</f>
        <v>1.0127102224840443</v>
      </c>
      <c r="L10" s="844">
        <f>+'ТЭЦ-1'!L94</f>
        <v>1.0127102224840443</v>
      </c>
      <c r="M10" s="844">
        <f>+'ТЭЦ-1'!M94</f>
        <v>1.0127102224840443</v>
      </c>
      <c r="N10" s="844">
        <f>+'ТЭЦ-1'!N94</f>
        <v>1.0127102224840443</v>
      </c>
      <c r="O10" s="844">
        <f>+'ТЭЦ-1'!O94</f>
        <v>1.0127102224840443</v>
      </c>
      <c r="P10" s="844">
        <f>+'ТЭЦ-1'!P94</f>
        <v>1.0127102224840443</v>
      </c>
    </row>
    <row r="11" spans="1:16" s="745" customFormat="1" x14ac:dyDescent="0.2">
      <c r="A11" s="764" t="s">
        <v>499</v>
      </c>
      <c r="B11" s="757"/>
      <c r="C11" s="816"/>
      <c r="D11" s="844">
        <f>+'ТЭЦ-1'!D92</f>
        <v>1.0330026143952464</v>
      </c>
      <c r="E11" s="844">
        <f>+'ТЭЦ-1'!E92</f>
        <v>1.040056560701426</v>
      </c>
      <c r="F11" s="844">
        <f>+'ТЭЦ-1'!F92</f>
        <v>1.040056560701426</v>
      </c>
      <c r="G11" s="844">
        <f>+'ТЭЦ-1'!G92</f>
        <v>1.040056560701426</v>
      </c>
      <c r="H11" s="844">
        <f>+'ТЭЦ-1'!H92</f>
        <v>1.1024599543435116</v>
      </c>
      <c r="I11" s="844">
        <f>+'ТЭЦ-1'!I92</f>
        <v>1.1087395411251049</v>
      </c>
      <c r="J11" s="844">
        <f>+'ТЭЦ-1'!J92</f>
        <v>1.1044848432227534</v>
      </c>
      <c r="K11" s="844">
        <f>+'ТЭЦ-1'!K92</f>
        <v>1.040056560701426</v>
      </c>
      <c r="L11" s="844">
        <f>+'ТЭЦ-1'!L92</f>
        <v>1.040056560701426</v>
      </c>
      <c r="M11" s="844">
        <f>+'ТЭЦ-1'!M92</f>
        <v>1.040056560701426</v>
      </c>
      <c r="N11" s="844">
        <f>+'ТЭЦ-1'!N92</f>
        <v>1.040056560701426</v>
      </c>
      <c r="O11" s="844">
        <f>+'ТЭЦ-1'!O92</f>
        <v>1.040056560701426</v>
      </c>
      <c r="P11" s="844">
        <f>+'ТЭЦ-1'!P92</f>
        <v>1.040056560701426</v>
      </c>
    </row>
    <row r="12" spans="1:16" s="745" customFormat="1" x14ac:dyDescent="0.2">
      <c r="A12" s="756"/>
      <c r="B12" s="757"/>
      <c r="C12" s="816"/>
      <c r="D12" s="816"/>
      <c r="E12" s="816"/>
      <c r="F12" s="816"/>
      <c r="G12" s="816"/>
      <c r="H12" s="816"/>
      <c r="I12" s="816"/>
      <c r="J12" s="816"/>
      <c r="K12" s="816"/>
      <c r="L12" s="816"/>
      <c r="M12" s="814"/>
      <c r="N12" s="814"/>
      <c r="O12" s="814"/>
      <c r="P12" s="814"/>
    </row>
    <row r="13" spans="1:16" hidden="1" outlineLevel="1" x14ac:dyDescent="0.2">
      <c r="A13" s="763" t="s">
        <v>99</v>
      </c>
      <c r="B13" s="762"/>
      <c r="C13" s="815"/>
      <c r="D13" s="815"/>
      <c r="E13" s="815"/>
      <c r="F13" s="815"/>
      <c r="G13" s="815"/>
      <c r="H13" s="815"/>
      <c r="I13" s="815"/>
      <c r="J13" s="815"/>
      <c r="K13" s="815"/>
      <c r="L13" s="815"/>
      <c r="M13" s="815"/>
      <c r="N13" s="815"/>
      <c r="O13" s="815"/>
      <c r="P13" s="815"/>
    </row>
    <row r="14" spans="1:16" hidden="1" outlineLevel="1" x14ac:dyDescent="0.2">
      <c r="A14" s="762"/>
      <c r="B14" s="762"/>
      <c r="C14" s="815"/>
      <c r="D14" s="815"/>
      <c r="E14" s="815"/>
      <c r="F14" s="815"/>
      <c r="G14" s="815"/>
      <c r="H14" s="815"/>
      <c r="I14" s="815"/>
      <c r="J14" s="815"/>
      <c r="K14" s="815"/>
      <c r="L14" s="815"/>
      <c r="M14" s="815"/>
      <c r="N14" s="815"/>
      <c r="O14" s="815"/>
      <c r="P14" s="815"/>
    </row>
    <row r="15" spans="1:16" hidden="1" outlineLevel="1" x14ac:dyDescent="0.2">
      <c r="A15" s="763" t="s">
        <v>263</v>
      </c>
      <c r="B15" s="762" t="s">
        <v>264</v>
      </c>
      <c r="C15" s="817"/>
      <c r="D15" s="817"/>
      <c r="E15" s="817"/>
      <c r="F15" s="817"/>
      <c r="G15" s="817"/>
      <c r="H15" s="817"/>
      <c r="I15" s="817"/>
      <c r="J15" s="817"/>
      <c r="K15" s="817"/>
      <c r="L15" s="817"/>
      <c r="M15" s="817"/>
      <c r="N15" s="817"/>
      <c r="O15" s="817"/>
      <c r="P15" s="817"/>
    </row>
    <row r="16" spans="1:16" hidden="1" outlineLevel="1" x14ac:dyDescent="0.2">
      <c r="A16" s="765" t="s">
        <v>266</v>
      </c>
      <c r="B16" s="766" t="s">
        <v>30</v>
      </c>
      <c r="C16" s="817"/>
      <c r="D16" s="817"/>
      <c r="E16" s="817"/>
      <c r="F16" s="817"/>
      <c r="G16" s="817"/>
      <c r="H16" s="817"/>
      <c r="I16" s="817"/>
      <c r="J16" s="817"/>
      <c r="K16" s="817"/>
      <c r="L16" s="817"/>
      <c r="M16" s="817"/>
      <c r="N16" s="817"/>
      <c r="O16" s="817"/>
      <c r="P16" s="817"/>
    </row>
    <row r="17" spans="1:16" hidden="1" outlineLevel="1" x14ac:dyDescent="0.2">
      <c r="A17" s="764" t="s">
        <v>265</v>
      </c>
      <c r="B17" s="766" t="s">
        <v>30</v>
      </c>
      <c r="C17" s="817"/>
      <c r="D17" s="817"/>
      <c r="E17" s="817"/>
      <c r="F17" s="817"/>
      <c r="G17" s="817"/>
      <c r="H17" s="817"/>
      <c r="I17" s="817"/>
      <c r="J17" s="817"/>
      <c r="K17" s="817"/>
      <c r="L17" s="817"/>
      <c r="M17" s="817"/>
      <c r="N17" s="817"/>
      <c r="O17" s="817"/>
      <c r="P17" s="817"/>
    </row>
    <row r="18" spans="1:16" hidden="1" outlineLevel="1" x14ac:dyDescent="0.2">
      <c r="A18" s="764" t="s">
        <v>246</v>
      </c>
      <c r="B18" s="766" t="s">
        <v>30</v>
      </c>
      <c r="C18" s="816"/>
      <c r="D18" s="816"/>
      <c r="E18" s="816"/>
      <c r="F18" s="816"/>
      <c r="G18" s="816"/>
      <c r="H18" s="816"/>
      <c r="I18" s="816"/>
      <c r="J18" s="816"/>
      <c r="K18" s="816"/>
      <c r="L18" s="816"/>
      <c r="M18" s="816"/>
      <c r="N18" s="816"/>
      <c r="O18" s="816"/>
      <c r="P18" s="816"/>
    </row>
    <row r="19" spans="1:16" hidden="1" outlineLevel="1" x14ac:dyDescent="0.2">
      <c r="A19" s="764" t="s">
        <v>84</v>
      </c>
      <c r="B19" s="766" t="s">
        <v>29</v>
      </c>
      <c r="C19" s="816"/>
      <c r="D19" s="816"/>
      <c r="E19" s="816"/>
      <c r="F19" s="816"/>
      <c r="G19" s="816"/>
      <c r="H19" s="816"/>
      <c r="I19" s="816"/>
      <c r="J19" s="816"/>
      <c r="K19" s="816"/>
      <c r="L19" s="816"/>
      <c r="M19" s="816"/>
      <c r="N19" s="816"/>
      <c r="O19" s="816"/>
      <c r="P19" s="816"/>
    </row>
    <row r="20" spans="1:16" hidden="1" outlineLevel="1" x14ac:dyDescent="0.2">
      <c r="A20" s="764" t="s">
        <v>145</v>
      </c>
      <c r="B20" s="766" t="s">
        <v>30</v>
      </c>
      <c r="C20" s="816"/>
      <c r="D20" s="816"/>
      <c r="E20" s="816"/>
      <c r="F20" s="816"/>
      <c r="G20" s="816"/>
      <c r="H20" s="816"/>
      <c r="I20" s="816"/>
      <c r="J20" s="816"/>
      <c r="K20" s="816"/>
      <c r="L20" s="816"/>
      <c r="M20" s="816"/>
      <c r="N20" s="816"/>
      <c r="O20" s="816"/>
      <c r="P20" s="816"/>
    </row>
    <row r="21" spans="1:16" hidden="1" outlineLevel="1" x14ac:dyDescent="0.2">
      <c r="A21" s="764" t="s">
        <v>250</v>
      </c>
      <c r="B21" s="766" t="s">
        <v>100</v>
      </c>
      <c r="C21" s="816"/>
      <c r="D21" s="816"/>
      <c r="E21" s="816"/>
      <c r="F21" s="816"/>
      <c r="G21" s="816"/>
      <c r="H21" s="816"/>
      <c r="I21" s="816"/>
      <c r="J21" s="816"/>
      <c r="K21" s="816"/>
      <c r="L21" s="816"/>
      <c r="M21" s="816"/>
      <c r="N21" s="816"/>
      <c r="O21" s="816"/>
      <c r="P21" s="816"/>
    </row>
    <row r="22" spans="1:16" hidden="1" outlineLevel="1" x14ac:dyDescent="0.2">
      <c r="A22" s="764" t="s">
        <v>247</v>
      </c>
      <c r="B22" s="766" t="s">
        <v>100</v>
      </c>
      <c r="C22" s="816"/>
      <c r="D22" s="816"/>
      <c r="E22" s="816"/>
      <c r="F22" s="816"/>
      <c r="G22" s="816"/>
      <c r="H22" s="816"/>
      <c r="I22" s="816"/>
      <c r="J22" s="816"/>
      <c r="K22" s="816"/>
      <c r="L22" s="816"/>
      <c r="M22" s="816"/>
      <c r="N22" s="816"/>
      <c r="O22" s="816"/>
      <c r="P22" s="816"/>
    </row>
    <row r="23" spans="1:16" hidden="1" outlineLevel="1" x14ac:dyDescent="0.2">
      <c r="A23" s="764" t="s">
        <v>248</v>
      </c>
      <c r="B23" s="766" t="s">
        <v>249</v>
      </c>
      <c r="C23" s="816"/>
      <c r="D23" s="816"/>
      <c r="E23" s="816"/>
      <c r="F23" s="816"/>
      <c r="G23" s="816"/>
      <c r="H23" s="816"/>
      <c r="I23" s="816"/>
      <c r="J23" s="816"/>
      <c r="K23" s="816"/>
      <c r="L23" s="816"/>
      <c r="M23" s="816"/>
      <c r="N23" s="816"/>
      <c r="O23" s="816"/>
      <c r="P23" s="816"/>
    </row>
    <row r="24" spans="1:16" hidden="1" outlineLevel="1" x14ac:dyDescent="0.2">
      <c r="A24" s="764" t="s">
        <v>101</v>
      </c>
      <c r="B24" s="766" t="s">
        <v>102</v>
      </c>
      <c r="C24" s="816"/>
      <c r="D24" s="816"/>
      <c r="E24" s="816"/>
      <c r="F24" s="816"/>
      <c r="G24" s="816"/>
      <c r="H24" s="816"/>
      <c r="I24" s="816"/>
      <c r="J24" s="816"/>
      <c r="K24" s="816"/>
      <c r="L24" s="816"/>
      <c r="M24" s="816"/>
      <c r="N24" s="816"/>
      <c r="O24" s="816"/>
      <c r="P24" s="816"/>
    </row>
    <row r="25" spans="1:16" hidden="1" outlineLevel="1" x14ac:dyDescent="0.2">
      <c r="A25" s="764" t="s">
        <v>103</v>
      </c>
      <c r="B25" s="766" t="s">
        <v>104</v>
      </c>
      <c r="C25" s="816"/>
      <c r="D25" s="816"/>
      <c r="E25" s="816"/>
      <c r="F25" s="816"/>
      <c r="G25" s="816"/>
      <c r="H25" s="816"/>
      <c r="I25" s="816"/>
      <c r="J25" s="816"/>
      <c r="K25" s="816"/>
      <c r="L25" s="816"/>
      <c r="M25" s="816"/>
      <c r="N25" s="816"/>
      <c r="O25" s="816"/>
      <c r="P25" s="816"/>
    </row>
    <row r="26" spans="1:16" hidden="1" outlineLevel="1" x14ac:dyDescent="0.2">
      <c r="A26" s="764" t="s">
        <v>105</v>
      </c>
      <c r="B26" s="766" t="s">
        <v>106</v>
      </c>
      <c r="C26" s="816"/>
      <c r="D26" s="816"/>
      <c r="E26" s="816"/>
      <c r="F26" s="816"/>
      <c r="G26" s="816"/>
      <c r="H26" s="816"/>
      <c r="I26" s="816"/>
      <c r="J26" s="816"/>
      <c r="K26" s="816"/>
      <c r="L26" s="816"/>
      <c r="M26" s="816"/>
      <c r="N26" s="816"/>
      <c r="O26" s="816"/>
      <c r="P26" s="816"/>
    </row>
    <row r="27" spans="1:16" hidden="1" outlineLevel="1" x14ac:dyDescent="0.2">
      <c r="A27" s="764" t="s">
        <v>273</v>
      </c>
      <c r="B27" s="766" t="s">
        <v>106</v>
      </c>
      <c r="C27" s="816"/>
      <c r="D27" s="816"/>
      <c r="E27" s="816"/>
      <c r="F27" s="816"/>
      <c r="G27" s="816"/>
      <c r="H27" s="816"/>
      <c r="I27" s="816"/>
      <c r="J27" s="816"/>
      <c r="K27" s="816"/>
      <c r="L27" s="816"/>
      <c r="M27" s="816"/>
      <c r="N27" s="816"/>
      <c r="O27" s="816"/>
      <c r="P27" s="816"/>
    </row>
    <row r="28" spans="1:16" hidden="1" outlineLevel="1" x14ac:dyDescent="0.2">
      <c r="A28" s="764" t="s">
        <v>107</v>
      </c>
      <c r="B28" s="766" t="s">
        <v>106</v>
      </c>
      <c r="C28" s="816"/>
      <c r="D28" s="816"/>
      <c r="E28" s="816"/>
      <c r="F28" s="816"/>
      <c r="G28" s="816"/>
      <c r="H28" s="816"/>
      <c r="I28" s="816"/>
      <c r="J28" s="816"/>
      <c r="K28" s="816"/>
      <c r="L28" s="816"/>
      <c r="M28" s="816"/>
      <c r="N28" s="816"/>
      <c r="O28" s="816"/>
      <c r="P28" s="816"/>
    </row>
    <row r="29" spans="1:16" hidden="1" outlineLevel="1" x14ac:dyDescent="0.2">
      <c r="A29" s="764"/>
      <c r="B29" s="766"/>
      <c r="C29" s="816"/>
      <c r="D29" s="816"/>
      <c r="E29" s="816"/>
      <c r="F29" s="816"/>
      <c r="G29" s="816"/>
      <c r="H29" s="816"/>
      <c r="I29" s="816"/>
      <c r="J29" s="816"/>
      <c r="K29" s="816"/>
      <c r="L29" s="816"/>
      <c r="M29" s="816"/>
      <c r="N29" s="816"/>
      <c r="O29" s="816"/>
      <c r="P29" s="816"/>
    </row>
    <row r="30" spans="1:16" hidden="1" outlineLevel="1" x14ac:dyDescent="0.2">
      <c r="A30" s="767" t="s">
        <v>108</v>
      </c>
      <c r="B30" s="766"/>
      <c r="C30" s="816"/>
      <c r="D30" s="816"/>
      <c r="E30" s="816"/>
      <c r="F30" s="816"/>
      <c r="G30" s="816"/>
      <c r="H30" s="816"/>
      <c r="I30" s="816"/>
      <c r="J30" s="816"/>
      <c r="K30" s="816"/>
      <c r="L30" s="816"/>
      <c r="M30" s="816"/>
      <c r="N30" s="816"/>
      <c r="O30" s="816"/>
      <c r="P30" s="816"/>
    </row>
    <row r="31" spans="1:16" hidden="1" outlineLevel="1" x14ac:dyDescent="0.2">
      <c r="A31" s="768" t="str">
        <f>A22</f>
        <v>э/э (энергия)</v>
      </c>
      <c r="B31" s="766" t="s">
        <v>100</v>
      </c>
      <c r="C31" s="816"/>
      <c r="D31" s="816"/>
      <c r="E31" s="816"/>
      <c r="F31" s="816"/>
      <c r="G31" s="816"/>
      <c r="H31" s="816"/>
      <c r="I31" s="816"/>
      <c r="J31" s="816"/>
      <c r="K31" s="816"/>
      <c r="L31" s="816"/>
      <c r="M31" s="816"/>
      <c r="N31" s="816"/>
      <c r="O31" s="816"/>
      <c r="P31" s="816"/>
    </row>
    <row r="32" spans="1:16" hidden="1" outlineLevel="1" x14ac:dyDescent="0.2">
      <c r="A32" s="768" t="str">
        <f>A23</f>
        <v>э/э (мощность)</v>
      </c>
      <c r="B32" s="766" t="s">
        <v>33</v>
      </c>
      <c r="C32" s="816"/>
      <c r="D32" s="816"/>
      <c r="E32" s="816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816"/>
    </row>
    <row r="33" spans="1:16" hidden="1" outlineLevel="1" x14ac:dyDescent="0.2">
      <c r="A33" s="768" t="s">
        <v>255</v>
      </c>
      <c r="B33" s="766" t="s">
        <v>100</v>
      </c>
      <c r="C33" s="816"/>
      <c r="D33" s="816"/>
      <c r="E33" s="816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816"/>
    </row>
    <row r="34" spans="1:16" hidden="1" outlineLevel="1" x14ac:dyDescent="0.2">
      <c r="A34" s="762"/>
      <c r="B34" s="762"/>
      <c r="C34" s="815"/>
      <c r="D34" s="815"/>
      <c r="E34" s="815"/>
      <c r="F34" s="815"/>
      <c r="G34" s="815"/>
      <c r="H34" s="815"/>
      <c r="I34" s="815"/>
      <c r="J34" s="815"/>
      <c r="K34" s="815"/>
      <c r="L34" s="815"/>
      <c r="M34" s="815"/>
      <c r="N34" s="815"/>
      <c r="O34" s="815"/>
      <c r="P34" s="815"/>
    </row>
    <row r="35" spans="1:16" collapsed="1" x14ac:dyDescent="0.2">
      <c r="A35" s="763" t="s">
        <v>142</v>
      </c>
      <c r="B35" s="762"/>
      <c r="C35" s="845">
        <f>+C37+C45+C55+C69+C93</f>
        <v>0</v>
      </c>
      <c r="D35" s="845">
        <f t="shared" ref="D35:P35" si="0">+D37+D45+D55+D69+D93</f>
        <v>0</v>
      </c>
      <c r="E35" s="845">
        <f t="shared" si="0"/>
        <v>1090576.5794189691</v>
      </c>
      <c r="F35" s="845">
        <f t="shared" si="0"/>
        <v>1042180.5596707482</v>
      </c>
      <c r="G35" s="845">
        <f t="shared" si="0"/>
        <v>1003806.9864918017</v>
      </c>
      <c r="H35" s="845">
        <f t="shared" si="0"/>
        <v>1030884.507551837</v>
      </c>
      <c r="I35" s="845">
        <f t="shared" si="0"/>
        <v>1033273.0621602314</v>
      </c>
      <c r="J35" s="845">
        <f t="shared" si="0"/>
        <v>237041.39483074186</v>
      </c>
      <c r="K35" s="845">
        <f t="shared" si="0"/>
        <v>272561.55200634996</v>
      </c>
      <c r="L35" s="845">
        <f t="shared" si="0"/>
        <v>280658.81964281254</v>
      </c>
      <c r="M35" s="845">
        <f t="shared" si="0"/>
        <v>289979.96078042139</v>
      </c>
      <c r="N35" s="845">
        <f t="shared" si="0"/>
        <v>299578.53084982804</v>
      </c>
      <c r="O35" s="845">
        <f t="shared" si="0"/>
        <v>309496.78546357265</v>
      </c>
      <c r="P35" s="845">
        <f t="shared" si="0"/>
        <v>319744.2553712037</v>
      </c>
    </row>
    <row r="36" spans="1:16" x14ac:dyDescent="0.2">
      <c r="A36" s="767"/>
      <c r="B36" s="769"/>
      <c r="C36" s="775"/>
      <c r="D36" s="775"/>
      <c r="E36" s="775"/>
      <c r="F36" s="775"/>
      <c r="G36" s="775"/>
      <c r="H36" s="775"/>
      <c r="I36" s="775"/>
      <c r="J36" s="775"/>
      <c r="K36" s="775"/>
      <c r="L36" s="775"/>
      <c r="M36" s="775"/>
      <c r="N36" s="775"/>
      <c r="O36" s="775"/>
      <c r="P36" s="775"/>
    </row>
    <row r="37" spans="1:16" x14ac:dyDescent="0.2">
      <c r="A37" s="767" t="s">
        <v>261</v>
      </c>
      <c r="B37" s="769" t="s">
        <v>143</v>
      </c>
      <c r="C37" s="841">
        <f>SUM(C38:C44)</f>
        <v>0</v>
      </c>
      <c r="D37" s="841">
        <f t="shared" ref="D37:E37" si="1">SUM(D38:D44)</f>
        <v>0</v>
      </c>
      <c r="E37" s="841">
        <f t="shared" si="1"/>
        <v>10279</v>
      </c>
      <c r="F37" s="841">
        <f t="shared" ref="F37" si="2">SUM(F38:F44)</f>
        <v>14924</v>
      </c>
      <c r="G37" s="841">
        <f t="shared" ref="G37" si="3">SUM(G38:G44)</f>
        <v>27430</v>
      </c>
      <c r="H37" s="841">
        <f t="shared" ref="H37" si="4">SUM(H38:H44)</f>
        <v>27532</v>
      </c>
      <c r="I37" s="841">
        <f t="shared" ref="I37" si="5">SUM(I38:I44)</f>
        <v>9103</v>
      </c>
      <c r="J37" s="841">
        <f t="shared" ref="J37" si="6">SUM(J38:J44)</f>
        <v>4978.2171757312317</v>
      </c>
      <c r="K37" s="841">
        <f t="shared" ref="K37" si="7">SUM(K38:K44)</f>
        <v>5251.3071757312318</v>
      </c>
      <c r="L37" s="841">
        <f t="shared" ref="L37" si="8">SUM(L38:L44)</f>
        <v>5400.6536910031682</v>
      </c>
      <c r="M37" s="841">
        <f t="shared" ref="M37" si="9">SUM(M38:M44)</f>
        <v>5558.1929062751051</v>
      </c>
      <c r="N37" s="841">
        <f t="shared" ref="N37" si="10">SUM(N38:N44)</f>
        <v>5720.2125170052004</v>
      </c>
      <c r="O37" s="841">
        <f t="shared" ref="O37" si="11">SUM(O38:O44)</f>
        <v>5886.9583041934538</v>
      </c>
      <c r="P37" s="841">
        <f t="shared" ref="P37" si="12">SUM(P38:P44)</f>
        <v>6058.5646797036097</v>
      </c>
    </row>
    <row r="38" spans="1:16" ht="22.5" x14ac:dyDescent="0.2">
      <c r="A38" s="842" t="str">
        <f>+'ТЭЦ-1'!B113</f>
        <v>Техническое перевооружение склада кислотохранилища ТЭЦ-1</v>
      </c>
      <c r="B38" s="771" t="str">
        <f t="shared" ref="B38:B47" si="13">B37</f>
        <v>тыс.  руб.</v>
      </c>
      <c r="C38" s="818"/>
      <c r="D38" s="818"/>
      <c r="E38" s="840">
        <f>'ТЭЦ-1'!E113</f>
        <v>5726</v>
      </c>
      <c r="F38" s="840">
        <f>'ТЭЦ-1'!F113</f>
        <v>0</v>
      </c>
      <c r="G38" s="840">
        <f>'ТЭЦ-1'!G113</f>
        <v>0</v>
      </c>
      <c r="H38" s="840">
        <f>'ТЭЦ-1'!H113</f>
        <v>0</v>
      </c>
      <c r="I38" s="840">
        <f>'ТЭЦ-1'!I113</f>
        <v>0</v>
      </c>
      <c r="J38" s="818"/>
      <c r="K38" s="818"/>
      <c r="L38" s="818"/>
      <c r="M38" s="818"/>
      <c r="N38" s="818"/>
      <c r="O38" s="818"/>
      <c r="P38" s="818"/>
    </row>
    <row r="39" spans="1:16" ht="56.25" x14ac:dyDescent="0.2">
      <c r="A39" s="842" t="str">
        <f>+'ТЭЦ-1'!B114</f>
        <v>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</v>
      </c>
      <c r="B39" s="771" t="str">
        <f t="shared" si="13"/>
        <v>тыс.  руб.</v>
      </c>
      <c r="C39" s="818"/>
      <c r="D39" s="818"/>
      <c r="E39" s="840">
        <f>'ТЭЦ-1'!E114</f>
        <v>0</v>
      </c>
      <c r="F39" s="840">
        <f>'ТЭЦ-1'!F114</f>
        <v>0</v>
      </c>
      <c r="G39" s="840">
        <f>'ТЭЦ-1'!G114</f>
        <v>8448</v>
      </c>
      <c r="H39" s="840">
        <f>'ТЭЦ-1'!H114</f>
        <v>0</v>
      </c>
      <c r="I39" s="840">
        <f>'ТЭЦ-1'!I114</f>
        <v>9103</v>
      </c>
      <c r="J39" s="818"/>
      <c r="K39" s="818"/>
      <c r="L39" s="818"/>
      <c r="M39" s="818"/>
      <c r="N39" s="818"/>
      <c r="O39" s="818"/>
      <c r="P39" s="818"/>
    </row>
    <row r="40" spans="1:16" ht="33.75" x14ac:dyDescent="0.2">
      <c r="A40" s="842" t="str">
        <f>+'ТЭЦ-1'!B115</f>
        <v>Техническое перевооружение водогрейного котла №1 с заменой конвективной части на водогрейной котельной №2 (ВК-2) ТЭЦ-1</v>
      </c>
      <c r="B40" s="771" t="str">
        <f t="shared" si="13"/>
        <v>тыс.  руб.</v>
      </c>
      <c r="C40" s="818"/>
      <c r="D40" s="818"/>
      <c r="E40" s="840">
        <f>'ТЭЦ-1'!E115</f>
        <v>4553</v>
      </c>
      <c r="F40" s="840">
        <f>'ТЭЦ-1'!F115</f>
        <v>0</v>
      </c>
      <c r="G40" s="840">
        <f>'ТЭЦ-1'!G115</f>
        <v>0</v>
      </c>
      <c r="H40" s="840">
        <f>'ТЭЦ-1'!H115</f>
        <v>0</v>
      </c>
      <c r="I40" s="840">
        <f>'ТЭЦ-1'!I115</f>
        <v>0</v>
      </c>
      <c r="J40" s="818"/>
      <c r="K40" s="818"/>
      <c r="L40" s="818"/>
      <c r="M40" s="818"/>
      <c r="N40" s="818"/>
      <c r="O40" s="818"/>
      <c r="P40" s="818"/>
    </row>
    <row r="41" spans="1:16" ht="67.5" x14ac:dyDescent="0.2">
      <c r="A41" s="842" t="str">
        <f>+'ТЭЦ-1'!B116</f>
        <v>Реконструкция кабельных связей  ВК-2 – БНС (водогрейная котельная №2 – береговая насосная станция): 2-й эт. - реконструкция РУ-0,4 кВ и РУ-6 кВ БНС, замена насосного оборудования БНС; 3-й эт. - реконструкция РУ-0,4 кВ и РУ-6 кВ ВК-2, прокладка воздушно-кабельных линий от ВК-2 до БНС.</v>
      </c>
      <c r="B41" s="771" t="str">
        <f t="shared" si="13"/>
        <v>тыс.  руб.</v>
      </c>
      <c r="C41" s="818"/>
      <c r="D41" s="818"/>
      <c r="E41" s="840">
        <f>'ТЭЦ-1'!E116</f>
        <v>0</v>
      </c>
      <c r="F41" s="840">
        <f>'ТЭЦ-1'!F116</f>
        <v>0</v>
      </c>
      <c r="G41" s="840">
        <f>'ТЭЦ-1'!G116</f>
        <v>18982</v>
      </c>
      <c r="H41" s="840">
        <f>'ТЭЦ-1'!H116</f>
        <v>27532</v>
      </c>
      <c r="I41" s="840">
        <f>'ТЭЦ-1'!I116</f>
        <v>0</v>
      </c>
      <c r="J41" s="818"/>
      <c r="K41" s="818"/>
      <c r="L41" s="818"/>
      <c r="M41" s="818"/>
      <c r="N41" s="818"/>
      <c r="O41" s="818"/>
      <c r="P41" s="818"/>
    </row>
    <row r="42" spans="1:16" ht="33.75" x14ac:dyDescent="0.2">
      <c r="A42" s="842" t="str">
        <f>+'ТЭЦ-1'!B117</f>
        <v>Техническое перевооружение главных станционных паропроводов ТЭЦ-1: 2-й этап - в пределах машинного зала и к РОУ-1 и РОУ-2</v>
      </c>
      <c r="B42" s="771" t="str">
        <f t="shared" si="13"/>
        <v>тыс.  руб.</v>
      </c>
      <c r="C42" s="818"/>
      <c r="D42" s="818"/>
      <c r="E42" s="840">
        <f>'ТЭЦ-1'!E117</f>
        <v>0</v>
      </c>
      <c r="F42" s="840">
        <f>'ТЭЦ-1'!F117</f>
        <v>14924</v>
      </c>
      <c r="G42" s="840">
        <f>'ТЭЦ-1'!G117</f>
        <v>0</v>
      </c>
      <c r="H42" s="840">
        <f>'ТЭЦ-1'!H117</f>
        <v>0</v>
      </c>
      <c r="I42" s="840">
        <f>'ТЭЦ-1'!I117</f>
        <v>0</v>
      </c>
      <c r="J42" s="818"/>
      <c r="K42" s="818"/>
      <c r="L42" s="818"/>
      <c r="M42" s="818"/>
      <c r="N42" s="818"/>
      <c r="O42" s="818"/>
      <c r="P42" s="818"/>
    </row>
    <row r="43" spans="1:16" ht="22.5" x14ac:dyDescent="0.2">
      <c r="A43" s="842" t="str">
        <f>+'ТЭЦ-1'!B118</f>
        <v>капитальные вложения в реконструкцию оборудования за счет амортизации</v>
      </c>
      <c r="B43" s="771"/>
      <c r="C43" s="840">
        <f>'ТЭЦ-1'!C118</f>
        <v>0</v>
      </c>
      <c r="D43" s="840">
        <f>'ТЭЦ-1'!D118</f>
        <v>0</v>
      </c>
      <c r="E43" s="840">
        <f>'ТЭЦ-1'!E118</f>
        <v>0</v>
      </c>
      <c r="F43" s="840">
        <f>'ТЭЦ-1'!F118</f>
        <v>0</v>
      </c>
      <c r="G43" s="840">
        <f>'ТЭЦ-1'!G118</f>
        <v>0</v>
      </c>
      <c r="H43" s="840">
        <f>'ТЭЦ-1'!H118</f>
        <v>0</v>
      </c>
      <c r="I43" s="840">
        <f>'ТЭЦ-1'!I118</f>
        <v>0</v>
      </c>
      <c r="J43" s="840">
        <f>'ТЭЦ-1'!J118</f>
        <v>4978.2171757312317</v>
      </c>
      <c r="K43" s="840">
        <f>'ТЭЦ-1'!K118</f>
        <v>5251.3071757312318</v>
      </c>
      <c r="L43" s="840">
        <f>'ТЭЦ-1'!L118</f>
        <v>5400.6536910031682</v>
      </c>
      <c r="M43" s="840">
        <f>'ТЭЦ-1'!M118</f>
        <v>5558.1929062751051</v>
      </c>
      <c r="N43" s="840">
        <f>'ТЭЦ-1'!N118</f>
        <v>5720.2125170052004</v>
      </c>
      <c r="O43" s="840">
        <f>'ТЭЦ-1'!O118</f>
        <v>5886.9583041934538</v>
      </c>
      <c r="P43" s="840">
        <f>'ТЭЦ-1'!P118</f>
        <v>6058.5646797036097</v>
      </c>
    </row>
    <row r="44" spans="1:16" x14ac:dyDescent="0.2">
      <c r="A44" s="770"/>
      <c r="B44" s="771"/>
      <c r="C44" s="818"/>
      <c r="D44" s="818"/>
      <c r="E44" s="818"/>
      <c r="F44" s="818"/>
      <c r="G44" s="818"/>
      <c r="H44" s="818"/>
      <c r="I44" s="818"/>
      <c r="J44" s="818"/>
      <c r="K44" s="818"/>
      <c r="L44" s="818"/>
      <c r="M44" s="818"/>
      <c r="N44" s="818"/>
      <c r="O44" s="818"/>
      <c r="P44" s="818"/>
    </row>
    <row r="45" spans="1:16" x14ac:dyDescent="0.2">
      <c r="A45" s="767" t="s">
        <v>262</v>
      </c>
      <c r="B45" s="769" t="s">
        <v>143</v>
      </c>
      <c r="C45" s="841">
        <f>SUM(C46:C54)</f>
        <v>0</v>
      </c>
      <c r="D45" s="841">
        <f t="shared" ref="D45:P45" si="14">SUM(D46:D54)</f>
        <v>0</v>
      </c>
      <c r="E45" s="841">
        <f t="shared" si="14"/>
        <v>21099</v>
      </c>
      <c r="F45" s="841">
        <f t="shared" si="14"/>
        <v>47657</v>
      </c>
      <c r="G45" s="841">
        <f t="shared" si="14"/>
        <v>8589</v>
      </c>
      <c r="H45" s="841">
        <f t="shared" si="14"/>
        <v>2000</v>
      </c>
      <c r="I45" s="841">
        <f t="shared" si="14"/>
        <v>0</v>
      </c>
      <c r="J45" s="841">
        <f t="shared" si="14"/>
        <v>12270.114069128978</v>
      </c>
      <c r="K45" s="841">
        <f t="shared" si="14"/>
        <v>12270.114069128978</v>
      </c>
      <c r="L45" s="841">
        <f t="shared" si="14"/>
        <v>12638.217491202848</v>
      </c>
      <c r="M45" s="841">
        <f t="shared" si="14"/>
        <v>13006.320913276717</v>
      </c>
      <c r="N45" s="841">
        <f t="shared" si="14"/>
        <v>13385.467438012802</v>
      </c>
      <c r="O45" s="841">
        <f t="shared" si="14"/>
        <v>13775.657065411104</v>
      </c>
      <c r="P45" s="841">
        <f t="shared" si="14"/>
        <v>14177.221088551487</v>
      </c>
    </row>
    <row r="46" spans="1:16" ht="22.5" x14ac:dyDescent="0.2">
      <c r="A46" s="842" t="str">
        <f>+'ТЭЦ-3'!B109</f>
        <v>Реконструкция (замена) паропровода турбоагрегата Т-100-120/130</v>
      </c>
      <c r="B46" s="771" t="str">
        <f t="shared" si="13"/>
        <v>тыс.  руб.</v>
      </c>
      <c r="C46" s="818">
        <v>0</v>
      </c>
      <c r="D46" s="818">
        <v>0</v>
      </c>
      <c r="E46" s="840">
        <f>+'ТЭЦ-3'!E109</f>
        <v>10588</v>
      </c>
      <c r="F46" s="840">
        <f>+'ТЭЦ-3'!F109</f>
        <v>0</v>
      </c>
      <c r="G46" s="840">
        <f>+'ТЭЦ-3'!G109</f>
        <v>0</v>
      </c>
      <c r="H46" s="840">
        <f>+'ТЭЦ-3'!H109</f>
        <v>0</v>
      </c>
      <c r="I46" s="840">
        <f>+'ТЭЦ-3'!I109</f>
        <v>0</v>
      </c>
      <c r="J46" s="840">
        <f>+'ТЭЦ-3'!J109</f>
        <v>0</v>
      </c>
      <c r="K46" s="840">
        <f>+'ТЭЦ-3'!K109</f>
        <v>0</v>
      </c>
      <c r="L46" s="840">
        <f>+'ТЭЦ-3'!L109</f>
        <v>0</v>
      </c>
      <c r="M46" s="840">
        <f>+'ТЭЦ-3'!M109</f>
        <v>0</v>
      </c>
      <c r="N46" s="840">
        <f>+'ТЭЦ-3'!N109</f>
        <v>0</v>
      </c>
      <c r="O46" s="840">
        <f>+'ТЭЦ-3'!O109</f>
        <v>0</v>
      </c>
      <c r="P46" s="840">
        <f>+'ТЭЦ-3'!P109</f>
        <v>0</v>
      </c>
    </row>
    <row r="47" spans="1:16" ht="45" x14ac:dyDescent="0.2">
      <c r="A47" s="842" t="str">
        <f>+'ТЭЦ-3'!B110</f>
        <v>Техническое перевооружение выхлопной части пароперегревателей котлоагрегатов №3-4 с установкой шумогасящих устройств (проектирование и монтаж шумогасящих устройств продувки) ТЭЦ-3</v>
      </c>
      <c r="B47" s="771" t="str">
        <f t="shared" si="13"/>
        <v>тыс.  руб.</v>
      </c>
      <c r="C47" s="818">
        <v>0</v>
      </c>
      <c r="D47" s="818">
        <v>0</v>
      </c>
      <c r="E47" s="840">
        <f>+'ТЭЦ-3'!E110</f>
        <v>1496</v>
      </c>
      <c r="F47" s="840">
        <f>+'ТЭЦ-3'!F110</f>
        <v>0</v>
      </c>
      <c r="G47" s="840">
        <f>+'ТЭЦ-3'!G110</f>
        <v>0</v>
      </c>
      <c r="H47" s="840">
        <f>+'ТЭЦ-3'!H110</f>
        <v>0</v>
      </c>
      <c r="I47" s="840">
        <f>+'ТЭЦ-3'!I110</f>
        <v>0</v>
      </c>
      <c r="J47" s="840">
        <f>+'ТЭЦ-3'!J110</f>
        <v>0</v>
      </c>
      <c r="K47" s="840">
        <f>+'ТЭЦ-3'!K110</f>
        <v>0</v>
      </c>
      <c r="L47" s="840">
        <f>+'ТЭЦ-3'!L110</f>
        <v>0</v>
      </c>
      <c r="M47" s="840">
        <f>+'ТЭЦ-3'!M110</f>
        <v>0</v>
      </c>
      <c r="N47" s="840">
        <f>+'ТЭЦ-3'!N110</f>
        <v>0</v>
      </c>
      <c r="O47" s="840">
        <f>+'ТЭЦ-3'!O110</f>
        <v>0</v>
      </c>
      <c r="P47" s="840">
        <f>+'ТЭЦ-3'!P110</f>
        <v>0</v>
      </c>
    </row>
    <row r="48" spans="1:16" ht="22.5" x14ac:dyDescent="0.2">
      <c r="A48" s="842" t="str">
        <f>+'ТЭЦ-3'!B111</f>
        <v>Переврезка пикового бойлера по конденсату с установкой дополнительного конденсатного насоса ТЭЦ-3</v>
      </c>
      <c r="B48" s="771" t="str">
        <f>B47</f>
        <v>тыс.  руб.</v>
      </c>
      <c r="C48" s="818">
        <v>0</v>
      </c>
      <c r="D48" s="818">
        <v>0</v>
      </c>
      <c r="E48" s="840">
        <f>+'ТЭЦ-3'!E111</f>
        <v>5006</v>
      </c>
      <c r="F48" s="840">
        <f>+'ТЭЦ-3'!F111</f>
        <v>0</v>
      </c>
      <c r="G48" s="840">
        <f>+'ТЭЦ-3'!G111</f>
        <v>0</v>
      </c>
      <c r="H48" s="840">
        <f>+'ТЭЦ-3'!H111</f>
        <v>0</v>
      </c>
      <c r="I48" s="840">
        <f>+'ТЭЦ-3'!I111</f>
        <v>0</v>
      </c>
      <c r="J48" s="840">
        <f>+'ТЭЦ-3'!J111</f>
        <v>0</v>
      </c>
      <c r="K48" s="840">
        <f>+'ТЭЦ-3'!K111</f>
        <v>0</v>
      </c>
      <c r="L48" s="840">
        <f>+'ТЭЦ-3'!L111</f>
        <v>0</v>
      </c>
      <c r="M48" s="840">
        <f>+'ТЭЦ-3'!M111</f>
        <v>0</v>
      </c>
      <c r="N48" s="840">
        <f>+'ТЭЦ-3'!N111</f>
        <v>0</v>
      </c>
      <c r="O48" s="840">
        <f>+'ТЭЦ-3'!O111</f>
        <v>0</v>
      </c>
      <c r="P48" s="840">
        <f>+'ТЭЦ-3'!P111</f>
        <v>0</v>
      </c>
    </row>
    <row r="49" spans="1:16" ht="22.5" x14ac:dyDescent="0.2">
      <c r="A49" s="842" t="str">
        <f>+'ТЭЦ-3'!B112</f>
        <v>Реконструкция (перемотка) изоляции турбогенератора ТВФ-63</v>
      </c>
      <c r="B49" s="771" t="str">
        <f t="shared" ref="B49:B52" si="15">B48</f>
        <v>тыс.  руб.</v>
      </c>
      <c r="C49" s="818">
        <v>0</v>
      </c>
      <c r="D49" s="818">
        <v>0</v>
      </c>
      <c r="E49" s="840">
        <f>+'ТЭЦ-3'!E112</f>
        <v>0</v>
      </c>
      <c r="F49" s="840">
        <f>+'ТЭЦ-3'!F112</f>
        <v>45657</v>
      </c>
      <c r="G49" s="840">
        <f>+'ТЭЦ-3'!G112</f>
        <v>0</v>
      </c>
      <c r="H49" s="840">
        <f>+'ТЭЦ-3'!H112</f>
        <v>0</v>
      </c>
      <c r="I49" s="840">
        <f>+'ТЭЦ-3'!I112</f>
        <v>0</v>
      </c>
      <c r="J49" s="840">
        <f>+'ТЭЦ-3'!J112</f>
        <v>0</v>
      </c>
      <c r="K49" s="840">
        <f>+'ТЭЦ-3'!K112</f>
        <v>0</v>
      </c>
      <c r="L49" s="840">
        <f>+'ТЭЦ-3'!L112</f>
        <v>0</v>
      </c>
      <c r="M49" s="840">
        <f>+'ТЭЦ-3'!M112</f>
        <v>0</v>
      </c>
      <c r="N49" s="840">
        <f>+'ТЭЦ-3'!N112</f>
        <v>0</v>
      </c>
      <c r="O49" s="840">
        <f>+'ТЭЦ-3'!O112</f>
        <v>0</v>
      </c>
      <c r="P49" s="840">
        <f>+'ТЭЦ-3'!P112</f>
        <v>0</v>
      </c>
    </row>
    <row r="50" spans="1:16" ht="33.75" x14ac:dyDescent="0.2">
      <c r="A50" s="842" t="str">
        <f>+'ТЭЦ-3'!B113</f>
        <v>Реконструкция двух насосов хозяйственной воды на насосы меньшего напряжения с установкой отдельного трансформатора и частотного привода.</v>
      </c>
      <c r="B50" s="771" t="str">
        <f t="shared" si="15"/>
        <v>тыс.  руб.</v>
      </c>
      <c r="C50" s="818">
        <v>0</v>
      </c>
      <c r="D50" s="818">
        <v>0</v>
      </c>
      <c r="E50" s="840">
        <f>+'ТЭЦ-3'!E113</f>
        <v>0</v>
      </c>
      <c r="F50" s="840">
        <f>+'ТЭЦ-3'!F113</f>
        <v>0</v>
      </c>
      <c r="G50" s="840">
        <f>+'ТЭЦ-3'!G113</f>
        <v>4589</v>
      </c>
      <c r="H50" s="840">
        <f>+'ТЭЦ-3'!H113</f>
        <v>0</v>
      </c>
      <c r="I50" s="840">
        <f>+'ТЭЦ-3'!I113</f>
        <v>0</v>
      </c>
      <c r="J50" s="840">
        <f>+'ТЭЦ-3'!J113</f>
        <v>0</v>
      </c>
      <c r="K50" s="840">
        <f>+'ТЭЦ-3'!K113</f>
        <v>0</v>
      </c>
      <c r="L50" s="840">
        <f>+'ТЭЦ-3'!L113</f>
        <v>0</v>
      </c>
      <c r="M50" s="840">
        <f>+'ТЭЦ-3'!M113</f>
        <v>0</v>
      </c>
      <c r="N50" s="840">
        <f>+'ТЭЦ-3'!N113</f>
        <v>0</v>
      </c>
      <c r="O50" s="840">
        <f>+'ТЭЦ-3'!O113</f>
        <v>0</v>
      </c>
      <c r="P50" s="840">
        <f>+'ТЭЦ-3'!P113</f>
        <v>0</v>
      </c>
    </row>
    <row r="51" spans="1:16" ht="22.5" x14ac:dyDescent="0.2">
      <c r="A51" s="842" t="str">
        <f>+'ТЭЦ-3'!B114</f>
        <v>Установка багерного насоса малой производительности для режимов с малым поступлением смывных вод.</v>
      </c>
      <c r="B51" s="771" t="str">
        <f>B50</f>
        <v>тыс.  руб.</v>
      </c>
      <c r="C51" s="818">
        <v>0</v>
      </c>
      <c r="D51" s="818">
        <v>0</v>
      </c>
      <c r="E51" s="840">
        <f>+'ТЭЦ-3'!E114</f>
        <v>2009</v>
      </c>
      <c r="F51" s="840">
        <f>+'ТЭЦ-3'!F114</f>
        <v>0</v>
      </c>
      <c r="G51" s="840">
        <f>+'ТЭЦ-3'!G114</f>
        <v>0</v>
      </c>
      <c r="H51" s="840">
        <f>+'ТЭЦ-3'!H114</f>
        <v>0</v>
      </c>
      <c r="I51" s="840">
        <f>+'ТЭЦ-3'!I114</f>
        <v>0</v>
      </c>
      <c r="J51" s="840">
        <f>+'ТЭЦ-3'!J114</f>
        <v>0</v>
      </c>
      <c r="K51" s="840">
        <f>+'ТЭЦ-3'!K114</f>
        <v>0</v>
      </c>
      <c r="L51" s="840">
        <f>+'ТЭЦ-3'!L114</f>
        <v>0</v>
      </c>
      <c r="M51" s="840">
        <f>+'ТЭЦ-3'!M114</f>
        <v>0</v>
      </c>
      <c r="N51" s="840">
        <f>+'ТЭЦ-3'!N114</f>
        <v>0</v>
      </c>
      <c r="O51" s="840">
        <f>+'ТЭЦ-3'!O114</f>
        <v>0</v>
      </c>
      <c r="P51" s="840">
        <f>+'ТЭЦ-3'!P114</f>
        <v>0</v>
      </c>
    </row>
    <row r="52" spans="1:16" ht="22.5" x14ac:dyDescent="0.2">
      <c r="A52" s="842" t="str">
        <f>+'ТЭЦ-3'!B115</f>
        <v>Переобвязка Нг фильтров в связи с переходом на новый фильтрующий материал</v>
      </c>
      <c r="B52" s="771" t="str">
        <f t="shared" si="15"/>
        <v>тыс.  руб.</v>
      </c>
      <c r="C52" s="818">
        <v>0</v>
      </c>
      <c r="D52" s="818">
        <v>0</v>
      </c>
      <c r="E52" s="840">
        <f>+'ТЭЦ-3'!E115</f>
        <v>2000</v>
      </c>
      <c r="F52" s="840">
        <f>+'ТЭЦ-3'!F115</f>
        <v>2000</v>
      </c>
      <c r="G52" s="840">
        <f>+'ТЭЦ-3'!G115</f>
        <v>4000</v>
      </c>
      <c r="H52" s="840">
        <f>+'ТЭЦ-3'!H115</f>
        <v>2000</v>
      </c>
      <c r="I52" s="840">
        <f>+'ТЭЦ-3'!I115</f>
        <v>0</v>
      </c>
      <c r="J52" s="840">
        <f>+'ТЭЦ-3'!J115</f>
        <v>0</v>
      </c>
      <c r="K52" s="840">
        <f>+'ТЭЦ-3'!K115</f>
        <v>0</v>
      </c>
      <c r="L52" s="840">
        <f>+'ТЭЦ-3'!L115</f>
        <v>0</v>
      </c>
      <c r="M52" s="840">
        <f>+'ТЭЦ-3'!M115</f>
        <v>0</v>
      </c>
      <c r="N52" s="840">
        <f>+'ТЭЦ-3'!N115</f>
        <v>0</v>
      </c>
      <c r="O52" s="840">
        <f>+'ТЭЦ-3'!O115</f>
        <v>0</v>
      </c>
      <c r="P52" s="840">
        <f>+'ТЭЦ-3'!P115</f>
        <v>0</v>
      </c>
    </row>
    <row r="53" spans="1:16" ht="22.5" x14ac:dyDescent="0.2">
      <c r="A53" s="842" t="str">
        <f>+'ТЭЦ-3'!B116</f>
        <v>капитальные вложения в реконструкцию оборудования за счет амортизации</v>
      </c>
      <c r="B53" s="771"/>
      <c r="C53" s="840">
        <f>+'ТЭЦ-3'!C116</f>
        <v>0</v>
      </c>
      <c r="D53" s="840">
        <f>+'ТЭЦ-3'!D116</f>
        <v>0</v>
      </c>
      <c r="E53" s="840">
        <f>+'ТЭЦ-3'!E116</f>
        <v>0</v>
      </c>
      <c r="F53" s="840">
        <f>+'ТЭЦ-3'!F116</f>
        <v>0</v>
      </c>
      <c r="G53" s="840">
        <f>+'ТЭЦ-3'!G116</f>
        <v>0</v>
      </c>
      <c r="H53" s="840">
        <f>+'ТЭЦ-3'!H116</f>
        <v>0</v>
      </c>
      <c r="I53" s="840">
        <f>+'ТЭЦ-3'!I116</f>
        <v>0</v>
      </c>
      <c r="J53" s="840">
        <f>+'ТЭЦ-3'!J116</f>
        <v>12270.114069128978</v>
      </c>
      <c r="K53" s="840">
        <f>+'ТЭЦ-3'!K116</f>
        <v>12270.114069128978</v>
      </c>
      <c r="L53" s="840">
        <f>+'ТЭЦ-3'!L116</f>
        <v>12638.217491202848</v>
      </c>
      <c r="M53" s="840">
        <f>+'ТЭЦ-3'!M116</f>
        <v>13006.320913276717</v>
      </c>
      <c r="N53" s="840">
        <f>+'ТЭЦ-3'!N116</f>
        <v>13385.467438012802</v>
      </c>
      <c r="O53" s="840">
        <f>+'ТЭЦ-3'!O116</f>
        <v>13775.657065411104</v>
      </c>
      <c r="P53" s="840">
        <f>+'ТЭЦ-3'!P116</f>
        <v>14177.221088551487</v>
      </c>
    </row>
    <row r="54" spans="1:16" x14ac:dyDescent="0.2">
      <c r="A54" s="770"/>
      <c r="B54" s="771"/>
      <c r="C54" s="818">
        <v>0</v>
      </c>
      <c r="D54" s="818">
        <v>0</v>
      </c>
      <c r="E54" s="818"/>
      <c r="F54" s="818"/>
      <c r="G54" s="818"/>
      <c r="H54" s="818"/>
      <c r="I54" s="818">
        <v>0</v>
      </c>
      <c r="J54" s="818">
        <v>0</v>
      </c>
      <c r="K54" s="818">
        <v>0</v>
      </c>
      <c r="L54" s="818">
        <v>0</v>
      </c>
      <c r="M54" s="818">
        <v>0</v>
      </c>
      <c r="N54" s="818">
        <v>0</v>
      </c>
      <c r="O54" s="818">
        <v>0</v>
      </c>
      <c r="P54" s="818">
        <v>0</v>
      </c>
    </row>
    <row r="55" spans="1:16" x14ac:dyDescent="0.2">
      <c r="A55" s="767" t="s">
        <v>423</v>
      </c>
      <c r="B55" s="769" t="s">
        <v>143</v>
      </c>
      <c r="C55" s="841">
        <f t="shared" ref="C55:P55" si="16">SUM(C56:C68)</f>
        <v>0</v>
      </c>
      <c r="D55" s="841">
        <f t="shared" si="16"/>
        <v>0</v>
      </c>
      <c r="E55" s="841">
        <f t="shared" si="16"/>
        <v>62081.869816779174</v>
      </c>
      <c r="F55" s="841">
        <f t="shared" si="16"/>
        <v>40830</v>
      </c>
      <c r="G55" s="841">
        <f t="shared" si="16"/>
        <v>58442.664739884392</v>
      </c>
      <c r="H55" s="841">
        <f t="shared" si="16"/>
        <v>33815</v>
      </c>
      <c r="I55" s="841">
        <f t="shared" si="16"/>
        <v>115371</v>
      </c>
      <c r="J55" s="841">
        <f t="shared" si="16"/>
        <v>14910.721883538919</v>
      </c>
      <c r="K55" s="841">
        <f t="shared" si="16"/>
        <v>18371.851883538919</v>
      </c>
      <c r="L55" s="841">
        <f t="shared" si="16"/>
        <v>18819.173540045085</v>
      </c>
      <c r="M55" s="841">
        <f t="shared" si="16"/>
        <v>19370.329096551253</v>
      </c>
      <c r="N55" s="841">
        <f t="shared" si="16"/>
        <v>19934.904302752606</v>
      </c>
      <c r="O55" s="841">
        <f t="shared" si="16"/>
        <v>20516.014175649147</v>
      </c>
      <c r="P55" s="841">
        <f t="shared" si="16"/>
        <v>21114.06130473172</v>
      </c>
    </row>
    <row r="56" spans="1:16" x14ac:dyDescent="0.2">
      <c r="A56" s="842" t="str">
        <f>+'ТЭЦ-4'!B111</f>
        <v xml:space="preserve">Техническое перевооружение химводоочистки ТЭЦ-4 </v>
      </c>
      <c r="B56" s="771" t="s">
        <v>143</v>
      </c>
      <c r="C56" s="818">
        <v>0</v>
      </c>
      <c r="D56" s="818"/>
      <c r="E56" s="840">
        <f>+'ТЭЦ-4'!E111</f>
        <v>40177</v>
      </c>
      <c r="F56" s="840">
        <f>+'ТЭЦ-4'!F111</f>
        <v>30000</v>
      </c>
      <c r="G56" s="840">
        <f>+'ТЭЦ-4'!G111</f>
        <v>13500</v>
      </c>
      <c r="H56" s="840">
        <f>+'ТЭЦ-4'!H111</f>
        <v>0</v>
      </c>
      <c r="I56" s="840">
        <f>+'ТЭЦ-4'!I111</f>
        <v>0</v>
      </c>
      <c r="J56" s="818">
        <v>0</v>
      </c>
      <c r="K56" s="818">
        <v>0</v>
      </c>
      <c r="L56" s="818">
        <v>0</v>
      </c>
      <c r="M56" s="818">
        <v>0</v>
      </c>
      <c r="N56" s="818">
        <v>0</v>
      </c>
      <c r="O56" s="818">
        <v>0</v>
      </c>
      <c r="P56" s="818">
        <v>0</v>
      </c>
    </row>
    <row r="57" spans="1:16" ht="33.75" x14ac:dyDescent="0.2">
      <c r="A57" s="842" t="str">
        <f>+'ТЭЦ-4'!B112</f>
        <v>Техническое перевооружение внутристанционной схемы теплосети ТЭЦ-4 с установкой аккумуляторного бака ёмкостью 5000 м3</v>
      </c>
      <c r="B57" s="771" t="s">
        <v>143</v>
      </c>
      <c r="C57" s="818">
        <v>0</v>
      </c>
      <c r="D57" s="818"/>
      <c r="E57" s="840">
        <f>+'ТЭЦ-4'!E112</f>
        <v>0</v>
      </c>
      <c r="F57" s="840">
        <f>+'ТЭЦ-4'!F112</f>
        <v>0</v>
      </c>
      <c r="G57" s="840">
        <f>+'ТЭЦ-4'!G112</f>
        <v>0</v>
      </c>
      <c r="H57" s="840">
        <f>+'ТЭЦ-4'!H112</f>
        <v>9388</v>
      </c>
      <c r="I57" s="840">
        <f>+'ТЭЦ-4'!I112</f>
        <v>23836</v>
      </c>
      <c r="J57" s="818">
        <v>0</v>
      </c>
      <c r="K57" s="818">
        <v>0</v>
      </c>
      <c r="L57" s="818">
        <v>0</v>
      </c>
      <c r="M57" s="818">
        <v>0</v>
      </c>
      <c r="N57" s="818">
        <v>0</v>
      </c>
      <c r="O57" s="818">
        <v>0</v>
      </c>
      <c r="P57" s="818">
        <v>0</v>
      </c>
    </row>
    <row r="58" spans="1:16" ht="56.25" x14ac:dyDescent="0.2">
      <c r="A58" s="842" t="str">
        <f>+'ТЭЦ-4'!B113</f>
        <v>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</v>
      </c>
      <c r="B58" s="771" t="s">
        <v>143</v>
      </c>
      <c r="C58" s="818">
        <v>0</v>
      </c>
      <c r="D58" s="818"/>
      <c r="E58" s="840">
        <f>+'ТЭЦ-4'!E113</f>
        <v>3354.8698167791708</v>
      </c>
      <c r="F58" s="840">
        <f>+'ТЭЦ-4'!F113</f>
        <v>9739</v>
      </c>
      <c r="G58" s="840">
        <f>+'ТЭЦ-4'!G113</f>
        <v>0</v>
      </c>
      <c r="H58" s="840">
        <f>+'ТЭЦ-4'!H113</f>
        <v>0</v>
      </c>
      <c r="I58" s="840">
        <f>+'ТЭЦ-4'!I113</f>
        <v>25715</v>
      </c>
      <c r="J58" s="818">
        <v>0</v>
      </c>
      <c r="K58" s="818">
        <v>0</v>
      </c>
      <c r="L58" s="818">
        <v>0</v>
      </c>
      <c r="M58" s="818">
        <v>0</v>
      </c>
      <c r="N58" s="818">
        <v>0</v>
      </c>
      <c r="O58" s="818">
        <v>0</v>
      </c>
      <c r="P58" s="818">
        <v>0</v>
      </c>
    </row>
    <row r="59" spans="1:16" ht="22.5" x14ac:dyDescent="0.2">
      <c r="A59" s="842" t="str">
        <f>+'ТЭЦ-4'!B114</f>
        <v>Техническое перевооружение конвективной части водогрейного котла №3 ТЭЦ-4</v>
      </c>
      <c r="B59" s="771" t="s">
        <v>143</v>
      </c>
      <c r="C59" s="818">
        <v>0</v>
      </c>
      <c r="D59" s="818"/>
      <c r="E59" s="840">
        <f>+'ТЭЦ-4'!E114</f>
        <v>0</v>
      </c>
      <c r="F59" s="840">
        <f>+'ТЭЦ-4'!F114</f>
        <v>0</v>
      </c>
      <c r="G59" s="840">
        <f>+'ТЭЦ-4'!G114</f>
        <v>12899</v>
      </c>
      <c r="H59" s="840">
        <f>+'ТЭЦ-4'!H114</f>
        <v>0</v>
      </c>
      <c r="I59" s="840">
        <f>+'ТЭЦ-4'!I114</f>
        <v>0</v>
      </c>
      <c r="J59" s="818">
        <v>0</v>
      </c>
      <c r="K59" s="818">
        <v>0</v>
      </c>
      <c r="L59" s="818">
        <v>0</v>
      </c>
      <c r="M59" s="818">
        <v>0</v>
      </c>
      <c r="N59" s="818">
        <v>0</v>
      </c>
      <c r="O59" s="818">
        <v>0</v>
      </c>
      <c r="P59" s="818">
        <v>0</v>
      </c>
    </row>
    <row r="60" spans="1:16" ht="22.5" x14ac:dyDescent="0.2">
      <c r="A60" s="842" t="str">
        <f>+'ТЭЦ-4'!B115</f>
        <v>Установка ЧРП на подпиточных насосах ТЭЦ-4 с заменой одного из насосов 350Д-90</v>
      </c>
      <c r="B60" s="771" t="s">
        <v>143</v>
      </c>
      <c r="C60" s="818">
        <v>0</v>
      </c>
      <c r="D60" s="818"/>
      <c r="E60" s="840">
        <f>+'ТЭЦ-4'!E115</f>
        <v>0</v>
      </c>
      <c r="F60" s="840">
        <f>+'ТЭЦ-4'!F115</f>
        <v>1091</v>
      </c>
      <c r="G60" s="840">
        <f>+'ТЭЦ-4'!G115</f>
        <v>0</v>
      </c>
      <c r="H60" s="840">
        <f>+'ТЭЦ-4'!H115</f>
        <v>0</v>
      </c>
      <c r="I60" s="840">
        <f>+'ТЭЦ-4'!I115</f>
        <v>0</v>
      </c>
      <c r="J60" s="818">
        <v>0</v>
      </c>
      <c r="K60" s="818">
        <v>0</v>
      </c>
      <c r="L60" s="818">
        <v>0</v>
      </c>
      <c r="M60" s="818">
        <v>0</v>
      </c>
      <c r="N60" s="818">
        <v>0</v>
      </c>
      <c r="O60" s="818">
        <v>0</v>
      </c>
      <c r="P60" s="818">
        <v>0</v>
      </c>
    </row>
    <row r="61" spans="1:16" x14ac:dyDescent="0.2">
      <c r="A61" s="842" t="str">
        <f>+'ТЭЦ-4'!B116</f>
        <v>Техперевооружение мазутных баков ст.№№4,5 ТЭЦ-4</v>
      </c>
      <c r="B61" s="771" t="s">
        <v>143</v>
      </c>
      <c r="C61" s="818">
        <v>0</v>
      </c>
      <c r="D61" s="818"/>
      <c r="E61" s="840">
        <f>+'ТЭЦ-4'!E116</f>
        <v>18550</v>
      </c>
      <c r="F61" s="840">
        <f>+'ТЭЦ-4'!F116</f>
        <v>0</v>
      </c>
      <c r="G61" s="840">
        <f>+'ТЭЦ-4'!G116</f>
        <v>0</v>
      </c>
      <c r="H61" s="840">
        <f>+'ТЭЦ-4'!H116</f>
        <v>0</v>
      </c>
      <c r="I61" s="840">
        <f>+'ТЭЦ-4'!I116</f>
        <v>0</v>
      </c>
      <c r="J61" s="818">
        <v>0</v>
      </c>
      <c r="K61" s="818">
        <v>0</v>
      </c>
      <c r="L61" s="818">
        <v>0</v>
      </c>
      <c r="M61" s="818">
        <v>0</v>
      </c>
      <c r="N61" s="818">
        <v>0</v>
      </c>
      <c r="O61" s="818">
        <v>0</v>
      </c>
      <c r="P61" s="818">
        <v>0</v>
      </c>
    </row>
    <row r="62" spans="1:16" x14ac:dyDescent="0.2">
      <c r="A62" s="842" t="str">
        <f>+'ТЭЦ-4'!B117</f>
        <v>Реконструкция БРОУ 100/16  ТЭЦ-4</v>
      </c>
      <c r="B62" s="771" t="s">
        <v>143</v>
      </c>
      <c r="C62" s="818">
        <v>0</v>
      </c>
      <c r="D62" s="818"/>
      <c r="E62" s="840">
        <f>+'ТЭЦ-4'!E117</f>
        <v>0</v>
      </c>
      <c r="F62" s="840">
        <f>+'ТЭЦ-4'!F117</f>
        <v>0</v>
      </c>
      <c r="G62" s="840">
        <f>+'ТЭЦ-4'!G117</f>
        <v>0</v>
      </c>
      <c r="H62" s="840">
        <f>+'ТЭЦ-4'!H117</f>
        <v>14496</v>
      </c>
      <c r="I62" s="840">
        <f>+'ТЭЦ-4'!I117</f>
        <v>0</v>
      </c>
      <c r="J62" s="818">
        <v>0</v>
      </c>
      <c r="K62" s="818">
        <v>0</v>
      </c>
      <c r="L62" s="818">
        <v>0</v>
      </c>
      <c r="M62" s="818">
        <v>0</v>
      </c>
      <c r="N62" s="818">
        <v>0</v>
      </c>
      <c r="O62" s="818">
        <v>0</v>
      </c>
      <c r="P62" s="818">
        <v>0</v>
      </c>
    </row>
    <row r="63" spans="1:16" ht="22.5" x14ac:dyDescent="0.2">
      <c r="A63" s="842" t="str">
        <f>+'ТЭЦ-4'!B118</f>
        <v>Реконструкция внутристанционного парового коллектора 1.2-2.5 ата ТЭЦ-4</v>
      </c>
      <c r="B63" s="771" t="s">
        <v>143</v>
      </c>
      <c r="C63" s="818">
        <v>0</v>
      </c>
      <c r="D63" s="818"/>
      <c r="E63" s="840">
        <f>+'ТЭЦ-4'!E118</f>
        <v>0</v>
      </c>
      <c r="F63" s="840">
        <f>+'ТЭЦ-4'!F118</f>
        <v>0</v>
      </c>
      <c r="G63" s="840">
        <f>+'ТЭЦ-4'!G118</f>
        <v>0</v>
      </c>
      <c r="H63" s="840">
        <f>+'ТЭЦ-4'!H118</f>
        <v>0</v>
      </c>
      <c r="I63" s="840">
        <f>+'ТЭЦ-4'!I118</f>
        <v>28377</v>
      </c>
      <c r="J63" s="818">
        <v>0</v>
      </c>
      <c r="K63" s="818">
        <v>0</v>
      </c>
      <c r="L63" s="818">
        <v>0</v>
      </c>
      <c r="M63" s="818">
        <v>0</v>
      </c>
      <c r="N63" s="818">
        <v>0</v>
      </c>
      <c r="O63" s="818">
        <v>0</v>
      </c>
      <c r="P63" s="818">
        <v>0</v>
      </c>
    </row>
    <row r="64" spans="1:16" ht="22.5" x14ac:dyDescent="0.2">
      <c r="A64" s="842" t="str">
        <f>+'ТЭЦ-4'!B119</f>
        <v>Реконструкция осветлителя в схеме подготовки подпиточной воды ТЭЦ-4</v>
      </c>
      <c r="B64" s="771" t="s">
        <v>143</v>
      </c>
      <c r="C64" s="818">
        <v>0</v>
      </c>
      <c r="D64" s="818"/>
      <c r="E64" s="840">
        <f>+'ТЭЦ-4'!E119</f>
        <v>0</v>
      </c>
      <c r="F64" s="840">
        <f>+'ТЭЦ-4'!F119</f>
        <v>0</v>
      </c>
      <c r="G64" s="840">
        <f>+'ТЭЦ-4'!G119</f>
        <v>0</v>
      </c>
      <c r="H64" s="840">
        <f>+'ТЭЦ-4'!H119</f>
        <v>0</v>
      </c>
      <c r="I64" s="840">
        <f>+'ТЭЦ-4'!I119</f>
        <v>37443</v>
      </c>
      <c r="J64" s="818">
        <v>0</v>
      </c>
      <c r="K64" s="818">
        <v>0</v>
      </c>
      <c r="L64" s="818">
        <v>0</v>
      </c>
      <c r="M64" s="818">
        <v>0</v>
      </c>
      <c r="N64" s="818">
        <v>0</v>
      </c>
      <c r="O64" s="818">
        <v>0</v>
      </c>
      <c r="P64" s="818">
        <v>0</v>
      </c>
    </row>
    <row r="65" spans="1:16" ht="22.5" x14ac:dyDescent="0.2">
      <c r="A65" s="842" t="str">
        <f>+'ТЭЦ-4'!B120</f>
        <v>Техническое перевооружение кабельной связи РУ-6 кВ БНС на ТЭЦ-4</v>
      </c>
      <c r="B65" s="771" t="s">
        <v>143</v>
      </c>
      <c r="C65" s="818">
        <v>0</v>
      </c>
      <c r="D65" s="818"/>
      <c r="E65" s="840">
        <f>+'ТЭЦ-4'!E120</f>
        <v>0</v>
      </c>
      <c r="F65" s="840">
        <f>+'ТЭЦ-4'!F120</f>
        <v>0</v>
      </c>
      <c r="G65" s="840">
        <f>+'ТЭЦ-4'!G120</f>
        <v>3745.6647398843929</v>
      </c>
      <c r="H65" s="840">
        <f>+'ТЭЦ-4'!H120</f>
        <v>0</v>
      </c>
      <c r="I65" s="840">
        <f>+'ТЭЦ-4'!I120</f>
        <v>0</v>
      </c>
      <c r="J65" s="818">
        <v>0</v>
      </c>
      <c r="K65" s="818">
        <v>0</v>
      </c>
      <c r="L65" s="818">
        <v>0</v>
      </c>
      <c r="M65" s="818">
        <v>0</v>
      </c>
      <c r="N65" s="818">
        <v>0</v>
      </c>
      <c r="O65" s="818">
        <v>0</v>
      </c>
      <c r="P65" s="818">
        <v>0</v>
      </c>
    </row>
    <row r="66" spans="1:16" x14ac:dyDescent="0.2">
      <c r="A66" s="842" t="str">
        <f>+'ТЭЦ-4'!B121</f>
        <v>Установка паровинтовой машины с ПЭН ТЭЦ-4</v>
      </c>
      <c r="B66" s="771"/>
      <c r="C66" s="818"/>
      <c r="D66" s="818"/>
      <c r="E66" s="840">
        <f>+'ТЭЦ-4'!E121</f>
        <v>0</v>
      </c>
      <c r="F66" s="840">
        <f>+'ТЭЦ-4'!F121</f>
        <v>0</v>
      </c>
      <c r="G66" s="840">
        <f>+'ТЭЦ-4'!G121</f>
        <v>28298</v>
      </c>
      <c r="H66" s="840">
        <f>+'ТЭЦ-4'!H121</f>
        <v>9931</v>
      </c>
      <c r="I66" s="840">
        <f>+'ТЭЦ-4'!I121</f>
        <v>0</v>
      </c>
      <c r="J66" s="818"/>
      <c r="K66" s="818"/>
      <c r="L66" s="818"/>
      <c r="M66" s="818"/>
      <c r="N66" s="818"/>
      <c r="O66" s="818"/>
      <c r="P66" s="818"/>
    </row>
    <row r="67" spans="1:16" ht="22.5" x14ac:dyDescent="0.2">
      <c r="A67" s="842" t="str">
        <f>+'ТЭЦ-4'!B122</f>
        <v>капитальные вложения в реконструкцию оборудования за счет амортизации</v>
      </c>
      <c r="B67" s="771"/>
      <c r="C67" s="840">
        <f>+'ТЭЦ-4'!C122</f>
        <v>0</v>
      </c>
      <c r="D67" s="840">
        <f>+'ТЭЦ-4'!D122</f>
        <v>0</v>
      </c>
      <c r="E67" s="840">
        <f>+'ТЭЦ-4'!E122</f>
        <v>0</v>
      </c>
      <c r="F67" s="840">
        <f>+'ТЭЦ-4'!F122</f>
        <v>0</v>
      </c>
      <c r="G67" s="840">
        <f>+'ТЭЦ-4'!G122</f>
        <v>0</v>
      </c>
      <c r="H67" s="840">
        <f>+'ТЭЦ-4'!H122</f>
        <v>0</v>
      </c>
      <c r="I67" s="840">
        <f>+'ТЭЦ-4'!I122</f>
        <v>0</v>
      </c>
      <c r="J67" s="840">
        <f>+'ТЭЦ-4'!J122</f>
        <v>14910.721883538919</v>
      </c>
      <c r="K67" s="840">
        <f>+'ТЭЦ-4'!K122</f>
        <v>18371.851883538919</v>
      </c>
      <c r="L67" s="840">
        <f>+'ТЭЦ-4'!L122</f>
        <v>18819.173540045085</v>
      </c>
      <c r="M67" s="840">
        <f>+'ТЭЦ-4'!M122</f>
        <v>19370.329096551253</v>
      </c>
      <c r="N67" s="840">
        <f>+'ТЭЦ-4'!N122</f>
        <v>19934.904302752606</v>
      </c>
      <c r="O67" s="840">
        <f>+'ТЭЦ-4'!O122</f>
        <v>20516.014175649147</v>
      </c>
      <c r="P67" s="840">
        <f>+'ТЭЦ-4'!P122</f>
        <v>21114.06130473172</v>
      </c>
    </row>
    <row r="68" spans="1:16" x14ac:dyDescent="0.2">
      <c r="A68" s="770"/>
      <c r="B68" s="771"/>
      <c r="C68" s="818">
        <v>0</v>
      </c>
      <c r="D68" s="818"/>
      <c r="E68" s="818"/>
      <c r="F68" s="818"/>
      <c r="G68" s="818"/>
      <c r="H68" s="818"/>
      <c r="I68" s="818">
        <v>0</v>
      </c>
      <c r="J68" s="818">
        <v>0</v>
      </c>
      <c r="K68" s="818">
        <v>0</v>
      </c>
      <c r="L68" s="818">
        <v>0</v>
      </c>
      <c r="M68" s="818">
        <v>0</v>
      </c>
      <c r="N68" s="818">
        <v>0</v>
      </c>
      <c r="O68" s="818">
        <v>0</v>
      </c>
      <c r="P68" s="818">
        <v>0</v>
      </c>
    </row>
    <row r="69" spans="1:16" x14ac:dyDescent="0.2">
      <c r="A69" s="767" t="s">
        <v>267</v>
      </c>
      <c r="B69" s="769" t="s">
        <v>143</v>
      </c>
      <c r="C69" s="841">
        <f>SUM(C70:C92)</f>
        <v>0</v>
      </c>
      <c r="D69" s="841">
        <f t="shared" ref="D69:P69" si="17">SUM(D70:D92)</f>
        <v>0</v>
      </c>
      <c r="E69" s="841">
        <f t="shared" si="17"/>
        <v>16434</v>
      </c>
      <c r="F69" s="841">
        <f t="shared" si="17"/>
        <v>79513</v>
      </c>
      <c r="G69" s="841">
        <f t="shared" si="17"/>
        <v>48973</v>
      </c>
      <c r="H69" s="841">
        <f t="shared" si="17"/>
        <v>91975.246628131019</v>
      </c>
      <c r="I69" s="841">
        <f t="shared" si="17"/>
        <v>4406</v>
      </c>
      <c r="J69" s="841">
        <f t="shared" si="17"/>
        <v>7677.1833942770209</v>
      </c>
      <c r="K69" s="841">
        <f t="shared" si="17"/>
        <v>7809.3633942770202</v>
      </c>
      <c r="L69" s="841">
        <f t="shared" si="17"/>
        <v>8039.6788961053308</v>
      </c>
      <c r="M69" s="841">
        <f t="shared" si="17"/>
        <v>8273.9597979336413</v>
      </c>
      <c r="N69" s="841">
        <f t="shared" si="17"/>
        <v>8515.1501648168014</v>
      </c>
      <c r="O69" s="841">
        <f t="shared" si="17"/>
        <v>8763.3689587548106</v>
      </c>
      <c r="P69" s="841">
        <f t="shared" si="17"/>
        <v>9018.8234636993147</v>
      </c>
    </row>
    <row r="70" spans="1:16" ht="45" x14ac:dyDescent="0.2">
      <c r="A70" s="842" t="str">
        <f>+Кот.!B221</f>
        <v xml:space="preserve">Техническое перевооружение водогрейного котла ПТВМ-50 станционный №1 на новый котёл ПТВМ-60 с оснащением системой контроля воздуха и реконструкцией здания Водогрейной котельной №1 </v>
      </c>
      <c r="B70" s="771" t="s">
        <v>143</v>
      </c>
      <c r="C70" s="818">
        <v>0</v>
      </c>
      <c r="D70" s="818">
        <v>0</v>
      </c>
      <c r="E70" s="840">
        <f>+Кот.!E221</f>
        <v>0</v>
      </c>
      <c r="F70" s="840">
        <f>+Кот.!F221</f>
        <v>6387</v>
      </c>
      <c r="G70" s="840">
        <f>+Кот.!G221</f>
        <v>13638</v>
      </c>
      <c r="H70" s="840">
        <f>+Кот.!H221</f>
        <v>43847</v>
      </c>
      <c r="I70" s="840">
        <f>+Кот.!I221</f>
        <v>0</v>
      </c>
      <c r="J70" s="818">
        <v>0</v>
      </c>
      <c r="K70" s="818">
        <v>0</v>
      </c>
      <c r="L70" s="818">
        <v>0</v>
      </c>
      <c r="M70" s="818">
        <v>0</v>
      </c>
      <c r="N70" s="818">
        <v>0</v>
      </c>
      <c r="O70" s="818">
        <v>0</v>
      </c>
      <c r="P70" s="818">
        <v>0</v>
      </c>
    </row>
    <row r="71" spans="1:16" ht="22.5" x14ac:dyDescent="0.2">
      <c r="A71" s="842" t="str">
        <f>+Кот.!B222</f>
        <v>Реконструкция топливного хозяйства  котельной п.Химинститута</v>
      </c>
      <c r="B71" s="772" t="s">
        <v>143</v>
      </c>
      <c r="C71" s="818">
        <v>0</v>
      </c>
      <c r="D71" s="818">
        <v>0</v>
      </c>
      <c r="E71" s="840">
        <f>+Кот.!E222</f>
        <v>5270</v>
      </c>
      <c r="F71" s="840">
        <f>+Кот.!F222</f>
        <v>10309</v>
      </c>
      <c r="G71" s="840">
        <f>+Кот.!G222</f>
        <v>0</v>
      </c>
      <c r="H71" s="840">
        <f>+Кот.!H222</f>
        <v>0</v>
      </c>
      <c r="I71" s="840">
        <f>+Кот.!I222</f>
        <v>0</v>
      </c>
      <c r="J71" s="818">
        <v>0</v>
      </c>
      <c r="K71" s="818">
        <v>0</v>
      </c>
      <c r="L71" s="818">
        <v>0</v>
      </c>
      <c r="M71" s="818">
        <v>0</v>
      </c>
      <c r="N71" s="818">
        <v>0</v>
      </c>
      <c r="O71" s="818">
        <v>0</v>
      </c>
      <c r="P71" s="818">
        <v>0</v>
      </c>
    </row>
    <row r="72" spans="1:16" x14ac:dyDescent="0.2">
      <c r="A72" s="842" t="str">
        <f>+Кот.!B223</f>
        <v>Реконструкция топливного хозяйства  котельной "Южная"</v>
      </c>
      <c r="B72" s="772" t="s">
        <v>143</v>
      </c>
      <c r="C72" s="818">
        <v>0</v>
      </c>
      <c r="D72" s="818">
        <v>0</v>
      </c>
      <c r="E72" s="840">
        <f>+Кот.!E223</f>
        <v>0</v>
      </c>
      <c r="F72" s="840">
        <f>+Кот.!F223</f>
        <v>0</v>
      </c>
      <c r="G72" s="840">
        <f>+Кот.!G223</f>
        <v>34036</v>
      </c>
      <c r="H72" s="840">
        <f>+Кот.!H223</f>
        <v>42240</v>
      </c>
      <c r="I72" s="840">
        <f>+Кот.!I223</f>
        <v>0</v>
      </c>
      <c r="J72" s="818">
        <v>0</v>
      </c>
      <c r="K72" s="818">
        <v>0</v>
      </c>
      <c r="L72" s="818">
        <v>0</v>
      </c>
      <c r="M72" s="818">
        <v>0</v>
      </c>
      <c r="N72" s="818">
        <v>0</v>
      </c>
      <c r="O72" s="818">
        <v>0</v>
      </c>
      <c r="P72" s="818">
        <v>0</v>
      </c>
    </row>
    <row r="73" spans="1:16" ht="22.5" x14ac:dyDescent="0.2">
      <c r="A73" s="842" t="str">
        <f>+Кот.!B224</f>
        <v>Реконструкция топливного хозяйства  котельной "Сахарово"</v>
      </c>
      <c r="B73" s="772" t="s">
        <v>143</v>
      </c>
      <c r="C73" s="818">
        <v>0</v>
      </c>
      <c r="D73" s="818">
        <v>0</v>
      </c>
      <c r="E73" s="840">
        <f>+Кот.!E224</f>
        <v>1398</v>
      </c>
      <c r="F73" s="840">
        <f>+Кот.!F224</f>
        <v>5700</v>
      </c>
      <c r="G73" s="840">
        <f>+Кот.!G224</f>
        <v>0</v>
      </c>
      <c r="H73" s="840">
        <f>+Кот.!H224</f>
        <v>0</v>
      </c>
      <c r="I73" s="840">
        <f>+Кот.!I224</f>
        <v>0</v>
      </c>
      <c r="J73" s="818">
        <v>0</v>
      </c>
      <c r="K73" s="818">
        <v>0</v>
      </c>
      <c r="L73" s="818">
        <v>0</v>
      </c>
      <c r="M73" s="818">
        <v>0</v>
      </c>
      <c r="N73" s="818">
        <v>0</v>
      </c>
      <c r="O73" s="818">
        <v>0</v>
      </c>
      <c r="P73" s="818">
        <v>0</v>
      </c>
    </row>
    <row r="74" spans="1:16" ht="22.5" x14ac:dyDescent="0.2">
      <c r="A74" s="842" t="str">
        <f>+Кот.!B225</f>
        <v xml:space="preserve">Техническое перевооружение тягодутьевого оборудования котла ст.№4 ТГВМ-30 с установкой ЧРП Котельного цеха </v>
      </c>
      <c r="B74" s="772" t="s">
        <v>143</v>
      </c>
      <c r="C74" s="818">
        <v>0</v>
      </c>
      <c r="D74" s="818">
        <v>0</v>
      </c>
      <c r="E74" s="840">
        <f>+Кот.!E225</f>
        <v>2896</v>
      </c>
      <c r="F74" s="840">
        <f>+Кот.!F225</f>
        <v>0</v>
      </c>
      <c r="G74" s="840">
        <f>+Кот.!G225</f>
        <v>0</v>
      </c>
      <c r="H74" s="840">
        <f>+Кот.!H225</f>
        <v>0</v>
      </c>
      <c r="I74" s="840">
        <f>+Кот.!I225</f>
        <v>0</v>
      </c>
      <c r="J74" s="818">
        <v>0</v>
      </c>
      <c r="K74" s="818">
        <v>0</v>
      </c>
      <c r="L74" s="818">
        <v>0</v>
      </c>
      <c r="M74" s="818">
        <v>0</v>
      </c>
      <c r="N74" s="818">
        <v>0</v>
      </c>
      <c r="O74" s="818">
        <v>0</v>
      </c>
      <c r="P74" s="818">
        <v>0</v>
      </c>
    </row>
    <row r="75" spans="1:16" ht="33.75" x14ac:dyDescent="0.2">
      <c r="A75" s="842" t="str">
        <f>+Кот.!B226</f>
        <v>Техперевооружение тягодутьевого оборудования котла с установкой частотно-регулируемых приводов (ЧРП)   ст. №1,2 ПТВМ-30М Котельной пос. Химинститута</v>
      </c>
      <c r="B75" s="772" t="s">
        <v>143</v>
      </c>
      <c r="C75" s="818">
        <v>0</v>
      </c>
      <c r="D75" s="818">
        <v>0</v>
      </c>
      <c r="E75" s="840">
        <f>+Кот.!E226</f>
        <v>0</v>
      </c>
      <c r="F75" s="840">
        <f>+Кот.!F226</f>
        <v>3414</v>
      </c>
      <c r="G75" s="840">
        <f>+Кот.!G226</f>
        <v>0</v>
      </c>
      <c r="H75" s="840">
        <f>+Кот.!H226</f>
        <v>0</v>
      </c>
      <c r="I75" s="840">
        <f>+Кот.!I226</f>
        <v>3819</v>
      </c>
      <c r="J75" s="818">
        <v>0</v>
      </c>
      <c r="K75" s="818">
        <v>0</v>
      </c>
      <c r="L75" s="818">
        <v>0</v>
      </c>
      <c r="M75" s="818">
        <v>0</v>
      </c>
      <c r="N75" s="818">
        <v>0</v>
      </c>
      <c r="O75" s="818">
        <v>0</v>
      </c>
      <c r="P75" s="818">
        <v>0</v>
      </c>
    </row>
    <row r="76" spans="1:16" ht="22.5" x14ac:dyDescent="0.2">
      <c r="A76" s="842" t="str">
        <f>+Кот.!B227</f>
        <v xml:space="preserve">Реконструкция  металлической дымовой трубы котельной "Сахаровское шоссе" </v>
      </c>
      <c r="B76" s="772" t="s">
        <v>143</v>
      </c>
      <c r="C76" s="818">
        <v>0</v>
      </c>
      <c r="D76" s="818">
        <v>0</v>
      </c>
      <c r="E76" s="840">
        <f>+Кот.!E227</f>
        <v>0</v>
      </c>
      <c r="F76" s="840">
        <f>+Кот.!F227</f>
        <v>0</v>
      </c>
      <c r="G76" s="840">
        <f>+Кот.!G227</f>
        <v>1299</v>
      </c>
      <c r="H76" s="840">
        <f>+Кот.!H227</f>
        <v>0</v>
      </c>
      <c r="I76" s="840">
        <f>+Кот.!I227</f>
        <v>0</v>
      </c>
      <c r="J76" s="818">
        <v>0</v>
      </c>
      <c r="K76" s="818">
        <v>0</v>
      </c>
      <c r="L76" s="818">
        <v>0</v>
      </c>
      <c r="M76" s="818">
        <v>0</v>
      </c>
      <c r="N76" s="818">
        <v>0</v>
      </c>
      <c r="O76" s="818">
        <v>0</v>
      </c>
      <c r="P76" s="818">
        <v>0</v>
      </c>
    </row>
    <row r="77" spans="1:16" ht="22.5" x14ac:dyDescent="0.2">
      <c r="A77" s="842" t="str">
        <f>+Кот.!B228</f>
        <v>Установка приборов учета тепловой энергии на котельной пос. Химинститута</v>
      </c>
      <c r="B77" s="772" t="s">
        <v>15</v>
      </c>
      <c r="C77" s="818">
        <v>0</v>
      </c>
      <c r="D77" s="818">
        <v>0</v>
      </c>
      <c r="E77" s="840">
        <f>+Кот.!E228</f>
        <v>1581</v>
      </c>
      <c r="F77" s="840">
        <f>+Кот.!F228</f>
        <v>0</v>
      </c>
      <c r="G77" s="840">
        <f>+Кот.!G228</f>
        <v>0</v>
      </c>
      <c r="H77" s="840">
        <f>+Кот.!H228</f>
        <v>0</v>
      </c>
      <c r="I77" s="840">
        <f>+Кот.!I228</f>
        <v>0</v>
      </c>
      <c r="J77" s="818">
        <v>0</v>
      </c>
      <c r="K77" s="818">
        <v>0</v>
      </c>
      <c r="L77" s="818">
        <v>0</v>
      </c>
      <c r="M77" s="818">
        <v>0</v>
      </c>
      <c r="N77" s="818">
        <v>0</v>
      </c>
      <c r="O77" s="818">
        <v>0</v>
      </c>
      <c r="P77" s="818">
        <v>0</v>
      </c>
    </row>
    <row r="78" spans="1:16" ht="22.5" x14ac:dyDescent="0.2">
      <c r="A78" s="842" t="str">
        <f>+Кот.!B229</f>
        <v>Установка приборов учета тепловой энергии на котельной "Мамулино"</v>
      </c>
      <c r="B78" s="772" t="s">
        <v>143</v>
      </c>
      <c r="C78" s="818">
        <v>0</v>
      </c>
      <c r="D78" s="818">
        <v>0</v>
      </c>
      <c r="E78" s="840">
        <f>+Кот.!E229</f>
        <v>1581</v>
      </c>
      <c r="F78" s="840">
        <f>+Кот.!F229</f>
        <v>0</v>
      </c>
      <c r="G78" s="840">
        <f>+Кот.!G229</f>
        <v>0</v>
      </c>
      <c r="H78" s="840">
        <f>+Кот.!H229</f>
        <v>0</v>
      </c>
      <c r="I78" s="840">
        <f>+Кот.!I229</f>
        <v>0</v>
      </c>
      <c r="J78" s="818">
        <v>0</v>
      </c>
      <c r="K78" s="818">
        <v>0</v>
      </c>
      <c r="L78" s="818">
        <v>0</v>
      </c>
      <c r="M78" s="818">
        <v>0</v>
      </c>
      <c r="N78" s="818">
        <v>0</v>
      </c>
      <c r="O78" s="818">
        <v>0</v>
      </c>
      <c r="P78" s="818">
        <v>0</v>
      </c>
    </row>
    <row r="79" spans="1:16" ht="22.5" x14ac:dyDescent="0.2">
      <c r="A79" s="842" t="str">
        <f>+Кот.!B230</f>
        <v>Установка приборов учета тепловой энергии на котельной пос. Сахарово</v>
      </c>
      <c r="B79" s="772" t="s">
        <v>143</v>
      </c>
      <c r="C79" s="818">
        <v>0</v>
      </c>
      <c r="D79" s="818">
        <v>0</v>
      </c>
      <c r="E79" s="840">
        <f>+Кот.!E230</f>
        <v>1054</v>
      </c>
      <c r="F79" s="840">
        <f>+Кот.!F230</f>
        <v>0</v>
      </c>
      <c r="G79" s="840">
        <f>+Кот.!G230</f>
        <v>0</v>
      </c>
      <c r="H79" s="840">
        <f>+Кот.!H230</f>
        <v>0</v>
      </c>
      <c r="I79" s="840">
        <f>+Кот.!I230</f>
        <v>0</v>
      </c>
      <c r="J79" s="818">
        <v>0</v>
      </c>
      <c r="K79" s="818">
        <v>0</v>
      </c>
      <c r="L79" s="818">
        <v>0</v>
      </c>
      <c r="M79" s="818">
        <v>0</v>
      </c>
      <c r="N79" s="818">
        <v>0</v>
      </c>
      <c r="O79" s="818">
        <v>0</v>
      </c>
      <c r="P79" s="818">
        <v>0</v>
      </c>
    </row>
    <row r="80" spans="1:16" ht="22.5" x14ac:dyDescent="0.2">
      <c r="A80" s="842" t="str">
        <f>+Кот.!B231</f>
        <v>Установка приборов учета тепловой энергии на котельной пос. ДРСУ-2</v>
      </c>
      <c r="B80" s="772" t="s">
        <v>143</v>
      </c>
      <c r="C80" s="818">
        <v>0</v>
      </c>
      <c r="D80" s="818">
        <v>0</v>
      </c>
      <c r="E80" s="840">
        <f>+Кот.!E231</f>
        <v>1054</v>
      </c>
      <c r="F80" s="840">
        <f>+Кот.!F231</f>
        <v>0</v>
      </c>
      <c r="G80" s="840">
        <f>+Кот.!G231</f>
        <v>0</v>
      </c>
      <c r="H80" s="840">
        <f>+Кот.!H231</f>
        <v>0</v>
      </c>
      <c r="I80" s="840">
        <f>+Кот.!I231</f>
        <v>0</v>
      </c>
      <c r="J80" s="818">
        <v>0</v>
      </c>
      <c r="K80" s="818">
        <v>0</v>
      </c>
      <c r="L80" s="818">
        <v>0</v>
      </c>
      <c r="M80" s="818">
        <v>0</v>
      </c>
      <c r="N80" s="818">
        <v>0</v>
      </c>
      <c r="O80" s="818">
        <v>0</v>
      </c>
      <c r="P80" s="818">
        <v>0</v>
      </c>
    </row>
    <row r="81" spans="1:16" ht="22.5" x14ac:dyDescent="0.2">
      <c r="A81" s="842" t="str">
        <f>+Кот.!B232</f>
        <v>Установка приборов учета тепловой энергии на котельной "Хлопчато-бумажного комбината"</v>
      </c>
      <c r="B81" s="772" t="s">
        <v>143</v>
      </c>
      <c r="C81" s="818">
        <v>0</v>
      </c>
      <c r="D81" s="818">
        <v>0</v>
      </c>
      <c r="E81" s="840">
        <f>+Кот.!E232</f>
        <v>1054</v>
      </c>
      <c r="F81" s="840">
        <f>+Кот.!F232</f>
        <v>0</v>
      </c>
      <c r="G81" s="840">
        <f>+Кот.!G232</f>
        <v>0</v>
      </c>
      <c r="H81" s="840">
        <f>+Кот.!H232</f>
        <v>0</v>
      </c>
      <c r="I81" s="840">
        <f>+Кот.!I232</f>
        <v>0</v>
      </c>
      <c r="J81" s="818">
        <v>0</v>
      </c>
      <c r="K81" s="818">
        <v>0</v>
      </c>
      <c r="L81" s="818">
        <v>0</v>
      </c>
      <c r="M81" s="818">
        <v>0</v>
      </c>
      <c r="N81" s="818">
        <v>0</v>
      </c>
      <c r="O81" s="818">
        <v>0</v>
      </c>
      <c r="P81" s="818">
        <v>0</v>
      </c>
    </row>
    <row r="82" spans="1:16" ht="22.5" x14ac:dyDescent="0.2">
      <c r="A82" s="842" t="str">
        <f>+Кот.!B233</f>
        <v>Установка приборов учета тепловой энергии на котельной "Сахаровское шоссе"</v>
      </c>
      <c r="B82" s="772" t="s">
        <v>143</v>
      </c>
      <c r="C82" s="818">
        <v>0</v>
      </c>
      <c r="D82" s="818">
        <v>0</v>
      </c>
      <c r="E82" s="840">
        <f>+Кот.!E233</f>
        <v>0</v>
      </c>
      <c r="F82" s="840">
        <f>+Кот.!F233</f>
        <v>1093</v>
      </c>
      <c r="G82" s="840">
        <f>+Кот.!G233</f>
        <v>0</v>
      </c>
      <c r="H82" s="840">
        <f>+Кот.!H233</f>
        <v>0</v>
      </c>
      <c r="I82" s="840">
        <f>+Кот.!I233</f>
        <v>0</v>
      </c>
      <c r="J82" s="818">
        <v>0</v>
      </c>
      <c r="K82" s="818">
        <v>0</v>
      </c>
      <c r="L82" s="818">
        <v>0</v>
      </c>
      <c r="M82" s="818">
        <v>0</v>
      </c>
      <c r="N82" s="818">
        <v>0</v>
      </c>
      <c r="O82" s="818">
        <v>0</v>
      </c>
      <c r="P82" s="818">
        <v>0</v>
      </c>
    </row>
    <row r="83" spans="1:16" ht="22.5" x14ac:dyDescent="0.2">
      <c r="A83" s="842" t="str">
        <f>+Кот.!B234</f>
        <v>Установка приборов учета тепловой энергии на котельной "ПАТП-1"</v>
      </c>
      <c r="B83" s="772" t="s">
        <v>143</v>
      </c>
      <c r="C83" s="818">
        <v>0</v>
      </c>
      <c r="D83" s="818">
        <v>0</v>
      </c>
      <c r="E83" s="840">
        <f>+Кот.!E234</f>
        <v>0</v>
      </c>
      <c r="F83" s="840">
        <f>+Кот.!F234</f>
        <v>1093</v>
      </c>
      <c r="G83" s="840">
        <f>+Кот.!G234</f>
        <v>0</v>
      </c>
      <c r="H83" s="840">
        <f>+Кот.!H234</f>
        <v>0</v>
      </c>
      <c r="I83" s="840">
        <f>+Кот.!I234</f>
        <v>0</v>
      </c>
      <c r="J83" s="818">
        <v>0</v>
      </c>
      <c r="K83" s="818">
        <v>0</v>
      </c>
      <c r="L83" s="818">
        <v>0</v>
      </c>
      <c r="M83" s="818">
        <v>0</v>
      </c>
      <c r="N83" s="818">
        <v>0</v>
      </c>
      <c r="O83" s="818">
        <v>0</v>
      </c>
      <c r="P83" s="818">
        <v>0</v>
      </c>
    </row>
    <row r="84" spans="1:16" ht="33.75" x14ac:dyDescent="0.2">
      <c r="A84" s="842" t="str">
        <f>+Кот.!B235</f>
        <v>Реконструкция котельной ХБК (установка погодозависимового контура отопления и увеличение производительности ГВС</v>
      </c>
      <c r="B84" s="772" t="s">
        <v>15</v>
      </c>
      <c r="C84" s="818">
        <v>0</v>
      </c>
      <c r="D84" s="818">
        <v>0</v>
      </c>
      <c r="E84" s="840">
        <f>+Кот.!E235</f>
        <v>0</v>
      </c>
      <c r="F84" s="840">
        <f>+Кот.!F235</f>
        <v>19660</v>
      </c>
      <c r="G84" s="840">
        <f>+Кот.!G235</f>
        <v>0</v>
      </c>
      <c r="H84" s="840">
        <f>+Кот.!H235</f>
        <v>0</v>
      </c>
      <c r="I84" s="840">
        <f>+Кот.!I235</f>
        <v>0</v>
      </c>
      <c r="J84" s="818">
        <v>0</v>
      </c>
      <c r="K84" s="818">
        <v>0</v>
      </c>
      <c r="L84" s="818">
        <v>0</v>
      </c>
      <c r="M84" s="818">
        <v>0</v>
      </c>
      <c r="N84" s="818">
        <v>0</v>
      </c>
      <c r="O84" s="818">
        <v>0</v>
      </c>
      <c r="P84" s="818">
        <v>0</v>
      </c>
    </row>
    <row r="85" spans="1:16" ht="22.5" x14ac:dyDescent="0.2">
      <c r="A85" s="842" t="str">
        <f>+Кот.!B236</f>
        <v>Установка приборов учета расхода сетевой воды на водогрейных котлах №1 и №2 котельной Химинститута</v>
      </c>
      <c r="B85" s="772" t="s">
        <v>143</v>
      </c>
      <c r="C85" s="818">
        <v>0</v>
      </c>
      <c r="D85" s="818">
        <v>0</v>
      </c>
      <c r="E85" s="840">
        <f>+Кот.!E236</f>
        <v>0</v>
      </c>
      <c r="F85" s="840">
        <f>+Кот.!F236</f>
        <v>0</v>
      </c>
      <c r="G85" s="840">
        <f>+Кот.!G236</f>
        <v>0</v>
      </c>
      <c r="H85" s="840">
        <f>+Кот.!H236</f>
        <v>0</v>
      </c>
      <c r="I85" s="840">
        <f>+Кот.!I236</f>
        <v>587</v>
      </c>
      <c r="J85" s="818">
        <v>0</v>
      </c>
      <c r="K85" s="818">
        <v>0</v>
      </c>
      <c r="L85" s="818">
        <v>0</v>
      </c>
      <c r="M85" s="818">
        <v>0</v>
      </c>
      <c r="N85" s="818">
        <v>0</v>
      </c>
      <c r="O85" s="818">
        <v>0</v>
      </c>
      <c r="P85" s="818">
        <v>0</v>
      </c>
    </row>
    <row r="86" spans="1:16" ht="33.75" x14ac:dyDescent="0.2">
      <c r="A86" s="842" t="str">
        <f>+Кот.!B237</f>
        <v>Перевод котельных Керамический заавод, Сахаровское шоссе в автоматический режим с установкой на них погодозависимого оборудования</v>
      </c>
      <c r="B86" s="772" t="s">
        <v>143</v>
      </c>
      <c r="C86" s="818">
        <v>0</v>
      </c>
      <c r="D86" s="818">
        <v>0</v>
      </c>
      <c r="E86" s="840">
        <f>+Кот.!E237</f>
        <v>0</v>
      </c>
      <c r="F86" s="840">
        <f>+Кот.!F237</f>
        <v>11000</v>
      </c>
      <c r="G86" s="840">
        <f>+Кот.!G237</f>
        <v>0</v>
      </c>
      <c r="H86" s="840">
        <f>+Кот.!H237</f>
        <v>0</v>
      </c>
      <c r="I86" s="840">
        <f>+Кот.!I237</f>
        <v>0</v>
      </c>
      <c r="J86" s="818">
        <v>0</v>
      </c>
      <c r="K86" s="818">
        <v>0</v>
      </c>
      <c r="L86" s="818">
        <v>0</v>
      </c>
      <c r="M86" s="818">
        <v>0</v>
      </c>
      <c r="N86" s="818">
        <v>0</v>
      </c>
      <c r="O86" s="818">
        <v>0</v>
      </c>
      <c r="P86" s="818">
        <v>0</v>
      </c>
    </row>
    <row r="87" spans="1:16" ht="22.5" x14ac:dyDescent="0.2">
      <c r="A87" s="842" t="str">
        <f>+Кот.!B238</f>
        <v>Техническое перевооружение системы контроля загазованности СН4, СО котельной Химинститута</v>
      </c>
      <c r="B87" s="772" t="s">
        <v>143</v>
      </c>
      <c r="C87" s="818">
        <v>0</v>
      </c>
      <c r="D87" s="818">
        <v>0</v>
      </c>
      <c r="E87" s="840">
        <f>+Кот.!E238</f>
        <v>0</v>
      </c>
      <c r="F87" s="840">
        <f>+Кот.!F238</f>
        <v>1784</v>
      </c>
      <c r="G87" s="840">
        <f>+Кот.!G238</f>
        <v>0</v>
      </c>
      <c r="H87" s="840">
        <f>+Кот.!H238</f>
        <v>0</v>
      </c>
      <c r="I87" s="840">
        <f>+Кот.!I238</f>
        <v>0</v>
      </c>
      <c r="J87" s="818">
        <v>0</v>
      </c>
      <c r="K87" s="818">
        <v>0</v>
      </c>
      <c r="L87" s="818">
        <v>0</v>
      </c>
      <c r="M87" s="818">
        <v>0</v>
      </c>
      <c r="N87" s="818">
        <v>0</v>
      </c>
      <c r="O87" s="818">
        <v>0</v>
      </c>
      <c r="P87" s="818">
        <v>0</v>
      </c>
    </row>
    <row r="88" spans="1:16" ht="22.5" x14ac:dyDescent="0.2">
      <c r="A88" s="842" t="str">
        <f>+Кот.!B239</f>
        <v xml:space="preserve">Установка отключающих устройств на сетевых трубопроводах Водогрейной котельной-1 </v>
      </c>
      <c r="B88" s="772" t="s">
        <v>143</v>
      </c>
      <c r="C88" s="818">
        <v>0</v>
      </c>
      <c r="D88" s="818">
        <v>0</v>
      </c>
      <c r="E88" s="840">
        <f>+Кот.!E239</f>
        <v>0</v>
      </c>
      <c r="F88" s="840">
        <f>+Кот.!F239</f>
        <v>0</v>
      </c>
      <c r="G88" s="840">
        <f>+Кот.!G239</f>
        <v>0</v>
      </c>
      <c r="H88" s="840">
        <f>+Кот.!H239</f>
        <v>5888.2466281310208</v>
      </c>
      <c r="I88" s="840">
        <f>+Кот.!I239</f>
        <v>0</v>
      </c>
      <c r="J88" s="818">
        <v>0</v>
      </c>
      <c r="K88" s="818">
        <v>0</v>
      </c>
      <c r="L88" s="818">
        <v>0</v>
      </c>
      <c r="M88" s="818">
        <v>0</v>
      </c>
      <c r="N88" s="818">
        <v>0</v>
      </c>
      <c r="O88" s="818">
        <v>0</v>
      </c>
      <c r="P88" s="818">
        <v>0</v>
      </c>
    </row>
    <row r="89" spans="1:16" ht="22.5" x14ac:dyDescent="0.2">
      <c r="A89" s="842" t="str">
        <f>+Кот.!B240</f>
        <v>Установка системы пожарной сигнализации котельной Химинститута</v>
      </c>
      <c r="B89" s="772" t="s">
        <v>143</v>
      </c>
      <c r="C89" s="818">
        <v>0</v>
      </c>
      <c r="D89" s="818">
        <v>0</v>
      </c>
      <c r="E89" s="840">
        <f>+Кот.!E240</f>
        <v>546</v>
      </c>
      <c r="F89" s="840">
        <f>+Кот.!F240</f>
        <v>0</v>
      </c>
      <c r="G89" s="840">
        <f>+Кот.!G240</f>
        <v>0</v>
      </c>
      <c r="H89" s="840">
        <f>+Кот.!H240</f>
        <v>0</v>
      </c>
      <c r="I89" s="840">
        <f>+Кот.!I240</f>
        <v>0</v>
      </c>
      <c r="J89" s="818">
        <v>0</v>
      </c>
      <c r="K89" s="818">
        <v>0</v>
      </c>
      <c r="L89" s="818">
        <v>0</v>
      </c>
      <c r="M89" s="818">
        <v>0</v>
      </c>
      <c r="N89" s="818">
        <v>0</v>
      </c>
      <c r="O89" s="818">
        <v>0</v>
      </c>
      <c r="P89" s="818">
        <v>0</v>
      </c>
    </row>
    <row r="90" spans="1:16" ht="22.5" x14ac:dyDescent="0.2">
      <c r="A90" s="842" t="str">
        <f>+Кот.!B241</f>
        <v>Техническое перевооружение водогрейного котла FR10-8-10-150М на котельной "Мамулино"</v>
      </c>
      <c r="B90" s="772" t="s">
        <v>143</v>
      </c>
      <c r="C90" s="818">
        <v>0</v>
      </c>
      <c r="D90" s="818">
        <v>0</v>
      </c>
      <c r="E90" s="840">
        <f>+Кот.!E241</f>
        <v>0</v>
      </c>
      <c r="F90" s="840">
        <f>+Кот.!F241</f>
        <v>19073</v>
      </c>
      <c r="G90" s="840">
        <f>+Кот.!G241</f>
        <v>0</v>
      </c>
      <c r="H90" s="840">
        <f>+Кот.!H241</f>
        <v>0</v>
      </c>
      <c r="I90" s="840">
        <f>+Кот.!I241</f>
        <v>0</v>
      </c>
      <c r="J90" s="818">
        <v>0</v>
      </c>
      <c r="K90" s="818">
        <v>0</v>
      </c>
      <c r="L90" s="818">
        <v>0</v>
      </c>
      <c r="M90" s="818">
        <v>0</v>
      </c>
      <c r="N90" s="818">
        <v>0</v>
      </c>
      <c r="O90" s="818">
        <v>0</v>
      </c>
      <c r="P90" s="818">
        <v>0</v>
      </c>
    </row>
    <row r="91" spans="1:16" ht="22.5" x14ac:dyDescent="0.2">
      <c r="A91" s="842" t="str">
        <f>+Кот.!B242</f>
        <v>капитальные вложения в реконструкцию оборудования за счет амортизации</v>
      </c>
      <c r="B91" s="772"/>
      <c r="C91" s="840">
        <f>+Кот.!C242</f>
        <v>0</v>
      </c>
      <c r="D91" s="840">
        <f>+Кот.!D242</f>
        <v>0</v>
      </c>
      <c r="E91" s="840">
        <f>+Кот.!E242</f>
        <v>0</v>
      </c>
      <c r="F91" s="840">
        <f>+Кот.!F242</f>
        <v>0</v>
      </c>
      <c r="G91" s="840">
        <f>+Кот.!G242</f>
        <v>0</v>
      </c>
      <c r="H91" s="840">
        <f>+Кот.!H242</f>
        <v>0</v>
      </c>
      <c r="I91" s="840">
        <f>+Кот.!I242</f>
        <v>0</v>
      </c>
      <c r="J91" s="840">
        <f>+Кот.!J242</f>
        <v>7677.1833942770209</v>
      </c>
      <c r="K91" s="840">
        <f>+Кот.!K242</f>
        <v>7809.3633942770202</v>
      </c>
      <c r="L91" s="840">
        <f>+Кот.!L242</f>
        <v>8039.6788961053308</v>
      </c>
      <c r="M91" s="840">
        <f>+Кот.!M242</f>
        <v>8273.9597979336413</v>
      </c>
      <c r="N91" s="840">
        <f>+Кот.!N242</f>
        <v>8515.1501648168014</v>
      </c>
      <c r="O91" s="840">
        <f>+Кот.!O242</f>
        <v>8763.3689587548106</v>
      </c>
      <c r="P91" s="840">
        <f>+Кот.!P242</f>
        <v>9018.8234636993147</v>
      </c>
    </row>
    <row r="92" spans="1:16" x14ac:dyDescent="0.2">
      <c r="A92" s="770"/>
      <c r="B92" s="771"/>
      <c r="C92" s="818">
        <v>0</v>
      </c>
      <c r="D92" s="818">
        <v>0</v>
      </c>
      <c r="E92" s="818"/>
      <c r="F92" s="818"/>
      <c r="G92" s="818"/>
      <c r="H92" s="818"/>
      <c r="I92" s="818"/>
      <c r="J92" s="818">
        <v>0</v>
      </c>
      <c r="K92" s="818">
        <v>0</v>
      </c>
      <c r="L92" s="818">
        <v>0</v>
      </c>
      <c r="M92" s="818">
        <v>0</v>
      </c>
      <c r="N92" s="818">
        <v>0</v>
      </c>
      <c r="O92" s="818">
        <v>0</v>
      </c>
      <c r="P92" s="818">
        <v>0</v>
      </c>
    </row>
    <row r="93" spans="1:16" x14ac:dyDescent="0.2">
      <c r="A93" s="773" t="s">
        <v>268</v>
      </c>
      <c r="B93" s="772" t="s">
        <v>143</v>
      </c>
      <c r="C93" s="841">
        <f>SUM(C94:C113)</f>
        <v>0</v>
      </c>
      <c r="D93" s="841">
        <f t="shared" ref="D93:P93" si="18">SUM(D94:D113)</f>
        <v>0</v>
      </c>
      <c r="E93" s="841">
        <f t="shared" si="18"/>
        <v>980682.70960218983</v>
      </c>
      <c r="F93" s="841">
        <f t="shared" si="18"/>
        <v>859256.55967074819</v>
      </c>
      <c r="G93" s="841">
        <f t="shared" si="18"/>
        <v>860372.32175191736</v>
      </c>
      <c r="H93" s="841">
        <f t="shared" si="18"/>
        <v>875562.260923706</v>
      </c>
      <c r="I93" s="841">
        <f t="shared" si="18"/>
        <v>904393.06216023141</v>
      </c>
      <c r="J93" s="841">
        <f t="shared" si="18"/>
        <v>197205.15830806573</v>
      </c>
      <c r="K93" s="841">
        <f t="shared" si="18"/>
        <v>228858.91548367383</v>
      </c>
      <c r="L93" s="841">
        <f t="shared" si="18"/>
        <v>235761.09602445611</v>
      </c>
      <c r="M93" s="841">
        <f t="shared" si="18"/>
        <v>243771.1580663847</v>
      </c>
      <c r="N93" s="841">
        <f t="shared" si="18"/>
        <v>252022.79642724065</v>
      </c>
      <c r="O93" s="841">
        <f t="shared" si="18"/>
        <v>260554.78695956414</v>
      </c>
      <c r="P93" s="841">
        <f t="shared" si="18"/>
        <v>269375.58483451756</v>
      </c>
    </row>
    <row r="94" spans="1:16" x14ac:dyDescent="0.2">
      <c r="A94" s="921" t="str">
        <f>+Сети!B70</f>
        <v>Реконструкция магистральных тепловых сетей</v>
      </c>
      <c r="B94" s="772" t="s">
        <v>143</v>
      </c>
      <c r="C94" s="818">
        <v>0</v>
      </c>
      <c r="D94" s="818">
        <v>0</v>
      </c>
      <c r="E94" s="840">
        <f>+Сети!E70</f>
        <v>168059.65401273611</v>
      </c>
      <c r="F94" s="840">
        <f>+Сети!F70</f>
        <v>314138.28236416762</v>
      </c>
      <c r="G94" s="840">
        <f>+Сети!G70</f>
        <v>425667.12915411836</v>
      </c>
      <c r="H94" s="840">
        <f>+Сети!H70</f>
        <v>451286.61151640443</v>
      </c>
      <c r="I94" s="840">
        <f>+Сети!I70</f>
        <v>578322.6443210264</v>
      </c>
      <c r="J94" s="818">
        <v>0</v>
      </c>
      <c r="K94" s="818">
        <v>0</v>
      </c>
      <c r="L94" s="818">
        <v>0</v>
      </c>
      <c r="M94" s="818">
        <v>0</v>
      </c>
      <c r="N94" s="818">
        <v>0</v>
      </c>
      <c r="O94" s="818">
        <v>0</v>
      </c>
      <c r="P94" s="818">
        <v>0</v>
      </c>
    </row>
    <row r="95" spans="1:16" x14ac:dyDescent="0.2">
      <c r="A95" s="922"/>
      <c r="B95" s="772" t="s">
        <v>143</v>
      </c>
      <c r="C95" s="818">
        <v>0</v>
      </c>
      <c r="D95" s="818">
        <v>0</v>
      </c>
      <c r="E95" s="840">
        <f>+Сети!E71</f>
        <v>29298.787504709733</v>
      </c>
      <c r="F95" s="840">
        <f>+Сети!F71</f>
        <v>29913.856164430475</v>
      </c>
      <c r="G95" s="840">
        <f>+Сети!G71</f>
        <v>24643.767102441783</v>
      </c>
      <c r="H95" s="840">
        <f>+Сети!H71</f>
        <v>20038.793937328213</v>
      </c>
      <c r="I95" s="840">
        <f>+Сети!I71</f>
        <v>56070.141854579422</v>
      </c>
      <c r="J95" s="818">
        <v>0</v>
      </c>
      <c r="K95" s="818">
        <v>0</v>
      </c>
      <c r="L95" s="818">
        <v>0</v>
      </c>
      <c r="M95" s="818">
        <v>0</v>
      </c>
      <c r="N95" s="818">
        <v>0</v>
      </c>
      <c r="O95" s="818">
        <v>0</v>
      </c>
      <c r="P95" s="818">
        <v>0</v>
      </c>
    </row>
    <row r="96" spans="1:16" x14ac:dyDescent="0.2">
      <c r="A96" s="922"/>
      <c r="B96" s="772" t="s">
        <v>143</v>
      </c>
      <c r="C96" s="818">
        <v>0</v>
      </c>
      <c r="D96" s="818">
        <v>0</v>
      </c>
      <c r="E96" s="840">
        <f>+Сети!E72</f>
        <v>134523.95251974405</v>
      </c>
      <c r="F96" s="840">
        <f>+Сети!F72</f>
        <v>139922.83239823752</v>
      </c>
      <c r="G96" s="840">
        <f>+Сети!G72</f>
        <v>150456.71108386022</v>
      </c>
      <c r="H96" s="840">
        <f>+Сети!H72</f>
        <v>165267.86220396336</v>
      </c>
      <c r="I96" s="840">
        <f>+Сети!I72</f>
        <v>105149.54083393466</v>
      </c>
      <c r="J96" s="818">
        <v>0</v>
      </c>
      <c r="K96" s="818">
        <v>0</v>
      </c>
      <c r="L96" s="818">
        <v>0</v>
      </c>
      <c r="M96" s="818">
        <v>0</v>
      </c>
      <c r="N96" s="818">
        <v>0</v>
      </c>
      <c r="O96" s="818">
        <v>0</v>
      </c>
      <c r="P96" s="818">
        <v>0</v>
      </c>
    </row>
    <row r="97" spans="1:16" x14ac:dyDescent="0.2">
      <c r="A97" s="923"/>
      <c r="B97" s="772" t="s">
        <v>143</v>
      </c>
      <c r="C97" s="818">
        <v>0</v>
      </c>
      <c r="D97" s="818">
        <v>0</v>
      </c>
      <c r="E97" s="840">
        <f>+Сети!E73</f>
        <v>300123.68660815671</v>
      </c>
      <c r="F97" s="840">
        <f>+Сети!F73</f>
        <v>37613.541102420291</v>
      </c>
      <c r="G97" s="840">
        <f>+Сети!G73</f>
        <v>39023.633201533223</v>
      </c>
      <c r="H97" s="840">
        <f>+Сети!H73</f>
        <v>21165.51157186467</v>
      </c>
      <c r="I97" s="840">
        <f>+Сети!I73</f>
        <v>0</v>
      </c>
      <c r="J97" s="818">
        <v>0</v>
      </c>
      <c r="K97" s="818">
        <v>0</v>
      </c>
      <c r="L97" s="818">
        <v>0</v>
      </c>
      <c r="M97" s="818">
        <v>0</v>
      </c>
      <c r="N97" s="818">
        <v>0</v>
      </c>
      <c r="O97" s="818">
        <v>0</v>
      </c>
      <c r="P97" s="818">
        <v>0</v>
      </c>
    </row>
    <row r="98" spans="1:16" x14ac:dyDescent="0.2">
      <c r="A98" s="842" t="str">
        <f>+Сети!B74</f>
        <v>Реконструкция распределительных тепловых сетей</v>
      </c>
      <c r="B98" s="772" t="s">
        <v>143</v>
      </c>
      <c r="C98" s="818">
        <v>0</v>
      </c>
      <c r="D98" s="818">
        <v>0</v>
      </c>
      <c r="E98" s="840">
        <f>+Сети!E74</f>
        <v>55177.560964504548</v>
      </c>
      <c r="F98" s="840">
        <f>+Сети!F74</f>
        <v>58101.378891613116</v>
      </c>
      <c r="G98" s="840">
        <f>+Сети!G74</f>
        <v>55249.329485696406</v>
      </c>
      <c r="H98" s="840">
        <f>+Сети!H74</f>
        <v>53149.551346511129</v>
      </c>
      <c r="I98" s="840">
        <f>+Сети!I74</f>
        <v>56806.917886109833</v>
      </c>
      <c r="J98" s="818">
        <v>0</v>
      </c>
      <c r="K98" s="818">
        <v>0</v>
      </c>
      <c r="L98" s="818">
        <v>0</v>
      </c>
      <c r="M98" s="818">
        <v>0</v>
      </c>
      <c r="N98" s="818">
        <v>0</v>
      </c>
      <c r="O98" s="818">
        <v>0</v>
      </c>
      <c r="P98" s="818">
        <v>0</v>
      </c>
    </row>
    <row r="99" spans="1:16" x14ac:dyDescent="0.2">
      <c r="A99" s="842" t="str">
        <f>+Сети!B75</f>
        <v>Реконструкция центральных тепловых пунктов</v>
      </c>
      <c r="B99" s="772" t="s">
        <v>143</v>
      </c>
      <c r="C99" s="818">
        <v>0</v>
      </c>
      <c r="D99" s="818">
        <v>0</v>
      </c>
      <c r="E99" s="840">
        <f>+Сети!E75</f>
        <v>55362.286795200002</v>
      </c>
      <c r="F99" s="840">
        <f>+Сети!F75</f>
        <v>56447.633271554587</v>
      </c>
      <c r="G99" s="840">
        <f>+Сети!G75</f>
        <v>55335.704988640173</v>
      </c>
      <c r="H99" s="840">
        <f>+Сети!H75</f>
        <v>56099.569895266584</v>
      </c>
      <c r="I99" s="840">
        <f>+Сети!I75</f>
        <v>55747.140079379205</v>
      </c>
      <c r="J99" s="818">
        <v>0</v>
      </c>
      <c r="K99" s="818">
        <v>0</v>
      </c>
      <c r="L99" s="818">
        <v>0</v>
      </c>
      <c r="M99" s="818">
        <v>0</v>
      </c>
      <c r="N99" s="818">
        <v>0</v>
      </c>
      <c r="O99" s="818">
        <v>0</v>
      </c>
      <c r="P99" s="818">
        <v>0</v>
      </c>
    </row>
    <row r="100" spans="1:16" x14ac:dyDescent="0.2">
      <c r="A100" s="842" t="str">
        <f>+Сети!B76</f>
        <v>Строительство и реконструкция ДНС</v>
      </c>
      <c r="B100" s="772" t="s">
        <v>15</v>
      </c>
      <c r="C100" s="818">
        <v>0</v>
      </c>
      <c r="D100" s="818">
        <v>0</v>
      </c>
      <c r="E100" s="840">
        <f>+Сети!E76</f>
        <v>15487.547457627121</v>
      </c>
      <c r="F100" s="840">
        <f>+Сети!F76</f>
        <v>5766.9538542372884</v>
      </c>
      <c r="G100" s="840">
        <f>+Сети!G76</f>
        <v>5986.0981006983056</v>
      </c>
      <c r="H100" s="840">
        <f>+Сети!H76</f>
        <v>6213.5698285248409</v>
      </c>
      <c r="I100" s="840">
        <f>+Сети!I76</f>
        <v>0</v>
      </c>
      <c r="J100" s="818">
        <v>0</v>
      </c>
      <c r="K100" s="818">
        <v>0</v>
      </c>
      <c r="L100" s="818">
        <v>0</v>
      </c>
      <c r="M100" s="818">
        <v>0</v>
      </c>
      <c r="N100" s="818">
        <v>0</v>
      </c>
      <c r="O100" s="818">
        <v>0</v>
      </c>
      <c r="P100" s="818">
        <v>0</v>
      </c>
    </row>
    <row r="101" spans="1:16" ht="33.75" x14ac:dyDescent="0.2">
      <c r="A101" s="842" t="str">
        <f>+Сети!B77</f>
        <v>Реконструкция тепловых сетей с установкой дополнительных секционирующих задвижек с устройством тепловых камер</v>
      </c>
      <c r="B101" s="772" t="s">
        <v>143</v>
      </c>
      <c r="C101" s="818">
        <v>0</v>
      </c>
      <c r="D101" s="818">
        <v>0</v>
      </c>
      <c r="E101" s="840">
        <f>+Сети!E77</f>
        <v>11142.887999999999</v>
      </c>
      <c r="F101" s="840">
        <f>+Сети!F77</f>
        <v>0</v>
      </c>
      <c r="G101" s="840">
        <f>+Сети!G77</f>
        <v>0</v>
      </c>
      <c r="H101" s="840">
        <f>+Сети!H77</f>
        <v>0</v>
      </c>
      <c r="I101" s="840">
        <f>+Сети!I77</f>
        <v>0</v>
      </c>
      <c r="J101" s="818">
        <v>0</v>
      </c>
      <c r="K101" s="818">
        <v>0</v>
      </c>
      <c r="L101" s="818">
        <v>0</v>
      </c>
      <c r="M101" s="818">
        <v>0</v>
      </c>
      <c r="N101" s="818">
        <v>0</v>
      </c>
      <c r="O101" s="818">
        <v>0</v>
      </c>
      <c r="P101" s="818">
        <v>0</v>
      </c>
    </row>
    <row r="102" spans="1:16" ht="22.5" x14ac:dyDescent="0.2">
      <c r="A102" s="842" t="str">
        <f>+Сети!B78</f>
        <v>Реконструкция тепловой изоляции и антикоррозийной защиты оборудования</v>
      </c>
      <c r="B102" s="772" t="s">
        <v>143</v>
      </c>
      <c r="C102" s="818">
        <v>0</v>
      </c>
      <c r="D102" s="818">
        <v>0</v>
      </c>
      <c r="E102" s="840">
        <f>+Сети!E78</f>
        <v>0</v>
      </c>
      <c r="F102" s="840">
        <f>+Сети!F78</f>
        <v>12231.26316368366</v>
      </c>
      <c r="G102" s="840">
        <f>+Сети!G78</f>
        <v>0</v>
      </c>
      <c r="H102" s="840">
        <f>+Сети!H78</f>
        <v>12267.98241459298</v>
      </c>
      <c r="I102" s="840">
        <f>+Сети!I78</f>
        <v>0</v>
      </c>
      <c r="J102" s="818">
        <v>0</v>
      </c>
      <c r="K102" s="818">
        <v>0</v>
      </c>
      <c r="L102" s="818">
        <v>0</v>
      </c>
      <c r="M102" s="818">
        <v>0</v>
      </c>
      <c r="N102" s="818">
        <v>0</v>
      </c>
      <c r="O102" s="818">
        <v>0</v>
      </c>
      <c r="P102" s="818">
        <v>0</v>
      </c>
    </row>
    <row r="103" spans="1:16" ht="22.5" x14ac:dyDescent="0.2">
      <c r="A103" s="842" t="str">
        <f>+Сети!B79</f>
        <v>Реконструкция тепловой изоляции и антикоррозийной защиты оборудования</v>
      </c>
      <c r="B103" s="772" t="s">
        <v>143</v>
      </c>
      <c r="C103" s="818">
        <v>0</v>
      </c>
      <c r="D103" s="818">
        <v>0</v>
      </c>
      <c r="E103" s="840">
        <f>+Сети!E79</f>
        <v>8874.37392894</v>
      </c>
      <c r="F103" s="840">
        <f>+Сети!F79</f>
        <v>0</v>
      </c>
      <c r="G103" s="840">
        <f>+Сети!G79</f>
        <v>12598.0747454715</v>
      </c>
      <c r="H103" s="840">
        <f>+Сети!H79</f>
        <v>0</v>
      </c>
      <c r="I103" s="840">
        <f>+Сети!I79</f>
        <v>0</v>
      </c>
      <c r="J103" s="818">
        <v>0</v>
      </c>
      <c r="K103" s="818">
        <v>0</v>
      </c>
      <c r="L103" s="818">
        <v>0</v>
      </c>
      <c r="M103" s="818">
        <v>0</v>
      </c>
      <c r="N103" s="818">
        <v>0</v>
      </c>
      <c r="O103" s="818">
        <v>0</v>
      </c>
      <c r="P103" s="818">
        <v>0</v>
      </c>
    </row>
    <row r="104" spans="1:16" ht="22.5" x14ac:dyDescent="0.2">
      <c r="A104" s="842" t="str">
        <f>+Сети!B80</f>
        <v>Строительство новых разводящих сетей, в целях подключения потребителей с нагрузкой более 0,1 Гкал/ч</v>
      </c>
      <c r="B104" s="772" t="s">
        <v>143</v>
      </c>
      <c r="C104" s="818">
        <v>0</v>
      </c>
      <c r="D104" s="818">
        <v>0</v>
      </c>
      <c r="E104" s="840">
        <f>+Сети!E80</f>
        <v>14819.59973153584</v>
      </c>
      <c r="F104" s="840">
        <f>+Сети!F80</f>
        <v>15367.924921602666</v>
      </c>
      <c r="G104" s="840">
        <f>+Сети!G80</f>
        <v>15951.906068623568</v>
      </c>
      <c r="H104" s="840">
        <f>+Сети!H80</f>
        <v>16558.078499231266</v>
      </c>
      <c r="I104" s="840">
        <f>+Сети!I80</f>
        <v>17187.285482202053</v>
      </c>
      <c r="J104" s="818">
        <v>0</v>
      </c>
      <c r="K104" s="818">
        <v>0</v>
      </c>
      <c r="L104" s="818">
        <v>0</v>
      </c>
      <c r="M104" s="818">
        <v>0</v>
      </c>
      <c r="N104" s="818">
        <v>0</v>
      </c>
      <c r="O104" s="818">
        <v>0</v>
      </c>
      <c r="P104" s="818">
        <v>0</v>
      </c>
    </row>
    <row r="105" spans="1:16" ht="22.5" x14ac:dyDescent="0.2">
      <c r="A105" s="842" t="str">
        <f>+Сети!B81</f>
        <v>Строительство новых разводящих сетей, в целях подключения потребителей с нагрузкой менее 0,1 Гкал/ч</v>
      </c>
      <c r="B105" s="772" t="s">
        <v>143</v>
      </c>
      <c r="C105" s="818">
        <v>0</v>
      </c>
      <c r="D105" s="818">
        <v>0</v>
      </c>
      <c r="E105" s="840">
        <f>+Сети!E81</f>
        <v>17390.897019575259</v>
      </c>
      <c r="F105" s="840">
        <f>+Сети!F81</f>
        <v>18034.360209299542</v>
      </c>
      <c r="G105" s="840">
        <f>+Сети!G81</f>
        <v>18719.665897252926</v>
      </c>
      <c r="H105" s="840">
        <f>+Сети!H81</f>
        <v>19431.013201348538</v>
      </c>
      <c r="I105" s="840">
        <f>+Сети!I81</f>
        <v>20169.391702999783</v>
      </c>
      <c r="J105" s="818">
        <v>0</v>
      </c>
      <c r="K105" s="818">
        <v>0</v>
      </c>
      <c r="L105" s="818">
        <v>0</v>
      </c>
      <c r="M105" s="818">
        <v>0</v>
      </c>
      <c r="N105" s="818">
        <v>0</v>
      </c>
      <c r="O105" s="818">
        <v>0</v>
      </c>
      <c r="P105" s="818">
        <v>0</v>
      </c>
    </row>
    <row r="106" spans="1:16" x14ac:dyDescent="0.2">
      <c r="A106" s="842" t="str">
        <f>+Сети!B82</f>
        <v>Установка приборов учета ХВС на ЦТП</v>
      </c>
      <c r="B106" s="772" t="s">
        <v>143</v>
      </c>
      <c r="C106" s="818">
        <v>0</v>
      </c>
      <c r="D106" s="818">
        <v>0</v>
      </c>
      <c r="E106" s="840">
        <f>+Сети!E82</f>
        <v>5447.5568400000002</v>
      </c>
      <c r="F106" s="840">
        <f>+Сети!F82</f>
        <v>0</v>
      </c>
      <c r="G106" s="840">
        <f>+Сети!G82</f>
        <v>0</v>
      </c>
      <c r="H106" s="840">
        <f>+Сети!H82</f>
        <v>0</v>
      </c>
      <c r="I106" s="840">
        <f>+Сети!I82</f>
        <v>0</v>
      </c>
      <c r="J106" s="818">
        <v>0</v>
      </c>
      <c r="K106" s="818">
        <v>0</v>
      </c>
      <c r="L106" s="818">
        <v>0</v>
      </c>
      <c r="M106" s="818">
        <v>0</v>
      </c>
      <c r="N106" s="818">
        <v>0</v>
      </c>
      <c r="O106" s="818">
        <v>0</v>
      </c>
      <c r="P106" s="818">
        <v>0</v>
      </c>
    </row>
    <row r="107" spans="1:16" x14ac:dyDescent="0.2">
      <c r="A107" s="842" t="str">
        <f>+Сети!B83</f>
        <v>Установка узлов учета тепловой энергии в МКД</v>
      </c>
      <c r="B107" s="772" t="s">
        <v>15</v>
      </c>
      <c r="C107" s="818">
        <v>0</v>
      </c>
      <c r="D107" s="818">
        <v>0</v>
      </c>
      <c r="E107" s="840">
        <f>+Сети!E83</f>
        <v>120230.04982400054</v>
      </c>
      <c r="F107" s="840">
        <f>+Сети!F83</f>
        <v>118677.84853476915</v>
      </c>
      <c r="G107" s="840">
        <f>+Сети!G83</f>
        <v>0</v>
      </c>
      <c r="H107" s="840">
        <f>+Сети!H83</f>
        <v>0</v>
      </c>
      <c r="I107" s="840">
        <f>+Сети!I83</f>
        <v>0</v>
      </c>
      <c r="J107" s="818">
        <v>0</v>
      </c>
      <c r="K107" s="818">
        <v>0</v>
      </c>
      <c r="L107" s="818">
        <v>0</v>
      </c>
      <c r="M107" s="818">
        <v>0</v>
      </c>
      <c r="N107" s="818">
        <v>0</v>
      </c>
      <c r="O107" s="818">
        <v>0</v>
      </c>
      <c r="P107" s="818">
        <v>0</v>
      </c>
    </row>
    <row r="108" spans="1:16" ht="22.5" x14ac:dyDescent="0.2">
      <c r="A108" s="842" t="str">
        <f>+Сети!B84</f>
        <v>Строительство станций катодной защиты на магистральных трубопроводах (18 штук)</v>
      </c>
      <c r="B108" s="772" t="s">
        <v>143</v>
      </c>
      <c r="C108" s="818">
        <v>0</v>
      </c>
      <c r="D108" s="818">
        <v>0</v>
      </c>
      <c r="E108" s="840">
        <f>+Сети!E84</f>
        <v>2605.3643868799995</v>
      </c>
      <c r="F108" s="840">
        <f>+Сети!F84</f>
        <v>3377.2035864931991</v>
      </c>
      <c r="G108" s="840">
        <f>+Сети!G84</f>
        <v>2804.429858223953</v>
      </c>
      <c r="H108" s="840">
        <f>+Сети!H84</f>
        <v>3638.747741045579</v>
      </c>
      <c r="I108" s="840">
        <f>+Сети!I84</f>
        <v>0</v>
      </c>
      <c r="J108" s="818">
        <v>0</v>
      </c>
      <c r="K108" s="818">
        <v>0</v>
      </c>
      <c r="L108" s="818">
        <v>0</v>
      </c>
      <c r="M108" s="818">
        <v>0</v>
      </c>
      <c r="N108" s="818">
        <v>0</v>
      </c>
      <c r="O108" s="818">
        <v>0</v>
      </c>
      <c r="P108" s="818">
        <v>0</v>
      </c>
    </row>
    <row r="109" spans="1:16" ht="22.5" x14ac:dyDescent="0.2">
      <c r="A109" s="842" t="str">
        <f>+Сети!B85</f>
        <v>Строительство повысительной насосной станции в ТК-376 на ул. Красина</v>
      </c>
      <c r="B109" s="772" t="s">
        <v>143</v>
      </c>
      <c r="C109" s="818">
        <v>0</v>
      </c>
      <c r="D109" s="818">
        <v>0</v>
      </c>
      <c r="E109" s="840">
        <f>+Сети!E85</f>
        <v>4019.9560000000001</v>
      </c>
      <c r="F109" s="840">
        <f>+Сети!F85</f>
        <v>14314.994806000001</v>
      </c>
      <c r="G109" s="840">
        <f>+Сети!G85</f>
        <v>22802.0495149368</v>
      </c>
      <c r="H109" s="840">
        <f>+Сети!H85</f>
        <v>35444.968767624407</v>
      </c>
      <c r="I109" s="840">
        <f>+Сети!I85</f>
        <v>0</v>
      </c>
      <c r="J109" s="818">
        <v>0</v>
      </c>
      <c r="K109" s="818">
        <v>0</v>
      </c>
      <c r="L109" s="818">
        <v>0</v>
      </c>
      <c r="M109" s="818">
        <v>0</v>
      </c>
      <c r="N109" s="818">
        <v>0</v>
      </c>
      <c r="O109" s="818">
        <v>0</v>
      </c>
      <c r="P109" s="818">
        <v>0</v>
      </c>
    </row>
    <row r="110" spans="1:16" x14ac:dyDescent="0.2">
      <c r="A110" s="842" t="str">
        <f>+Сети!B86</f>
        <v>Перевод ЦТП с открытой схемы ГВС на закрытую</v>
      </c>
      <c r="B110" s="772" t="s">
        <v>143</v>
      </c>
      <c r="C110" s="818">
        <v>0</v>
      </c>
      <c r="D110" s="818">
        <v>0</v>
      </c>
      <c r="E110" s="840">
        <f>+Сети!E86</f>
        <v>23118.548008579997</v>
      </c>
      <c r="F110" s="840">
        <f>+Сети!F86</f>
        <v>20348.486402238999</v>
      </c>
      <c r="G110" s="840">
        <f>+Сети!G86</f>
        <v>14133.822550420156</v>
      </c>
      <c r="H110" s="840">
        <f>+Сети!H86</f>
        <v>0</v>
      </c>
      <c r="I110" s="840">
        <f>+Сети!I86</f>
        <v>0</v>
      </c>
      <c r="J110" s="818">
        <v>0</v>
      </c>
      <c r="K110" s="818">
        <v>0</v>
      </c>
      <c r="L110" s="818">
        <v>0</v>
      </c>
      <c r="M110" s="818">
        <v>0</v>
      </c>
      <c r="N110" s="818">
        <v>0</v>
      </c>
      <c r="O110" s="818">
        <v>0</v>
      </c>
      <c r="P110" s="818">
        <v>0</v>
      </c>
    </row>
    <row r="111" spans="1:16" x14ac:dyDescent="0.2">
      <c r="A111" s="842" t="str">
        <f>+Сети!B87</f>
        <v xml:space="preserve">Оборудование, не требующее монтажа </v>
      </c>
      <c r="B111" s="772" t="s">
        <v>143</v>
      </c>
      <c r="C111" s="818">
        <v>0</v>
      </c>
      <c r="D111" s="818">
        <v>0</v>
      </c>
      <c r="E111" s="840">
        <f>+Сети!E87</f>
        <v>9297</v>
      </c>
      <c r="F111" s="840">
        <f>+Сети!F87</f>
        <v>14014</v>
      </c>
      <c r="G111" s="840">
        <f>+Сети!G87</f>
        <v>17000</v>
      </c>
      <c r="H111" s="840">
        <f>+Сети!H87</f>
        <v>14150</v>
      </c>
      <c r="I111" s="840">
        <f>+Сети!I87</f>
        <v>14118</v>
      </c>
      <c r="J111" s="818">
        <v>0</v>
      </c>
      <c r="K111" s="818">
        <v>0</v>
      </c>
      <c r="L111" s="818">
        <v>0</v>
      </c>
      <c r="M111" s="818">
        <v>0</v>
      </c>
      <c r="N111" s="818">
        <v>0</v>
      </c>
      <c r="O111" s="818">
        <v>0</v>
      </c>
      <c r="P111" s="818">
        <v>0</v>
      </c>
    </row>
    <row r="112" spans="1:16" ht="45" x14ac:dyDescent="0.2">
      <c r="A112" s="842" t="str">
        <f>+Сети!B88</f>
        <v>Модернизация сети цифровых каналов связи ООО "Тверская генерация", телефонных станций оперативно-диспетчерской связи Siemens HiPath 4000(ТЭЦ-1, ТЭЦ-3, ТЭЦ-4) и учрежденческой АТС AVAYA Definity S8400 ТЭЦ-1.</v>
      </c>
      <c r="B112" s="772" t="s">
        <v>143</v>
      </c>
      <c r="C112" s="818">
        <v>0</v>
      </c>
      <c r="D112" s="818">
        <v>0</v>
      </c>
      <c r="E112" s="840">
        <f>+Сети!E88</f>
        <v>5703</v>
      </c>
      <c r="F112" s="840">
        <f>+Сети!F88</f>
        <v>986</v>
      </c>
      <c r="G112" s="840">
        <f>+Сети!G88</f>
        <v>0</v>
      </c>
      <c r="H112" s="840">
        <f>+Сети!H88</f>
        <v>850</v>
      </c>
      <c r="I112" s="840">
        <f>+Сети!I88</f>
        <v>822</v>
      </c>
      <c r="J112" s="818">
        <v>0</v>
      </c>
      <c r="K112" s="818">
        <v>0</v>
      </c>
      <c r="L112" s="818">
        <v>0</v>
      </c>
      <c r="M112" s="818">
        <v>0</v>
      </c>
      <c r="N112" s="818">
        <v>0</v>
      </c>
      <c r="O112" s="818">
        <v>0</v>
      </c>
      <c r="P112" s="818">
        <v>0</v>
      </c>
    </row>
    <row r="113" spans="1:16" ht="22.5" x14ac:dyDescent="0.2">
      <c r="A113" s="842" t="str">
        <f>+Сети!B89</f>
        <v>капитальные вложения в реконструкцию оборудования за счет амортизации</v>
      </c>
      <c r="B113" s="771"/>
      <c r="C113" s="840">
        <f>+Сети!C89</f>
        <v>0</v>
      </c>
      <c r="D113" s="840">
        <f>+Сети!D89</f>
        <v>0</v>
      </c>
      <c r="E113" s="840">
        <f>+Сети!E89</f>
        <v>0</v>
      </c>
      <c r="F113" s="840">
        <f>+Сети!F89</f>
        <v>0</v>
      </c>
      <c r="G113" s="840">
        <f>+Сети!G89</f>
        <v>0</v>
      </c>
      <c r="H113" s="840">
        <f>+Сети!H89</f>
        <v>0</v>
      </c>
      <c r="I113" s="840">
        <f>+Сети!I89</f>
        <v>0</v>
      </c>
      <c r="J113" s="840">
        <f>+Сети!J89</f>
        <v>197205.15830806573</v>
      </c>
      <c r="K113" s="840">
        <f>+Сети!K89</f>
        <v>228858.91548367383</v>
      </c>
      <c r="L113" s="840">
        <f>+Сети!L89</f>
        <v>235761.09602445611</v>
      </c>
      <c r="M113" s="840">
        <f>+Сети!M89</f>
        <v>243771.1580663847</v>
      </c>
      <c r="N113" s="840">
        <f>+Сети!N89</f>
        <v>252022.79642724065</v>
      </c>
      <c r="O113" s="840">
        <f>+Сети!O89</f>
        <v>260554.78695956414</v>
      </c>
      <c r="P113" s="840">
        <f>+Сети!P89</f>
        <v>269375.58483451756</v>
      </c>
    </row>
    <row r="114" spans="1:16" x14ac:dyDescent="0.2">
      <c r="A114" s="767"/>
      <c r="B114" s="769"/>
      <c r="C114" s="775"/>
      <c r="D114" s="775"/>
      <c r="E114" s="775"/>
      <c r="F114" s="775"/>
      <c r="G114" s="775"/>
      <c r="H114" s="775"/>
      <c r="I114" s="775"/>
      <c r="J114" s="775"/>
      <c r="K114" s="775"/>
      <c r="L114" s="775"/>
      <c r="M114" s="775"/>
      <c r="N114" s="775"/>
      <c r="O114" s="775"/>
      <c r="P114" s="775"/>
    </row>
    <row r="115" spans="1:16" x14ac:dyDescent="0.2">
      <c r="A115" s="767" t="s">
        <v>90</v>
      </c>
      <c r="B115" s="766" t="s">
        <v>15</v>
      </c>
      <c r="C115" s="841">
        <f t="shared" ref="C115:P115" si="19">+C37+C45+C55+C69+C93</f>
        <v>0</v>
      </c>
      <c r="D115" s="841">
        <f t="shared" si="19"/>
        <v>0</v>
      </c>
      <c r="E115" s="841">
        <f t="shared" si="19"/>
        <v>1090576.5794189691</v>
      </c>
      <c r="F115" s="841">
        <f t="shared" si="19"/>
        <v>1042180.5596707482</v>
      </c>
      <c r="G115" s="841">
        <f t="shared" si="19"/>
        <v>1003806.9864918017</v>
      </c>
      <c r="H115" s="841">
        <f t="shared" si="19"/>
        <v>1030884.507551837</v>
      </c>
      <c r="I115" s="841">
        <f t="shared" si="19"/>
        <v>1033273.0621602314</v>
      </c>
      <c r="J115" s="841">
        <f t="shared" si="19"/>
        <v>237041.39483074186</v>
      </c>
      <c r="K115" s="841">
        <f t="shared" si="19"/>
        <v>272561.55200634996</v>
      </c>
      <c r="L115" s="841">
        <f t="shared" si="19"/>
        <v>280658.81964281254</v>
      </c>
      <c r="M115" s="841">
        <f t="shared" si="19"/>
        <v>289979.96078042139</v>
      </c>
      <c r="N115" s="841">
        <f t="shared" si="19"/>
        <v>299578.53084982804</v>
      </c>
      <c r="O115" s="841">
        <f t="shared" si="19"/>
        <v>309496.78546357265</v>
      </c>
      <c r="P115" s="841">
        <f t="shared" si="19"/>
        <v>319744.2553712037</v>
      </c>
    </row>
    <row r="116" spans="1:16" x14ac:dyDescent="0.2">
      <c r="A116" s="774" t="s">
        <v>144</v>
      </c>
      <c r="B116" s="769" t="str">
        <f>+B115</f>
        <v>тыс. руб.</v>
      </c>
      <c r="C116" s="838">
        <f t="shared" ref="C116:P116" si="20">+C115*1.18</f>
        <v>0</v>
      </c>
      <c r="D116" s="838">
        <f t="shared" si="20"/>
        <v>0</v>
      </c>
      <c r="E116" s="838">
        <f t="shared" si="20"/>
        <v>1286880.3637143834</v>
      </c>
      <c r="F116" s="838">
        <f t="shared" si="20"/>
        <v>1229773.0604114828</v>
      </c>
      <c r="G116" s="838">
        <f t="shared" si="20"/>
        <v>1184492.2440603259</v>
      </c>
      <c r="H116" s="838">
        <f t="shared" si="20"/>
        <v>1216443.7189111677</v>
      </c>
      <c r="I116" s="838">
        <f t="shared" si="20"/>
        <v>1219262.213349073</v>
      </c>
      <c r="J116" s="838">
        <f t="shared" si="20"/>
        <v>279708.8459002754</v>
      </c>
      <c r="K116" s="838">
        <f t="shared" si="20"/>
        <v>321622.63136749296</v>
      </c>
      <c r="L116" s="838">
        <f t="shared" si="20"/>
        <v>331177.40717851877</v>
      </c>
      <c r="M116" s="838">
        <f t="shared" si="20"/>
        <v>342176.35372089723</v>
      </c>
      <c r="N116" s="838">
        <f t="shared" si="20"/>
        <v>353502.66640279704</v>
      </c>
      <c r="O116" s="838">
        <f t="shared" si="20"/>
        <v>365206.20684701571</v>
      </c>
      <c r="P116" s="838">
        <f t="shared" si="20"/>
        <v>377298.22133802035</v>
      </c>
    </row>
    <row r="117" spans="1:16" x14ac:dyDescent="0.2">
      <c r="A117" s="762"/>
      <c r="B117" s="757"/>
      <c r="C117" s="815"/>
      <c r="D117" s="815"/>
      <c r="E117" s="815"/>
      <c r="F117" s="815"/>
      <c r="G117" s="815"/>
      <c r="H117" s="815"/>
      <c r="I117" s="815"/>
      <c r="J117" s="815"/>
      <c r="K117" s="815"/>
      <c r="L117" s="815"/>
      <c r="M117" s="815"/>
      <c r="N117" s="815"/>
      <c r="O117" s="815"/>
      <c r="P117" s="815"/>
    </row>
    <row r="118" spans="1:16" ht="12" x14ac:dyDescent="0.2">
      <c r="A118" s="848" t="s">
        <v>91</v>
      </c>
      <c r="B118" s="757"/>
      <c r="C118" s="815"/>
      <c r="D118" s="815"/>
      <c r="E118" s="815"/>
      <c r="F118" s="815"/>
      <c r="G118" s="815"/>
      <c r="H118" s="815"/>
      <c r="I118" s="815"/>
      <c r="J118" s="815"/>
      <c r="K118" s="815"/>
      <c r="L118" s="815"/>
      <c r="M118" s="815"/>
      <c r="N118" s="815"/>
      <c r="O118" s="815"/>
      <c r="P118" s="815"/>
    </row>
    <row r="119" spans="1:16" x14ac:dyDescent="0.2">
      <c r="A119" s="762"/>
      <c r="B119" s="762"/>
      <c r="C119" s="815"/>
      <c r="D119" s="815"/>
      <c r="E119" s="815"/>
      <c r="F119" s="815"/>
      <c r="G119" s="815"/>
      <c r="H119" s="815"/>
      <c r="I119" s="815"/>
      <c r="J119" s="815"/>
      <c r="K119" s="815"/>
      <c r="L119" s="815"/>
      <c r="M119" s="815"/>
      <c r="N119" s="815"/>
      <c r="O119" s="815"/>
      <c r="P119" s="815"/>
    </row>
    <row r="120" spans="1:16" x14ac:dyDescent="0.2">
      <c r="A120" s="763" t="s">
        <v>500</v>
      </c>
      <c r="B120" s="762"/>
      <c r="C120" s="815"/>
      <c r="D120" s="815"/>
      <c r="E120" s="815"/>
      <c r="F120" s="815"/>
      <c r="G120" s="815"/>
      <c r="H120" s="815"/>
      <c r="I120" s="815"/>
      <c r="J120" s="815"/>
      <c r="K120" s="815"/>
      <c r="L120" s="815"/>
      <c r="M120" s="815"/>
      <c r="N120" s="815"/>
      <c r="O120" s="815"/>
      <c r="P120" s="815"/>
    </row>
    <row r="121" spans="1:16" x14ac:dyDescent="0.2">
      <c r="A121" s="776" t="s">
        <v>109</v>
      </c>
      <c r="B121" s="766" t="s">
        <v>32</v>
      </c>
      <c r="C121" s="818">
        <f>+'ТЭЦ-1'!C25</f>
        <v>201</v>
      </c>
      <c r="D121" s="818">
        <f>+'ТЭЦ-1'!D25</f>
        <v>201</v>
      </c>
      <c r="E121" s="818">
        <f>+'ТЭЦ-1'!E25</f>
        <v>201</v>
      </c>
      <c r="F121" s="818">
        <f>+'ТЭЦ-1'!F25</f>
        <v>201</v>
      </c>
      <c r="G121" s="818">
        <f>+'ТЭЦ-1'!G25</f>
        <v>201</v>
      </c>
      <c r="H121" s="818">
        <f>+'ТЭЦ-1'!H25</f>
        <v>209</v>
      </c>
      <c r="I121" s="818">
        <f>+'ТЭЦ-1'!I25</f>
        <v>209</v>
      </c>
      <c r="J121" s="818">
        <f>+'ТЭЦ-1'!J25</f>
        <v>215</v>
      </c>
      <c r="K121" s="818">
        <f>+'ТЭЦ-1'!K25</f>
        <v>215</v>
      </c>
      <c r="L121" s="818">
        <f>+'ТЭЦ-1'!L25</f>
        <v>215</v>
      </c>
      <c r="M121" s="818">
        <f>+'ТЭЦ-1'!M25</f>
        <v>215</v>
      </c>
      <c r="N121" s="818">
        <f>+'ТЭЦ-1'!N25</f>
        <v>215</v>
      </c>
      <c r="O121" s="818">
        <f>+'ТЭЦ-1'!O25</f>
        <v>215</v>
      </c>
      <c r="P121" s="818">
        <f>+'ТЭЦ-1'!P25</f>
        <v>215</v>
      </c>
    </row>
    <row r="122" spans="1:16" x14ac:dyDescent="0.2">
      <c r="A122" s="776" t="s">
        <v>35</v>
      </c>
      <c r="B122" s="766" t="s">
        <v>32</v>
      </c>
      <c r="C122" s="818">
        <f>+'ТЭЦ-1'!C39</f>
        <v>139.041</v>
      </c>
      <c r="D122" s="818">
        <f>+'ТЭЦ-1'!D39</f>
        <v>139.041</v>
      </c>
      <c r="E122" s="818">
        <f>+'ТЭЦ-1'!E39</f>
        <v>139.041</v>
      </c>
      <c r="F122" s="818">
        <f>+'ТЭЦ-1'!F39</f>
        <v>143.191</v>
      </c>
      <c r="G122" s="818">
        <f>+'ТЭЦ-1'!G39</f>
        <v>146.57900000000001</v>
      </c>
      <c r="H122" s="818">
        <f>+'ТЭЦ-1'!H39</f>
        <v>149.96699999999998</v>
      </c>
      <c r="I122" s="818">
        <f>+'ТЭЦ-1'!I39</f>
        <v>153.35499999999999</v>
      </c>
      <c r="J122" s="818">
        <f>+'ТЭЦ-1'!J39</f>
        <v>156.74299999999999</v>
      </c>
      <c r="K122" s="818">
        <f>+'ТЭЦ-1'!K39</f>
        <v>160.131</v>
      </c>
      <c r="L122" s="818">
        <f>+'ТЭЦ-1'!L39</f>
        <v>160.40699999999998</v>
      </c>
      <c r="M122" s="818">
        <f>+'ТЭЦ-1'!M39</f>
        <v>160.68299999999999</v>
      </c>
      <c r="N122" s="818">
        <f>+'ТЭЦ-1'!N39</f>
        <v>160.959</v>
      </c>
      <c r="O122" s="818">
        <f>+'ТЭЦ-1'!O39</f>
        <v>161.23500000000001</v>
      </c>
      <c r="P122" s="818">
        <f>+'ТЭЦ-1'!P39</f>
        <v>161.511</v>
      </c>
    </row>
    <row r="123" spans="1:16" x14ac:dyDescent="0.2">
      <c r="A123" s="776" t="s">
        <v>93</v>
      </c>
      <c r="B123" s="766" t="s">
        <v>16</v>
      </c>
      <c r="C123" s="818">
        <f>+'ТЭЦ-1'!C51</f>
        <v>308.33985999999999</v>
      </c>
      <c r="D123" s="818">
        <f>+'ТЭЦ-1'!D51</f>
        <v>339.47571333333332</v>
      </c>
      <c r="E123" s="818">
        <f>+'ТЭЦ-1'!E51</f>
        <v>339.47571333333332</v>
      </c>
      <c r="F123" s="818">
        <f>+'ТЭЦ-1'!F51</f>
        <v>329.38125995466856</v>
      </c>
      <c r="G123" s="818">
        <f>+'ТЭЦ-1'!G51</f>
        <v>327.40112225294774</v>
      </c>
      <c r="H123" s="818">
        <f>+'ТЭЦ-1'!H51</f>
        <v>323.48642057016622</v>
      </c>
      <c r="I123" s="818">
        <f>+'ТЭЦ-1'!I51</f>
        <v>320.55908281240841</v>
      </c>
      <c r="J123" s="818">
        <f>+'ТЭЦ-1'!J51</f>
        <v>318.14490323490048</v>
      </c>
      <c r="K123" s="818">
        <f>+'ТЭЦ-1'!K51</f>
        <v>326.09187070833246</v>
      </c>
      <c r="L123" s="818">
        <f>+'ТЭЦ-1'!L51</f>
        <v>334.03883818176439</v>
      </c>
      <c r="M123" s="818">
        <f>+'ТЭЦ-1'!M51</f>
        <v>334.68622986496018</v>
      </c>
      <c r="N123" s="818">
        <f>+'ТЭЦ-1'!N51</f>
        <v>335.33362154815586</v>
      </c>
      <c r="O123" s="818">
        <f>+'ТЭЦ-1'!O51</f>
        <v>335.98101323135165</v>
      </c>
      <c r="P123" s="818">
        <f>+'ТЭЦ-1'!P51</f>
        <v>336.62840491454739</v>
      </c>
    </row>
    <row r="124" spans="1:16" x14ac:dyDescent="0.2">
      <c r="A124" s="776" t="s">
        <v>424</v>
      </c>
      <c r="B124" s="766" t="s">
        <v>16</v>
      </c>
      <c r="C124" s="818">
        <f>+'ТЭЦ-1'!C62</f>
        <v>307.62085999999999</v>
      </c>
      <c r="D124" s="818">
        <f>+'ТЭЦ-1'!D62</f>
        <v>338.65071333333333</v>
      </c>
      <c r="E124" s="818">
        <f>+'ТЭЦ-1'!E62</f>
        <v>338.65071333333333</v>
      </c>
      <c r="F124" s="818">
        <f>+'ТЭЦ-1'!F62</f>
        <v>328.55625995466858</v>
      </c>
      <c r="G124" s="818">
        <f>+'ТЭЦ-1'!G62</f>
        <v>326.57612225294775</v>
      </c>
      <c r="H124" s="818">
        <f>+'ТЭЦ-1'!H62</f>
        <v>322.66142057016623</v>
      </c>
      <c r="I124" s="818">
        <f>+'ТЭЦ-1'!I62</f>
        <v>319.73408281240842</v>
      </c>
      <c r="J124" s="818">
        <f>+'ТЭЦ-1'!J62</f>
        <v>317.31990323490049</v>
      </c>
      <c r="K124" s="818">
        <f>+'ТЭЦ-1'!K62</f>
        <v>325.26687070833248</v>
      </c>
      <c r="L124" s="818">
        <f>+'ТЭЦ-1'!L62</f>
        <v>333.2138381817644</v>
      </c>
      <c r="M124" s="818">
        <f>+'ТЭЦ-1'!M62</f>
        <v>333.86122986496019</v>
      </c>
      <c r="N124" s="818">
        <f>+'ТЭЦ-1'!N62</f>
        <v>334.50862154815587</v>
      </c>
      <c r="O124" s="818">
        <f>+'ТЭЦ-1'!O62</f>
        <v>335.15601323135166</v>
      </c>
      <c r="P124" s="818">
        <f>+'ТЭЦ-1'!P62</f>
        <v>335.8034049145474</v>
      </c>
    </row>
    <row r="125" spans="1:16" x14ac:dyDescent="0.2">
      <c r="A125" s="762"/>
      <c r="B125" s="762"/>
      <c r="C125" s="815"/>
      <c r="D125" s="815"/>
      <c r="E125" s="815"/>
      <c r="F125" s="815"/>
      <c r="G125" s="815"/>
      <c r="H125" s="815"/>
      <c r="I125" s="815"/>
      <c r="J125" s="815"/>
      <c r="K125" s="815"/>
      <c r="L125" s="815"/>
      <c r="M125" s="815"/>
      <c r="N125" s="815"/>
      <c r="O125" s="815"/>
      <c r="P125" s="815"/>
    </row>
    <row r="126" spans="1:16" x14ac:dyDescent="0.2">
      <c r="A126" s="767" t="s">
        <v>92</v>
      </c>
      <c r="B126" s="766" t="s">
        <v>16</v>
      </c>
      <c r="C126" s="775">
        <f>+C124</f>
        <v>307.62085999999999</v>
      </c>
      <c r="D126" s="775">
        <f t="shared" ref="D126:P126" si="21">+D124</f>
        <v>338.65071333333333</v>
      </c>
      <c r="E126" s="775">
        <f t="shared" si="21"/>
        <v>338.65071333333333</v>
      </c>
      <c r="F126" s="775">
        <f t="shared" si="21"/>
        <v>328.55625995466858</v>
      </c>
      <c r="G126" s="775">
        <f t="shared" si="21"/>
        <v>326.57612225294775</v>
      </c>
      <c r="H126" s="775">
        <f t="shared" si="21"/>
        <v>322.66142057016623</v>
      </c>
      <c r="I126" s="775">
        <f t="shared" si="21"/>
        <v>319.73408281240842</v>
      </c>
      <c r="J126" s="775">
        <f t="shared" si="21"/>
        <v>317.31990323490049</v>
      </c>
      <c r="K126" s="775">
        <f t="shared" si="21"/>
        <v>325.26687070833248</v>
      </c>
      <c r="L126" s="775">
        <f t="shared" si="21"/>
        <v>333.2138381817644</v>
      </c>
      <c r="M126" s="775">
        <f t="shared" si="21"/>
        <v>333.86122986496019</v>
      </c>
      <c r="N126" s="775">
        <f t="shared" si="21"/>
        <v>334.50862154815587</v>
      </c>
      <c r="O126" s="775">
        <f t="shared" si="21"/>
        <v>335.15601323135166</v>
      </c>
      <c r="P126" s="775">
        <f t="shared" si="21"/>
        <v>335.8034049145474</v>
      </c>
    </row>
    <row r="127" spans="1:16" s="750" customFormat="1" x14ac:dyDescent="0.2">
      <c r="A127" s="768" t="s">
        <v>18</v>
      </c>
      <c r="B127" s="787" t="s">
        <v>29</v>
      </c>
      <c r="C127" s="846">
        <f>C122/C121</f>
        <v>0.6917462686567164</v>
      </c>
      <c r="D127" s="846">
        <f t="shared" ref="D127:P127" si="22">D122/D121</f>
        <v>0.6917462686567164</v>
      </c>
      <c r="E127" s="846">
        <f t="shared" si="22"/>
        <v>0.6917462686567164</v>
      </c>
      <c r="F127" s="846">
        <f t="shared" si="22"/>
        <v>0.71239303482587069</v>
      </c>
      <c r="G127" s="846">
        <f t="shared" si="22"/>
        <v>0.7292487562189055</v>
      </c>
      <c r="H127" s="846">
        <f t="shared" si="22"/>
        <v>0.71754545454545449</v>
      </c>
      <c r="I127" s="846">
        <f t="shared" si="22"/>
        <v>0.73375598086124394</v>
      </c>
      <c r="J127" s="846">
        <f t="shared" si="22"/>
        <v>0.72903720930232552</v>
      </c>
      <c r="K127" s="846">
        <f t="shared" si="22"/>
        <v>0.74479534883720933</v>
      </c>
      <c r="L127" s="846">
        <f t="shared" si="22"/>
        <v>0.74607906976744176</v>
      </c>
      <c r="M127" s="846">
        <f t="shared" si="22"/>
        <v>0.74736279069767442</v>
      </c>
      <c r="N127" s="846">
        <f t="shared" si="22"/>
        <v>0.74864651162790696</v>
      </c>
      <c r="O127" s="846">
        <f t="shared" si="22"/>
        <v>0.74993023255813962</v>
      </c>
      <c r="P127" s="846">
        <f t="shared" si="22"/>
        <v>0.75121395348837205</v>
      </c>
    </row>
    <row r="128" spans="1:16" x14ac:dyDescent="0.2">
      <c r="A128" s="778"/>
      <c r="B128" s="766"/>
      <c r="C128" s="818"/>
      <c r="D128" s="818"/>
      <c r="E128" s="818"/>
      <c r="F128" s="818"/>
      <c r="G128" s="818"/>
      <c r="H128" s="818"/>
      <c r="I128" s="818"/>
      <c r="J128" s="818"/>
      <c r="K128" s="818"/>
      <c r="L128" s="818"/>
      <c r="M128" s="818"/>
      <c r="N128" s="818"/>
      <c r="O128" s="818"/>
      <c r="P128" s="818"/>
    </row>
    <row r="129" spans="1:16" x14ac:dyDescent="0.2">
      <c r="A129" s="763" t="s">
        <v>274</v>
      </c>
      <c r="B129" s="762"/>
      <c r="C129" s="818"/>
      <c r="D129" s="818"/>
      <c r="E129" s="818"/>
      <c r="F129" s="818"/>
      <c r="G129" s="818"/>
      <c r="H129" s="818"/>
      <c r="I129" s="818"/>
      <c r="J129" s="818"/>
      <c r="K129" s="818"/>
      <c r="L129" s="818"/>
      <c r="M129" s="818"/>
      <c r="N129" s="818"/>
      <c r="O129" s="818"/>
      <c r="P129" s="818"/>
    </row>
    <row r="130" spans="1:16" x14ac:dyDescent="0.2">
      <c r="A130" s="776" t="s">
        <v>109</v>
      </c>
      <c r="B130" s="766" t="s">
        <v>32</v>
      </c>
      <c r="C130" s="818">
        <f>+'ТЭЦ-3'!C27</f>
        <v>694</v>
      </c>
      <c r="D130" s="818">
        <f>+'ТЭЦ-3'!D27</f>
        <v>694</v>
      </c>
      <c r="E130" s="818">
        <f>+'ТЭЦ-3'!E27</f>
        <v>694</v>
      </c>
      <c r="F130" s="818">
        <f>+'ТЭЦ-3'!F27</f>
        <v>694</v>
      </c>
      <c r="G130" s="818">
        <f>+'ТЭЦ-3'!G27</f>
        <v>694</v>
      </c>
      <c r="H130" s="818">
        <f>+'ТЭЦ-3'!H27</f>
        <v>694</v>
      </c>
      <c r="I130" s="818">
        <f>+'ТЭЦ-3'!I27</f>
        <v>694</v>
      </c>
      <c r="J130" s="818">
        <f>+'ТЭЦ-3'!J27</f>
        <v>694</v>
      </c>
      <c r="K130" s="818">
        <f>+'ТЭЦ-3'!K27</f>
        <v>694</v>
      </c>
      <c r="L130" s="818">
        <f>+'ТЭЦ-3'!L27</f>
        <v>694</v>
      </c>
      <c r="M130" s="818">
        <f>+'ТЭЦ-3'!M27</f>
        <v>694</v>
      </c>
      <c r="N130" s="818">
        <f>+'ТЭЦ-3'!N27</f>
        <v>694</v>
      </c>
      <c r="O130" s="818">
        <f>+'ТЭЦ-3'!O27</f>
        <v>694</v>
      </c>
      <c r="P130" s="818">
        <f>+'ТЭЦ-3'!P27</f>
        <v>694</v>
      </c>
    </row>
    <row r="131" spans="1:16" x14ac:dyDescent="0.2">
      <c r="A131" s="776" t="s">
        <v>35</v>
      </c>
      <c r="B131" s="766" t="s">
        <v>32</v>
      </c>
      <c r="C131" s="818">
        <f>+'ТЭЦ-3'!C39</f>
        <v>529.07000000000005</v>
      </c>
      <c r="D131" s="818">
        <f>+'ТЭЦ-3'!D39</f>
        <v>539.0200000000001</v>
      </c>
      <c r="E131" s="818">
        <f>+'ТЭЦ-3'!E39</f>
        <v>540.34</v>
      </c>
      <c r="F131" s="818">
        <f>+'ТЭЦ-3'!F39</f>
        <v>550</v>
      </c>
      <c r="G131" s="818">
        <f>+'ТЭЦ-3'!G39</f>
        <v>562.38200000000006</v>
      </c>
      <c r="H131" s="818">
        <f>+'ТЭЦ-3'!H39</f>
        <v>574.76400000000001</v>
      </c>
      <c r="I131" s="818">
        <f>+'ТЭЦ-3'!I39</f>
        <v>587.14600000000007</v>
      </c>
      <c r="J131" s="818">
        <f>+'ТЭЦ-3'!J39</f>
        <v>599.52800000000002</v>
      </c>
      <c r="K131" s="818">
        <f>+'ТЭЦ-3'!K39</f>
        <v>611.91000000000008</v>
      </c>
      <c r="L131" s="818">
        <f>+'ТЭЦ-3'!L39</f>
        <v>621.89800000000002</v>
      </c>
      <c r="M131" s="818">
        <f>+'ТЭЦ-3'!M39</f>
        <v>631.88600000000008</v>
      </c>
      <c r="N131" s="818">
        <f>+'ТЭЦ-3'!N39</f>
        <v>641.87400000000002</v>
      </c>
      <c r="O131" s="818">
        <f>+'ТЭЦ-3'!O39</f>
        <v>651.86200000000008</v>
      </c>
      <c r="P131" s="818">
        <f>+'ТЭЦ-3'!P39</f>
        <v>661.85</v>
      </c>
    </row>
    <row r="132" spans="1:16" x14ac:dyDescent="0.2">
      <c r="A132" s="776" t="s">
        <v>93</v>
      </c>
      <c r="B132" s="766" t="s">
        <v>16</v>
      </c>
      <c r="C132" s="818">
        <f>+'ТЭЦ-3'!C48</f>
        <v>1356.9047499999999</v>
      </c>
      <c r="D132" s="818">
        <f>+'ТЭЦ-3'!D48</f>
        <v>1301.7882333333334</v>
      </c>
      <c r="E132" s="818">
        <f>+'ТЭЦ-3'!E48</f>
        <v>1326.2704245777181</v>
      </c>
      <c r="F132" s="818">
        <f>+'ТЭЦ-3'!F48</f>
        <v>1290.8090916211131</v>
      </c>
      <c r="G132" s="818">
        <f>+'ТЭЦ-3'!G48</f>
        <v>1269.6326562127647</v>
      </c>
      <c r="H132" s="818">
        <f>+'ТЭЦ-3'!H48</f>
        <v>1254.6128686013444</v>
      </c>
      <c r="I132" s="818">
        <f>+'ТЭЦ-3'!I48</f>
        <v>1243.3793275139915</v>
      </c>
      <c r="J132" s="818">
        <f>+'ТЭЦ-3'!J48</f>
        <v>1234.1135951818769</v>
      </c>
      <c r="K132" s="818">
        <f>+'ТЭЦ-3'!K48</f>
        <v>1264.5797752811707</v>
      </c>
      <c r="L132" s="818">
        <f>+'ТЭЦ-3'!L48</f>
        <v>1295.0459553804644</v>
      </c>
      <c r="M132" s="818">
        <f>+'ТЭЦ-3'!M48</f>
        <v>1319.6216464507072</v>
      </c>
      <c r="N132" s="818">
        <f>+'ТЭЦ-3'!N48</f>
        <v>1344.19733752095</v>
      </c>
      <c r="O132" s="818">
        <f>+'ТЭЦ-3'!O48</f>
        <v>1368.7730285911928</v>
      </c>
      <c r="P132" s="818">
        <f>+'ТЭЦ-3'!P48</f>
        <v>1393.3487196614356</v>
      </c>
    </row>
    <row r="133" spans="1:16" x14ac:dyDescent="0.2">
      <c r="A133" s="776" t="s">
        <v>424</v>
      </c>
      <c r="B133" s="766" t="s">
        <v>16</v>
      </c>
      <c r="C133" s="818">
        <f>+'ТЭЦ-3'!C55</f>
        <v>1350.52369</v>
      </c>
      <c r="D133" s="818">
        <f>+'ТЭЦ-3'!D55</f>
        <v>1296.1782333333335</v>
      </c>
      <c r="E133" s="818">
        <f>+'ТЭЦ-3'!E55</f>
        <v>1320.6604245777182</v>
      </c>
      <c r="F133" s="818">
        <f>+'ТЭЦ-3'!F55</f>
        <v>1285.1990916211132</v>
      </c>
      <c r="G133" s="818">
        <f>+'ТЭЦ-3'!G55</f>
        <v>1264.0226562127648</v>
      </c>
      <c r="H133" s="818">
        <f>+'ТЭЦ-3'!H55</f>
        <v>1249.0028686013445</v>
      </c>
      <c r="I133" s="818">
        <f>+'ТЭЦ-3'!I55</f>
        <v>1237.7693275139916</v>
      </c>
      <c r="J133" s="818">
        <f>+'ТЭЦ-3'!J55</f>
        <v>1228.503595181877</v>
      </c>
      <c r="K133" s="818">
        <f>+'ТЭЦ-3'!K55</f>
        <v>1258.9697752811708</v>
      </c>
      <c r="L133" s="818">
        <f>+'ТЭЦ-3'!L55</f>
        <v>1289.4359553804645</v>
      </c>
      <c r="M133" s="818">
        <f>+'ТЭЦ-3'!M55</f>
        <v>1314.0116464507073</v>
      </c>
      <c r="N133" s="818">
        <f>+'ТЭЦ-3'!N55</f>
        <v>1338.5873375209501</v>
      </c>
      <c r="O133" s="818">
        <f>+'ТЭЦ-3'!O55</f>
        <v>1363.1630285911929</v>
      </c>
      <c r="P133" s="818">
        <f>+'ТЭЦ-3'!P55</f>
        <v>1387.7387196614357</v>
      </c>
    </row>
    <row r="134" spans="1:16" x14ac:dyDescent="0.2">
      <c r="A134" s="762"/>
      <c r="B134" s="762"/>
      <c r="C134" s="818"/>
      <c r="D134" s="818"/>
      <c r="E134" s="818"/>
      <c r="F134" s="818"/>
      <c r="G134" s="818"/>
      <c r="H134" s="818"/>
      <c r="I134" s="818"/>
      <c r="J134" s="818"/>
      <c r="K134" s="818"/>
      <c r="L134" s="818"/>
      <c r="M134" s="818"/>
      <c r="N134" s="818"/>
      <c r="O134" s="818"/>
      <c r="P134" s="818"/>
    </row>
    <row r="135" spans="1:16" s="744" customFormat="1" x14ac:dyDescent="0.2">
      <c r="A135" s="767" t="s">
        <v>92</v>
      </c>
      <c r="B135" s="766" t="s">
        <v>16</v>
      </c>
      <c r="C135" s="775">
        <f>+C133</f>
        <v>1350.52369</v>
      </c>
      <c r="D135" s="775">
        <f t="shared" ref="D135:P135" si="23">+D133</f>
        <v>1296.1782333333335</v>
      </c>
      <c r="E135" s="775">
        <f t="shared" si="23"/>
        <v>1320.6604245777182</v>
      </c>
      <c r="F135" s="775">
        <f t="shared" si="23"/>
        <v>1285.1990916211132</v>
      </c>
      <c r="G135" s="775">
        <f t="shared" si="23"/>
        <v>1264.0226562127648</v>
      </c>
      <c r="H135" s="775">
        <f t="shared" si="23"/>
        <v>1249.0028686013445</v>
      </c>
      <c r="I135" s="775">
        <f t="shared" si="23"/>
        <v>1237.7693275139916</v>
      </c>
      <c r="J135" s="775">
        <f t="shared" si="23"/>
        <v>1228.503595181877</v>
      </c>
      <c r="K135" s="775">
        <f t="shared" si="23"/>
        <v>1258.9697752811708</v>
      </c>
      <c r="L135" s="775">
        <f t="shared" si="23"/>
        <v>1289.4359553804645</v>
      </c>
      <c r="M135" s="775">
        <f t="shared" si="23"/>
        <v>1314.0116464507073</v>
      </c>
      <c r="N135" s="775">
        <f t="shared" si="23"/>
        <v>1338.5873375209501</v>
      </c>
      <c r="O135" s="775">
        <f t="shared" si="23"/>
        <v>1363.1630285911929</v>
      </c>
      <c r="P135" s="775">
        <f t="shared" si="23"/>
        <v>1387.7387196614357</v>
      </c>
    </row>
    <row r="136" spans="1:16" s="750" customFormat="1" x14ac:dyDescent="0.2">
      <c r="A136" s="768" t="s">
        <v>18</v>
      </c>
      <c r="B136" s="787" t="s">
        <v>29</v>
      </c>
      <c r="C136" s="846">
        <f>C131/C130</f>
        <v>0.7623487031700289</v>
      </c>
      <c r="D136" s="846">
        <f t="shared" ref="D136:P136" si="24">D131/D130</f>
        <v>0.77668587896253616</v>
      </c>
      <c r="E136" s="846">
        <f t="shared" si="24"/>
        <v>0.77858789625360236</v>
      </c>
      <c r="F136" s="846">
        <f t="shared" si="24"/>
        <v>0.79250720461095103</v>
      </c>
      <c r="G136" s="846">
        <f t="shared" si="24"/>
        <v>0.81034870317002894</v>
      </c>
      <c r="H136" s="846">
        <f t="shared" si="24"/>
        <v>0.82819020172910662</v>
      </c>
      <c r="I136" s="846">
        <f t="shared" si="24"/>
        <v>0.84603170028818453</v>
      </c>
      <c r="J136" s="846">
        <f t="shared" si="24"/>
        <v>0.86387319884726232</v>
      </c>
      <c r="K136" s="846">
        <f t="shared" si="24"/>
        <v>0.88171469740634023</v>
      </c>
      <c r="L136" s="846">
        <f t="shared" si="24"/>
        <v>0.89610662824207499</v>
      </c>
      <c r="M136" s="846">
        <f t="shared" si="24"/>
        <v>0.91049855907780997</v>
      </c>
      <c r="N136" s="846">
        <f t="shared" si="24"/>
        <v>0.92489048991354472</v>
      </c>
      <c r="O136" s="846">
        <f t="shared" si="24"/>
        <v>0.9392824207492797</v>
      </c>
      <c r="P136" s="846">
        <f t="shared" si="24"/>
        <v>0.95367435158501446</v>
      </c>
    </row>
    <row r="137" spans="1:16" x14ac:dyDescent="0.2">
      <c r="A137" s="778"/>
      <c r="B137" s="766"/>
      <c r="C137" s="818"/>
      <c r="D137" s="818"/>
      <c r="E137" s="818"/>
      <c r="F137" s="818"/>
      <c r="G137" s="818"/>
      <c r="H137" s="818"/>
      <c r="I137" s="818"/>
      <c r="J137" s="818"/>
      <c r="K137" s="818"/>
      <c r="L137" s="818"/>
      <c r="M137" s="818"/>
      <c r="N137" s="818"/>
      <c r="O137" s="818"/>
      <c r="P137" s="818"/>
    </row>
    <row r="138" spans="1:16" x14ac:dyDescent="0.2">
      <c r="A138" s="763" t="s">
        <v>275</v>
      </c>
      <c r="B138" s="762"/>
      <c r="C138" s="818"/>
      <c r="D138" s="818"/>
      <c r="E138" s="818"/>
      <c r="F138" s="818"/>
      <c r="G138" s="818"/>
      <c r="H138" s="818"/>
      <c r="I138" s="818"/>
      <c r="J138" s="818"/>
      <c r="K138" s="818"/>
      <c r="L138" s="818"/>
      <c r="M138" s="818"/>
      <c r="N138" s="818"/>
      <c r="O138" s="818"/>
      <c r="P138" s="818"/>
    </row>
    <row r="139" spans="1:16" x14ac:dyDescent="0.2">
      <c r="A139" s="776" t="s">
        <v>109</v>
      </c>
      <c r="B139" s="766" t="s">
        <v>32</v>
      </c>
      <c r="C139" s="818">
        <f>+'ТЭЦ-4'!C28</f>
        <v>620</v>
      </c>
      <c r="D139" s="818">
        <f>+'ТЭЦ-4'!D28</f>
        <v>620</v>
      </c>
      <c r="E139" s="818">
        <f>+'ТЭЦ-4'!E28</f>
        <v>620</v>
      </c>
      <c r="F139" s="818">
        <f>+'ТЭЦ-4'!F28</f>
        <v>620</v>
      </c>
      <c r="G139" s="818">
        <f>+'ТЭЦ-4'!G28</f>
        <v>620</v>
      </c>
      <c r="H139" s="818">
        <f>+'ТЭЦ-4'!H28</f>
        <v>620</v>
      </c>
      <c r="I139" s="818">
        <f>+'ТЭЦ-4'!I28</f>
        <v>620</v>
      </c>
      <c r="J139" s="818">
        <f>+'ТЭЦ-4'!J28</f>
        <v>620</v>
      </c>
      <c r="K139" s="818">
        <f>+'ТЭЦ-4'!K28</f>
        <v>620</v>
      </c>
      <c r="L139" s="818">
        <f>+'ТЭЦ-4'!L28</f>
        <v>620</v>
      </c>
      <c r="M139" s="818">
        <f>+'ТЭЦ-4'!M28</f>
        <v>620</v>
      </c>
      <c r="N139" s="818">
        <f>+'ТЭЦ-4'!N28</f>
        <v>620</v>
      </c>
      <c r="O139" s="818">
        <f>+'ТЭЦ-4'!O28</f>
        <v>620</v>
      </c>
      <c r="P139" s="818">
        <f>+'ТЭЦ-4'!P28</f>
        <v>620</v>
      </c>
    </row>
    <row r="140" spans="1:16" x14ac:dyDescent="0.2">
      <c r="A140" s="776" t="s">
        <v>35</v>
      </c>
      <c r="B140" s="766" t="s">
        <v>32</v>
      </c>
      <c r="C140" s="818">
        <f>+'ТЭЦ-4'!C40</f>
        <v>404.423</v>
      </c>
      <c r="D140" s="818">
        <f>+'ТЭЦ-4'!D40</f>
        <v>404.423</v>
      </c>
      <c r="E140" s="818">
        <f>+'ТЭЦ-4'!E40</f>
        <v>404.423</v>
      </c>
      <c r="F140" s="818">
        <f>+'ТЭЦ-4'!F40</f>
        <v>404.423</v>
      </c>
      <c r="G140" s="818">
        <f>+'ТЭЦ-4'!G40</f>
        <v>415.15699999999998</v>
      </c>
      <c r="H140" s="818">
        <f>+'ТЭЦ-4'!H40</f>
        <v>425.911</v>
      </c>
      <c r="I140" s="818">
        <f>+'ТЭЦ-4'!I40</f>
        <v>436.66500000000002</v>
      </c>
      <c r="J140" s="818">
        <f>+'ТЭЦ-4'!J40</f>
        <v>447.41900000000004</v>
      </c>
      <c r="K140" s="818">
        <f>+'ТЭЦ-4'!K40</f>
        <v>458.173</v>
      </c>
      <c r="L140" s="818">
        <f>+'ТЭЦ-4'!L40</f>
        <v>459.37700000000001</v>
      </c>
      <c r="M140" s="818">
        <f>+'ТЭЦ-4'!M40</f>
        <v>460.58100000000002</v>
      </c>
      <c r="N140" s="818">
        <f>+'ТЭЦ-4'!N40</f>
        <v>461.78500000000003</v>
      </c>
      <c r="O140" s="818">
        <f>+'ТЭЦ-4'!O40</f>
        <v>462.98899999999998</v>
      </c>
      <c r="P140" s="818">
        <f>+'ТЭЦ-4'!P40</f>
        <v>464.19299999999998</v>
      </c>
    </row>
    <row r="141" spans="1:16" x14ac:dyDescent="0.2">
      <c r="A141" s="776" t="s">
        <v>93</v>
      </c>
      <c r="B141" s="766" t="s">
        <v>16</v>
      </c>
      <c r="C141" s="818">
        <f>+'ТЭЦ-4'!C49</f>
        <v>1165.211</v>
      </c>
      <c r="D141" s="818">
        <f>+'ТЭЦ-4'!D49</f>
        <v>1033.843395259682</v>
      </c>
      <c r="E141" s="818">
        <f>+'ТЭЦ-4'!E49</f>
        <v>1094.6666666666667</v>
      </c>
      <c r="F141" s="818">
        <f>+'ТЭЦ-4'!F49</f>
        <v>1062.1162920806801</v>
      </c>
      <c r="G141" s="818">
        <f>+'ТЭЦ-4'!G49</f>
        <v>1024.3222219264032</v>
      </c>
      <c r="H141" s="818">
        <f>+'ТЭЦ-4'!H49</f>
        <v>1017.929239241445</v>
      </c>
      <c r="I141" s="818">
        <f>+'ТЭЦ-4'!I49</f>
        <v>1014.7794459004498</v>
      </c>
      <c r="J141" s="818">
        <f>+'ТЭЦ-4'!J49</f>
        <v>1013.2843722715991</v>
      </c>
      <c r="K141" s="818">
        <f>+'ТЭЦ-4'!K49</f>
        <v>1045.1996483662313</v>
      </c>
      <c r="L141" s="818">
        <f>+'ТЭЦ-4'!L49</f>
        <v>1077.1149244608632</v>
      </c>
      <c r="M141" s="818">
        <f>+'ТЭЦ-4'!M49</f>
        <v>1080.6881058276047</v>
      </c>
      <c r="N141" s="818">
        <f>+'ТЭЦ-4'!N49</f>
        <v>1084.2612871943461</v>
      </c>
      <c r="O141" s="818">
        <f>+'ТЭЦ-4'!O49</f>
        <v>1087.8344685610875</v>
      </c>
      <c r="P141" s="818">
        <f>+'ТЭЦ-4'!P49</f>
        <v>1091.407649927829</v>
      </c>
    </row>
    <row r="142" spans="1:16" x14ac:dyDescent="0.2">
      <c r="A142" s="776" t="s">
        <v>424</v>
      </c>
      <c r="B142" s="766" t="s">
        <v>16</v>
      </c>
      <c r="C142" s="818">
        <f>+'ТЭЦ-4'!C56</f>
        <v>1161.402</v>
      </c>
      <c r="D142" s="818">
        <f>+'ТЭЦ-4'!D56</f>
        <v>1030.1073952596819</v>
      </c>
      <c r="E142" s="818">
        <f>+'ТЭЦ-4'!E56</f>
        <v>1090.9306666666666</v>
      </c>
      <c r="F142" s="818">
        <f>+'ТЭЦ-4'!F56</f>
        <v>1058.38029208068</v>
      </c>
      <c r="G142" s="818">
        <f>+'ТЭЦ-4'!G56</f>
        <v>1020.5862219264033</v>
      </c>
      <c r="H142" s="818">
        <f>+'ТЭЦ-4'!H56</f>
        <v>1014.193239241445</v>
      </c>
      <c r="I142" s="818">
        <f>+'ТЭЦ-4'!I56</f>
        <v>1011.0434459004498</v>
      </c>
      <c r="J142" s="818">
        <f>+'ТЭЦ-4'!J56</f>
        <v>1009.5483722715991</v>
      </c>
      <c r="K142" s="818">
        <f>+'ТЭЦ-4'!K56</f>
        <v>1041.4636483662312</v>
      </c>
      <c r="L142" s="818">
        <f>+'ТЭЦ-4'!L56</f>
        <v>1073.3789244608631</v>
      </c>
      <c r="M142" s="818">
        <f>+'ТЭЦ-4'!M56</f>
        <v>1076.9521058276046</v>
      </c>
      <c r="N142" s="818">
        <f>+'ТЭЦ-4'!N56</f>
        <v>1080.525287194346</v>
      </c>
      <c r="O142" s="818">
        <f>+'ТЭЦ-4'!O56</f>
        <v>1084.0984685610874</v>
      </c>
      <c r="P142" s="818">
        <f>+'ТЭЦ-4'!P56</f>
        <v>1087.6716499278289</v>
      </c>
    </row>
    <row r="143" spans="1:16" x14ac:dyDescent="0.2">
      <c r="A143" s="762"/>
      <c r="B143" s="762"/>
      <c r="C143" s="818"/>
      <c r="D143" s="818"/>
      <c r="E143" s="818"/>
      <c r="F143" s="818"/>
      <c r="G143" s="818"/>
      <c r="H143" s="818"/>
      <c r="I143" s="818"/>
      <c r="J143" s="818"/>
      <c r="K143" s="818"/>
      <c r="L143" s="818"/>
      <c r="M143" s="818"/>
      <c r="N143" s="818"/>
      <c r="O143" s="818"/>
      <c r="P143" s="818"/>
    </row>
    <row r="144" spans="1:16" s="744" customFormat="1" x14ac:dyDescent="0.2">
      <c r="A144" s="767" t="s">
        <v>92</v>
      </c>
      <c r="B144" s="766" t="s">
        <v>16</v>
      </c>
      <c r="C144" s="775">
        <f>+C142</f>
        <v>1161.402</v>
      </c>
      <c r="D144" s="775">
        <f t="shared" ref="D144:P144" si="25">+D142</f>
        <v>1030.1073952596819</v>
      </c>
      <c r="E144" s="775">
        <f t="shared" si="25"/>
        <v>1090.9306666666666</v>
      </c>
      <c r="F144" s="775">
        <f t="shared" si="25"/>
        <v>1058.38029208068</v>
      </c>
      <c r="G144" s="775">
        <f t="shared" si="25"/>
        <v>1020.5862219264033</v>
      </c>
      <c r="H144" s="775">
        <f t="shared" si="25"/>
        <v>1014.193239241445</v>
      </c>
      <c r="I144" s="775">
        <f t="shared" si="25"/>
        <v>1011.0434459004498</v>
      </c>
      <c r="J144" s="775">
        <f t="shared" si="25"/>
        <v>1009.5483722715991</v>
      </c>
      <c r="K144" s="775">
        <f t="shared" si="25"/>
        <v>1041.4636483662312</v>
      </c>
      <c r="L144" s="775">
        <f t="shared" si="25"/>
        <v>1073.3789244608631</v>
      </c>
      <c r="M144" s="775">
        <f t="shared" si="25"/>
        <v>1076.9521058276046</v>
      </c>
      <c r="N144" s="775">
        <f t="shared" si="25"/>
        <v>1080.525287194346</v>
      </c>
      <c r="O144" s="775">
        <f t="shared" si="25"/>
        <v>1084.0984685610874</v>
      </c>
      <c r="P144" s="775">
        <f t="shared" si="25"/>
        <v>1087.6716499278289</v>
      </c>
    </row>
    <row r="145" spans="1:20" s="750" customFormat="1" x14ac:dyDescent="0.2">
      <c r="A145" s="768" t="s">
        <v>18</v>
      </c>
      <c r="B145" s="787" t="s">
        <v>29</v>
      </c>
      <c r="C145" s="846">
        <f>C140/C139</f>
        <v>0.65229516129032261</v>
      </c>
      <c r="D145" s="846">
        <f t="shared" ref="D145:P145" si="26">D140/D139</f>
        <v>0.65229516129032261</v>
      </c>
      <c r="E145" s="846">
        <f t="shared" si="26"/>
        <v>0.65229516129032261</v>
      </c>
      <c r="F145" s="846">
        <f t="shared" si="26"/>
        <v>0.65229516129032261</v>
      </c>
      <c r="G145" s="846">
        <f t="shared" si="26"/>
        <v>0.66960806451612898</v>
      </c>
      <c r="H145" s="846">
        <f t="shared" si="26"/>
        <v>0.68695322580645157</v>
      </c>
      <c r="I145" s="846">
        <f t="shared" si="26"/>
        <v>0.70429838709677428</v>
      </c>
      <c r="J145" s="846">
        <f t="shared" si="26"/>
        <v>0.72164354838709688</v>
      </c>
      <c r="K145" s="846">
        <f t="shared" si="26"/>
        <v>0.73898870967741936</v>
      </c>
      <c r="L145" s="846">
        <f t="shared" si="26"/>
        <v>0.74093064516129037</v>
      </c>
      <c r="M145" s="846">
        <f t="shared" si="26"/>
        <v>0.74287258064516137</v>
      </c>
      <c r="N145" s="846">
        <f t="shared" si="26"/>
        <v>0.74481451612903227</v>
      </c>
      <c r="O145" s="846">
        <f t="shared" si="26"/>
        <v>0.74675645161290316</v>
      </c>
      <c r="P145" s="846">
        <f t="shared" si="26"/>
        <v>0.74869838709677416</v>
      </c>
    </row>
    <row r="146" spans="1:20" x14ac:dyDescent="0.2">
      <c r="A146" s="778"/>
      <c r="B146" s="766"/>
      <c r="C146" s="818"/>
      <c r="D146" s="818"/>
      <c r="E146" s="818"/>
      <c r="F146" s="818"/>
      <c r="G146" s="818"/>
      <c r="H146" s="818"/>
      <c r="I146" s="818"/>
      <c r="J146" s="818"/>
      <c r="K146" s="818"/>
      <c r="L146" s="818"/>
      <c r="M146" s="818"/>
      <c r="N146" s="818"/>
      <c r="O146" s="818"/>
      <c r="P146" s="818"/>
    </row>
    <row r="147" spans="1:20" x14ac:dyDescent="0.2">
      <c r="A147" s="763" t="s">
        <v>501</v>
      </c>
      <c r="B147" s="762"/>
      <c r="C147" s="818"/>
      <c r="D147" s="818"/>
      <c r="E147" s="818"/>
      <c r="F147" s="818"/>
      <c r="G147" s="818"/>
      <c r="H147" s="818"/>
      <c r="I147" s="818"/>
      <c r="J147" s="818"/>
      <c r="K147" s="818"/>
      <c r="L147" s="818"/>
      <c r="M147" s="818"/>
      <c r="N147" s="818"/>
      <c r="O147" s="818"/>
      <c r="P147" s="818"/>
    </row>
    <row r="148" spans="1:20" x14ac:dyDescent="0.2">
      <c r="A148" s="776" t="s">
        <v>109</v>
      </c>
      <c r="B148" s="766" t="s">
        <v>32</v>
      </c>
      <c r="C148" s="818">
        <f>+Кот.!C5</f>
        <v>650.0100000000001</v>
      </c>
      <c r="D148" s="818">
        <f>+Кот.!D5</f>
        <v>650.0100000000001</v>
      </c>
      <c r="E148" s="818">
        <f>+Кот.!E5</f>
        <v>650.0100000000001</v>
      </c>
      <c r="F148" s="818">
        <f>+Кот.!F5</f>
        <v>650.0100000000001</v>
      </c>
      <c r="G148" s="818">
        <f>+Кот.!G5</f>
        <v>650.0100000000001</v>
      </c>
      <c r="H148" s="818">
        <f>+Кот.!H5</f>
        <v>650.0100000000001</v>
      </c>
      <c r="I148" s="818">
        <f>+Кот.!I5</f>
        <v>650.0100000000001</v>
      </c>
      <c r="J148" s="818">
        <f>+Кот.!J5</f>
        <v>650.0100000000001</v>
      </c>
      <c r="K148" s="818">
        <f>+Кот.!K5</f>
        <v>650.0100000000001</v>
      </c>
      <c r="L148" s="818">
        <f>+Кот.!L5</f>
        <v>650.0100000000001</v>
      </c>
      <c r="M148" s="818">
        <f>+Кот.!M5</f>
        <v>650.0100000000001</v>
      </c>
      <c r="N148" s="818">
        <f>+Кот.!N5</f>
        <v>650.0100000000001</v>
      </c>
      <c r="O148" s="818">
        <f>+Кот.!O5</f>
        <v>650.0100000000001</v>
      </c>
      <c r="P148" s="818">
        <f>+Кот.!P5</f>
        <v>650.0100000000001</v>
      </c>
      <c r="Q148" s="758"/>
      <c r="R148" s="749"/>
      <c r="S148" s="749"/>
      <c r="T148" s="749"/>
    </row>
    <row r="149" spans="1:20" s="750" customFormat="1" x14ac:dyDescent="0.2">
      <c r="A149" s="776" t="s">
        <v>35</v>
      </c>
      <c r="B149" s="766" t="s">
        <v>32</v>
      </c>
      <c r="C149" s="818">
        <f>+Кот.!C29</f>
        <v>395.28399999999993</v>
      </c>
      <c r="D149" s="818">
        <f>+Кот.!D29</f>
        <v>395.28399999999993</v>
      </c>
      <c r="E149" s="818">
        <f>+Кот.!E29</f>
        <v>395.28399999999993</v>
      </c>
      <c r="F149" s="818">
        <f>+Кот.!F29</f>
        <v>398.43399999999997</v>
      </c>
      <c r="G149" s="818">
        <f>+Кот.!G29</f>
        <v>399.67719999999997</v>
      </c>
      <c r="H149" s="818">
        <f>+Кот.!H29</f>
        <v>401.07359999999994</v>
      </c>
      <c r="I149" s="818">
        <f>+Кот.!I29</f>
        <v>402.62319999999994</v>
      </c>
      <c r="J149" s="818">
        <f>+Кот.!J29</f>
        <v>404.32599999999991</v>
      </c>
      <c r="K149" s="818">
        <f>+Кот.!K29</f>
        <v>406.18199999999996</v>
      </c>
      <c r="L149" s="818">
        <f>+Кот.!L29</f>
        <v>408.36799999999994</v>
      </c>
      <c r="M149" s="818">
        <f>+Кот.!M29</f>
        <v>411.31</v>
      </c>
      <c r="N149" s="818">
        <f>+Кот.!N29</f>
        <v>415.00799999999998</v>
      </c>
      <c r="O149" s="818">
        <f>+Кот.!O29</f>
        <v>419.46199999999993</v>
      </c>
      <c r="P149" s="818">
        <f>+Кот.!P29</f>
        <v>424.67199999999997</v>
      </c>
      <c r="Q149" s="759"/>
      <c r="R149" s="747"/>
      <c r="S149" s="747"/>
      <c r="T149" s="747"/>
    </row>
    <row r="150" spans="1:20" s="750" customFormat="1" x14ac:dyDescent="0.2">
      <c r="A150" s="776" t="s">
        <v>93</v>
      </c>
      <c r="B150" s="766" t="s">
        <v>16</v>
      </c>
      <c r="C150" s="818">
        <f>+Кот.!C64</f>
        <v>570.10398999999973</v>
      </c>
      <c r="D150" s="818">
        <f>+Кот.!D64</f>
        <v>882.62625383333352</v>
      </c>
      <c r="E150" s="818">
        <f>+Кот.!E64</f>
        <v>843.11152182306625</v>
      </c>
      <c r="F150" s="818">
        <f>+Кот.!F64</f>
        <v>824.22099905687344</v>
      </c>
      <c r="G150" s="818">
        <f>+Кот.!G64</f>
        <v>811.04591548194651</v>
      </c>
      <c r="H150" s="818">
        <f>+Кот.!H64</f>
        <v>791.9596126710311</v>
      </c>
      <c r="I150" s="818">
        <f>+Кот.!I64</f>
        <v>774.70557023061986</v>
      </c>
      <c r="J150" s="818">
        <f>+Кот.!J64</f>
        <v>758.3965647771621</v>
      </c>
      <c r="K150" s="818">
        <f>+Кот.!K64</f>
        <v>761.46208199532623</v>
      </c>
      <c r="L150" s="818">
        <f>+Кот.!L64</f>
        <v>765.68377391761567</v>
      </c>
      <c r="M150" s="818">
        <f>+Кот.!M64</f>
        <v>769.74122293801349</v>
      </c>
      <c r="N150" s="818">
        <f>+Кот.!N64</f>
        <v>773.77318970630324</v>
      </c>
      <c r="O150" s="818">
        <f>+Кот.!O64</f>
        <v>777.78039207384029</v>
      </c>
      <c r="P150" s="818">
        <f>+Кот.!P64</f>
        <v>781.76352028667645</v>
      </c>
      <c r="Q150" s="759"/>
      <c r="R150" s="747"/>
      <c r="S150" s="747"/>
      <c r="T150" s="747"/>
    </row>
    <row r="151" spans="1:20" s="750" customFormat="1" x14ac:dyDescent="0.2">
      <c r="A151" s="776" t="s">
        <v>424</v>
      </c>
      <c r="B151" s="766" t="s">
        <v>16</v>
      </c>
      <c r="C151" s="818">
        <f>+Кот.!C101</f>
        <v>706.76548389899972</v>
      </c>
      <c r="D151" s="818">
        <f>+Кот.!D101</f>
        <v>939.84904391205055</v>
      </c>
      <c r="E151" s="818">
        <f>+Кот.!E101</f>
        <v>898.04745862306629</v>
      </c>
      <c r="F151" s="818">
        <f>+Кот.!F101</f>
        <v>879.15693585687347</v>
      </c>
      <c r="G151" s="818">
        <f>+Кот.!G101</f>
        <v>865.98185228194654</v>
      </c>
      <c r="H151" s="818">
        <f>+Кот.!H101</f>
        <v>846.89554947103113</v>
      </c>
      <c r="I151" s="818">
        <f>+Кот.!I101</f>
        <v>829.64150703061989</v>
      </c>
      <c r="J151" s="818">
        <f>+Кот.!J101</f>
        <v>813.33250157716213</v>
      </c>
      <c r="K151" s="818">
        <f>+Кот.!K101</f>
        <v>816.39801879532627</v>
      </c>
      <c r="L151" s="818">
        <f>+Кот.!L101</f>
        <v>820.6197107176157</v>
      </c>
      <c r="M151" s="818">
        <f>+Кот.!M101</f>
        <v>824.67715973801353</v>
      </c>
      <c r="N151" s="818">
        <f>+Кот.!N101</f>
        <v>828.70912650630328</v>
      </c>
      <c r="O151" s="818">
        <f>+Кот.!O101</f>
        <v>832.71632887384033</v>
      </c>
      <c r="P151" s="818">
        <f>+Кот.!P101</f>
        <v>836.69945708667649</v>
      </c>
      <c r="Q151" s="759"/>
      <c r="R151" s="747"/>
      <c r="S151" s="747"/>
      <c r="T151" s="747"/>
    </row>
    <row r="152" spans="1:20" x14ac:dyDescent="0.2">
      <c r="A152" s="762"/>
      <c r="B152" s="762"/>
      <c r="C152" s="818"/>
      <c r="D152" s="818"/>
      <c r="E152" s="818"/>
      <c r="F152" s="818"/>
      <c r="G152" s="818"/>
      <c r="H152" s="818"/>
      <c r="I152" s="818"/>
      <c r="J152" s="818"/>
      <c r="K152" s="818"/>
      <c r="L152" s="818"/>
      <c r="M152" s="818"/>
      <c r="N152" s="818"/>
      <c r="O152" s="818"/>
      <c r="P152" s="818"/>
      <c r="Q152" s="758"/>
      <c r="R152" s="749"/>
      <c r="S152" s="749"/>
      <c r="T152" s="749"/>
    </row>
    <row r="153" spans="1:20" s="744" customFormat="1" x14ac:dyDescent="0.2">
      <c r="A153" s="767" t="s">
        <v>277</v>
      </c>
      <c r="B153" s="766" t="s">
        <v>16</v>
      </c>
      <c r="C153" s="775">
        <f>+C151</f>
        <v>706.76548389899972</v>
      </c>
      <c r="D153" s="775">
        <f t="shared" ref="D153:P153" si="27">+D151</f>
        <v>939.84904391205055</v>
      </c>
      <c r="E153" s="775">
        <f t="shared" si="27"/>
        <v>898.04745862306629</v>
      </c>
      <c r="F153" s="775">
        <f t="shared" si="27"/>
        <v>879.15693585687347</v>
      </c>
      <c r="G153" s="775">
        <f t="shared" si="27"/>
        <v>865.98185228194654</v>
      </c>
      <c r="H153" s="775">
        <f t="shared" si="27"/>
        <v>846.89554947103113</v>
      </c>
      <c r="I153" s="775">
        <f t="shared" si="27"/>
        <v>829.64150703061989</v>
      </c>
      <c r="J153" s="775">
        <f t="shared" si="27"/>
        <v>813.33250157716213</v>
      </c>
      <c r="K153" s="775">
        <f t="shared" si="27"/>
        <v>816.39801879532627</v>
      </c>
      <c r="L153" s="775">
        <f t="shared" si="27"/>
        <v>820.6197107176157</v>
      </c>
      <c r="M153" s="775">
        <f t="shared" si="27"/>
        <v>824.67715973801353</v>
      </c>
      <c r="N153" s="775">
        <f t="shared" si="27"/>
        <v>828.70912650630328</v>
      </c>
      <c r="O153" s="775">
        <f t="shared" si="27"/>
        <v>832.71632887384033</v>
      </c>
      <c r="P153" s="775">
        <f t="shared" si="27"/>
        <v>836.69945708667649</v>
      </c>
      <c r="Q153" s="760"/>
      <c r="R153" s="751"/>
      <c r="S153" s="751"/>
      <c r="T153" s="751"/>
    </row>
    <row r="154" spans="1:20" s="750" customFormat="1" x14ac:dyDescent="0.2">
      <c r="A154" s="768" t="s">
        <v>18</v>
      </c>
      <c r="B154" s="787" t="s">
        <v>29</v>
      </c>
      <c r="C154" s="846">
        <f>C149/C148</f>
        <v>0.6081198750788448</v>
      </c>
      <c r="D154" s="846">
        <f t="shared" ref="D154:P154" si="28">D149/D148</f>
        <v>0.6081198750788448</v>
      </c>
      <c r="E154" s="846">
        <f t="shared" si="28"/>
        <v>0.6081198750788448</v>
      </c>
      <c r="F154" s="846">
        <f t="shared" si="28"/>
        <v>0.61296595436993262</v>
      </c>
      <c r="G154" s="846">
        <f t="shared" si="28"/>
        <v>0.61487854033014866</v>
      </c>
      <c r="H154" s="846">
        <f t="shared" si="28"/>
        <v>0.61702681497207712</v>
      </c>
      <c r="I154" s="846">
        <f t="shared" si="28"/>
        <v>0.61941077829571833</v>
      </c>
      <c r="J154" s="846">
        <f t="shared" si="28"/>
        <v>0.62203043030107208</v>
      </c>
      <c r="K154" s="846">
        <f t="shared" si="28"/>
        <v>0.62488577098813847</v>
      </c>
      <c r="L154" s="846">
        <f t="shared" si="28"/>
        <v>0.6282487961723664</v>
      </c>
      <c r="M154" s="846">
        <f t="shared" si="28"/>
        <v>0.63277488038645546</v>
      </c>
      <c r="N154" s="846">
        <f t="shared" si="28"/>
        <v>0.63846402363040555</v>
      </c>
      <c r="O154" s="846">
        <f t="shared" si="28"/>
        <v>0.64531622590421667</v>
      </c>
      <c r="P154" s="846">
        <f t="shared" si="28"/>
        <v>0.65333148720788892</v>
      </c>
    </row>
    <row r="155" spans="1:20" x14ac:dyDescent="0.2">
      <c r="A155" s="778"/>
      <c r="B155" s="766"/>
      <c r="C155" s="818"/>
      <c r="D155" s="818"/>
      <c r="E155" s="818"/>
      <c r="F155" s="818"/>
      <c r="G155" s="818"/>
      <c r="H155" s="818"/>
      <c r="I155" s="818"/>
      <c r="J155" s="818"/>
      <c r="K155" s="818"/>
      <c r="L155" s="818"/>
      <c r="M155" s="818"/>
      <c r="N155" s="818"/>
      <c r="O155" s="818"/>
      <c r="P155" s="818"/>
    </row>
    <row r="156" spans="1:20" x14ac:dyDescent="0.2">
      <c r="A156" s="763" t="s">
        <v>276</v>
      </c>
      <c r="B156" s="762"/>
      <c r="C156" s="818"/>
      <c r="D156" s="818"/>
      <c r="E156" s="818"/>
      <c r="F156" s="818"/>
      <c r="G156" s="818"/>
      <c r="H156" s="818"/>
      <c r="I156" s="818"/>
      <c r="J156" s="818"/>
      <c r="K156" s="818"/>
      <c r="L156" s="818"/>
      <c r="M156" s="818"/>
      <c r="N156" s="818"/>
      <c r="O156" s="818"/>
      <c r="P156" s="818"/>
    </row>
    <row r="157" spans="1:20" x14ac:dyDescent="0.2">
      <c r="A157" s="776" t="str">
        <f>+A148</f>
        <v>Суммарная установленная мощность</v>
      </c>
      <c r="B157" s="766" t="s">
        <v>32</v>
      </c>
      <c r="C157" s="818">
        <f>SUM(C148,C139,C130,C121)</f>
        <v>2165.0100000000002</v>
      </c>
      <c r="D157" s="818">
        <f t="shared" ref="D157:P157" si="29">SUM(D148,D139,D130,D121)</f>
        <v>2165.0100000000002</v>
      </c>
      <c r="E157" s="818">
        <f t="shared" si="29"/>
        <v>2165.0100000000002</v>
      </c>
      <c r="F157" s="818">
        <f t="shared" si="29"/>
        <v>2165.0100000000002</v>
      </c>
      <c r="G157" s="818">
        <f t="shared" si="29"/>
        <v>2165.0100000000002</v>
      </c>
      <c r="H157" s="818">
        <f t="shared" si="29"/>
        <v>2173.0100000000002</v>
      </c>
      <c r="I157" s="818">
        <f t="shared" si="29"/>
        <v>2173.0100000000002</v>
      </c>
      <c r="J157" s="818">
        <f t="shared" si="29"/>
        <v>2179.0100000000002</v>
      </c>
      <c r="K157" s="818">
        <f t="shared" si="29"/>
        <v>2179.0100000000002</v>
      </c>
      <c r="L157" s="818">
        <f t="shared" si="29"/>
        <v>2179.0100000000002</v>
      </c>
      <c r="M157" s="818">
        <f t="shared" si="29"/>
        <v>2179.0100000000002</v>
      </c>
      <c r="N157" s="818">
        <f t="shared" si="29"/>
        <v>2179.0100000000002</v>
      </c>
      <c r="O157" s="818">
        <f t="shared" si="29"/>
        <v>2179.0100000000002</v>
      </c>
      <c r="P157" s="818">
        <f t="shared" si="29"/>
        <v>2179.0100000000002</v>
      </c>
    </row>
    <row r="158" spans="1:20" x14ac:dyDescent="0.2">
      <c r="A158" s="776" t="str">
        <f t="shared" ref="A158:A160" si="30">+A149</f>
        <v>Присоединенная нагрузка</v>
      </c>
      <c r="B158" s="766" t="s">
        <v>32</v>
      </c>
      <c r="C158" s="818">
        <f t="shared" ref="C158:P160" si="31">SUM(C149,C140,C131,C122)</f>
        <v>1467.818</v>
      </c>
      <c r="D158" s="818">
        <f t="shared" si="31"/>
        <v>1477.7679999999998</v>
      </c>
      <c r="E158" s="818">
        <f t="shared" si="31"/>
        <v>1479.088</v>
      </c>
      <c r="F158" s="818">
        <f t="shared" si="31"/>
        <v>1496.048</v>
      </c>
      <c r="G158" s="818">
        <f t="shared" si="31"/>
        <v>1523.7952</v>
      </c>
      <c r="H158" s="818">
        <f t="shared" si="31"/>
        <v>1551.7156</v>
      </c>
      <c r="I158" s="818">
        <f t="shared" si="31"/>
        <v>1579.7892000000002</v>
      </c>
      <c r="J158" s="818">
        <f t="shared" si="31"/>
        <v>1608.0159999999998</v>
      </c>
      <c r="K158" s="818">
        <f t="shared" si="31"/>
        <v>1636.3960000000002</v>
      </c>
      <c r="L158" s="818">
        <f t="shared" si="31"/>
        <v>1650.05</v>
      </c>
      <c r="M158" s="818">
        <f t="shared" si="31"/>
        <v>1664.46</v>
      </c>
      <c r="N158" s="818">
        <f t="shared" si="31"/>
        <v>1679.626</v>
      </c>
      <c r="O158" s="818">
        <f t="shared" si="31"/>
        <v>1695.5480000000002</v>
      </c>
      <c r="P158" s="818">
        <f t="shared" si="31"/>
        <v>1712.2260000000001</v>
      </c>
    </row>
    <row r="159" spans="1:20" x14ac:dyDescent="0.2">
      <c r="A159" s="776" t="str">
        <f t="shared" si="30"/>
        <v>Отпуск тепла с коллекторов</v>
      </c>
      <c r="B159" s="766" t="s">
        <v>16</v>
      </c>
      <c r="C159" s="818">
        <f t="shared" si="31"/>
        <v>3400.5595999999996</v>
      </c>
      <c r="D159" s="818">
        <f t="shared" si="31"/>
        <v>3557.7335957596824</v>
      </c>
      <c r="E159" s="818">
        <f t="shared" si="31"/>
        <v>3603.5243264007845</v>
      </c>
      <c r="F159" s="818">
        <f t="shared" si="31"/>
        <v>3506.5276427133354</v>
      </c>
      <c r="G159" s="818">
        <f t="shared" si="31"/>
        <v>3432.4019158740621</v>
      </c>
      <c r="H159" s="818">
        <f t="shared" si="31"/>
        <v>3387.9881410839866</v>
      </c>
      <c r="I159" s="818">
        <f t="shared" si="31"/>
        <v>3353.4234264574698</v>
      </c>
      <c r="J159" s="818">
        <f t="shared" si="31"/>
        <v>3323.9394354655387</v>
      </c>
      <c r="K159" s="818">
        <f t="shared" si="31"/>
        <v>3397.3333763510605</v>
      </c>
      <c r="L159" s="818">
        <f t="shared" si="31"/>
        <v>3471.8834919407077</v>
      </c>
      <c r="M159" s="818">
        <f t="shared" si="31"/>
        <v>3504.7372050812855</v>
      </c>
      <c r="N159" s="818">
        <f t="shared" si="31"/>
        <v>3537.5654359697551</v>
      </c>
      <c r="O159" s="818">
        <f t="shared" si="31"/>
        <v>3570.3689024574724</v>
      </c>
      <c r="P159" s="818">
        <f t="shared" si="31"/>
        <v>3603.1482947904883</v>
      </c>
    </row>
    <row r="160" spans="1:20" x14ac:dyDescent="0.2">
      <c r="A160" s="776" t="str">
        <f t="shared" si="30"/>
        <v>Отпуск тепла в сеть</v>
      </c>
      <c r="B160" s="766" t="s">
        <v>16</v>
      </c>
      <c r="C160" s="818">
        <f t="shared" si="31"/>
        <v>3526.3120338989997</v>
      </c>
      <c r="D160" s="818">
        <f t="shared" si="31"/>
        <v>3604.7853858383996</v>
      </c>
      <c r="E160" s="818">
        <f t="shared" si="31"/>
        <v>3648.2892632007843</v>
      </c>
      <c r="F160" s="818">
        <f t="shared" si="31"/>
        <v>3551.2925795133351</v>
      </c>
      <c r="G160" s="818">
        <f t="shared" si="31"/>
        <v>3477.1668526740623</v>
      </c>
      <c r="H160" s="818">
        <f t="shared" si="31"/>
        <v>3432.7530778839869</v>
      </c>
      <c r="I160" s="818">
        <f t="shared" si="31"/>
        <v>3398.1883632574695</v>
      </c>
      <c r="J160" s="818">
        <f t="shared" si="31"/>
        <v>3368.704372265539</v>
      </c>
      <c r="K160" s="818">
        <f t="shared" si="31"/>
        <v>3442.0983131510607</v>
      </c>
      <c r="L160" s="818">
        <f t="shared" si="31"/>
        <v>3516.6484287407079</v>
      </c>
      <c r="M160" s="818">
        <f t="shared" si="31"/>
        <v>3549.5021418812853</v>
      </c>
      <c r="N160" s="818">
        <f t="shared" si="31"/>
        <v>3582.3303727697557</v>
      </c>
      <c r="O160" s="818">
        <f t="shared" si="31"/>
        <v>3615.1338392574721</v>
      </c>
      <c r="P160" s="818">
        <f t="shared" si="31"/>
        <v>3647.9132315904881</v>
      </c>
    </row>
    <row r="161" spans="1:16" x14ac:dyDescent="0.2">
      <c r="A161" s="762"/>
      <c r="B161" s="762"/>
      <c r="C161" s="818"/>
      <c r="D161" s="818"/>
      <c r="E161" s="818"/>
      <c r="F161" s="818"/>
      <c r="G161" s="818"/>
      <c r="H161" s="818"/>
      <c r="I161" s="818"/>
      <c r="J161" s="818"/>
      <c r="K161" s="818"/>
      <c r="L161" s="818"/>
      <c r="M161" s="818"/>
      <c r="N161" s="818"/>
      <c r="O161" s="818"/>
      <c r="P161" s="818"/>
    </row>
    <row r="162" spans="1:16" s="744" customFormat="1" x14ac:dyDescent="0.2">
      <c r="A162" s="767" t="s">
        <v>277</v>
      </c>
      <c r="B162" s="766" t="s">
        <v>16</v>
      </c>
      <c r="C162" s="775">
        <f>SUM(C153,C144,C135,C126)</f>
        <v>3526.3120338989997</v>
      </c>
      <c r="D162" s="775">
        <f t="shared" ref="D162:P162" si="32">SUM(D153,D144,D135,D126)</f>
        <v>3604.7853858383996</v>
      </c>
      <c r="E162" s="775">
        <f t="shared" si="32"/>
        <v>3648.2892632007843</v>
      </c>
      <c r="F162" s="775">
        <f t="shared" si="32"/>
        <v>3551.2925795133351</v>
      </c>
      <c r="G162" s="775">
        <f t="shared" si="32"/>
        <v>3477.1668526740623</v>
      </c>
      <c r="H162" s="775">
        <f t="shared" si="32"/>
        <v>3432.7530778839869</v>
      </c>
      <c r="I162" s="775">
        <f t="shared" si="32"/>
        <v>3398.1883632574695</v>
      </c>
      <c r="J162" s="775">
        <f t="shared" si="32"/>
        <v>3368.704372265539</v>
      </c>
      <c r="K162" s="775">
        <f t="shared" si="32"/>
        <v>3442.0983131510607</v>
      </c>
      <c r="L162" s="775">
        <f t="shared" si="32"/>
        <v>3516.6484287407079</v>
      </c>
      <c r="M162" s="775">
        <f t="shared" si="32"/>
        <v>3549.5021418812853</v>
      </c>
      <c r="N162" s="775">
        <f t="shared" si="32"/>
        <v>3582.3303727697557</v>
      </c>
      <c r="O162" s="775">
        <f t="shared" si="32"/>
        <v>3615.1338392574721</v>
      </c>
      <c r="P162" s="775">
        <f t="shared" si="32"/>
        <v>3647.9132315904881</v>
      </c>
    </row>
    <row r="163" spans="1:16" s="750" customFormat="1" x14ac:dyDescent="0.2">
      <c r="A163" s="768" t="s">
        <v>18</v>
      </c>
      <c r="B163" s="787" t="s">
        <v>29</v>
      </c>
      <c r="C163" s="846">
        <f>C158/C157</f>
        <v>0.67797285000993057</v>
      </c>
      <c r="D163" s="846">
        <f t="shared" ref="D163:P163" si="33">D158/D157</f>
        <v>0.68256867173823665</v>
      </c>
      <c r="E163" s="846">
        <f t="shared" si="33"/>
        <v>0.68317836869113757</v>
      </c>
      <c r="F163" s="846">
        <f t="shared" si="33"/>
        <v>0.69101205075265237</v>
      </c>
      <c r="G163" s="846">
        <f t="shared" si="33"/>
        <v>0.70382825021593431</v>
      </c>
      <c r="H163" s="846">
        <f t="shared" si="33"/>
        <v>0.71408580724432924</v>
      </c>
      <c r="I163" s="846">
        <f t="shared" si="33"/>
        <v>0.72700502988941607</v>
      </c>
      <c r="J163" s="846">
        <f t="shared" si="33"/>
        <v>0.73795714567624737</v>
      </c>
      <c r="K163" s="846">
        <f t="shared" si="33"/>
        <v>0.75098140898848564</v>
      </c>
      <c r="L163" s="846">
        <f t="shared" si="33"/>
        <v>0.7572475573769738</v>
      </c>
      <c r="M163" s="846">
        <f t="shared" si="33"/>
        <v>0.76386065231458322</v>
      </c>
      <c r="N163" s="846">
        <f t="shared" si="33"/>
        <v>0.77082069380131335</v>
      </c>
      <c r="O163" s="846">
        <f t="shared" si="33"/>
        <v>0.77812768183716463</v>
      </c>
      <c r="P163" s="846">
        <f t="shared" si="33"/>
        <v>0.78578161642213662</v>
      </c>
    </row>
    <row r="164" spans="1:16" x14ac:dyDescent="0.2">
      <c r="A164" s="778"/>
      <c r="B164" s="766"/>
      <c r="C164" s="818"/>
      <c r="D164" s="818"/>
      <c r="E164" s="818"/>
      <c r="F164" s="818"/>
      <c r="G164" s="818"/>
      <c r="H164" s="818"/>
      <c r="I164" s="818"/>
      <c r="J164" s="818"/>
      <c r="K164" s="818"/>
      <c r="L164" s="818"/>
      <c r="M164" s="818"/>
      <c r="N164" s="818"/>
      <c r="O164" s="818"/>
      <c r="P164" s="818"/>
    </row>
    <row r="165" spans="1:16" ht="15" customHeight="1" x14ac:dyDescent="0.2">
      <c r="A165" s="763" t="s">
        <v>278</v>
      </c>
      <c r="B165" s="762"/>
      <c r="C165" s="815"/>
      <c r="D165" s="815"/>
      <c r="E165" s="815"/>
      <c r="F165" s="815"/>
      <c r="G165" s="815"/>
      <c r="H165" s="815"/>
      <c r="I165" s="815"/>
      <c r="J165" s="815"/>
      <c r="K165" s="815"/>
      <c r="L165" s="815"/>
      <c r="M165" s="815"/>
      <c r="N165" s="815"/>
      <c r="O165" s="815"/>
      <c r="P165" s="815"/>
    </row>
    <row r="166" spans="1:16" ht="12" customHeight="1" x14ac:dyDescent="0.2">
      <c r="A166" s="776" t="s">
        <v>110</v>
      </c>
      <c r="B166" s="766" t="s">
        <v>31</v>
      </c>
      <c r="C166" s="818">
        <f>+'ТЭЦ-1'!C5</f>
        <v>11</v>
      </c>
      <c r="D166" s="818">
        <f>+'ТЭЦ-1'!D5</f>
        <v>11</v>
      </c>
      <c r="E166" s="818">
        <f>+'ТЭЦ-1'!E5</f>
        <v>11</v>
      </c>
      <c r="F166" s="818">
        <f>+'ТЭЦ-1'!F5</f>
        <v>11</v>
      </c>
      <c r="G166" s="818">
        <f>+'ТЭЦ-1'!G5</f>
        <v>11</v>
      </c>
      <c r="H166" s="818">
        <f>+'ТЭЦ-1'!H5</f>
        <v>11</v>
      </c>
      <c r="I166" s="818">
        <f>+'ТЭЦ-1'!I5</f>
        <v>11</v>
      </c>
      <c r="J166" s="818">
        <f>+'ТЭЦ-1'!J5</f>
        <v>11</v>
      </c>
      <c r="K166" s="818">
        <f>+'ТЭЦ-1'!K5</f>
        <v>11</v>
      </c>
      <c r="L166" s="818">
        <f>+'ТЭЦ-1'!L5</f>
        <v>11</v>
      </c>
      <c r="M166" s="818">
        <f>+'ТЭЦ-1'!M5</f>
        <v>11</v>
      </c>
      <c r="N166" s="818">
        <f>+'ТЭЦ-1'!N5</f>
        <v>11</v>
      </c>
      <c r="O166" s="818">
        <f>+'ТЭЦ-1'!O5</f>
        <v>11</v>
      </c>
      <c r="P166" s="818">
        <f>+'ТЭЦ-1'!P5</f>
        <v>11</v>
      </c>
    </row>
    <row r="167" spans="1:16" ht="12" customHeight="1" x14ac:dyDescent="0.2">
      <c r="A167" s="776" t="s">
        <v>94</v>
      </c>
      <c r="B167" s="766" t="s">
        <v>31</v>
      </c>
      <c r="C167" s="818">
        <f>+'ТЭЦ-1'!C8</f>
        <v>5.2005115079365085</v>
      </c>
      <c r="D167" s="818">
        <f>+'ТЭЦ-1'!D8</f>
        <v>5.4504761904761905</v>
      </c>
      <c r="E167" s="818">
        <f>+'ТЭЦ-1'!E8</f>
        <v>5.4504761904761905</v>
      </c>
      <c r="F167" s="818">
        <f>+'ТЭЦ-1'!F8</f>
        <v>5.4504761904761905</v>
      </c>
      <c r="G167" s="818">
        <f>+'ТЭЦ-1'!G8</f>
        <v>5.4504761904761905</v>
      </c>
      <c r="H167" s="818">
        <f>+'ТЭЦ-1'!H8</f>
        <v>5.4504761904761905</v>
      </c>
      <c r="I167" s="818">
        <f>+'ТЭЦ-1'!I8</f>
        <v>5.4504761904761905</v>
      </c>
      <c r="J167" s="818">
        <f>+'ТЭЦ-1'!J8</f>
        <v>5.4504761904761905</v>
      </c>
      <c r="K167" s="818">
        <f>+'ТЭЦ-1'!K8</f>
        <v>5.4504761904761905</v>
      </c>
      <c r="L167" s="818">
        <f>+'ТЭЦ-1'!L8</f>
        <v>5.4504761904761905</v>
      </c>
      <c r="M167" s="818">
        <f>+'ТЭЦ-1'!M8</f>
        <v>5.4504761904761905</v>
      </c>
      <c r="N167" s="818">
        <f>+'ТЭЦ-1'!N8</f>
        <v>5.4504761904761905</v>
      </c>
      <c r="O167" s="818">
        <f>+'ТЭЦ-1'!O8</f>
        <v>5.4504761904761905</v>
      </c>
      <c r="P167" s="818">
        <f>+'ТЭЦ-1'!P8</f>
        <v>5.4504761904761905</v>
      </c>
    </row>
    <row r="168" spans="1:16" ht="12" customHeight="1" x14ac:dyDescent="0.2">
      <c r="A168" s="776" t="s">
        <v>98</v>
      </c>
      <c r="B168" s="766" t="s">
        <v>96</v>
      </c>
      <c r="C168" s="818">
        <f>+'ТЭЦ-1'!C15</f>
        <v>26.210578000000002</v>
      </c>
      <c r="D168" s="818">
        <f>+'ТЭЦ-1'!D15</f>
        <v>27.470399999999998</v>
      </c>
      <c r="E168" s="818">
        <f>+'ТЭЦ-1'!E15</f>
        <v>27.470399999999998</v>
      </c>
      <c r="F168" s="818">
        <f>+'ТЭЦ-1'!F15</f>
        <v>27.470399999999998</v>
      </c>
      <c r="G168" s="818">
        <f>+'ТЭЦ-1'!G15</f>
        <v>27.470399999999998</v>
      </c>
      <c r="H168" s="818">
        <f>+'ТЭЦ-1'!H15</f>
        <v>27.470399999999998</v>
      </c>
      <c r="I168" s="818">
        <f>+'ТЭЦ-1'!I15</f>
        <v>27.470399999999998</v>
      </c>
      <c r="J168" s="818">
        <f>+'ТЭЦ-1'!J15</f>
        <v>27.470399999999998</v>
      </c>
      <c r="K168" s="818">
        <f>+'ТЭЦ-1'!K15</f>
        <v>27.470399999999998</v>
      </c>
      <c r="L168" s="818">
        <f>+'ТЭЦ-1'!L15</f>
        <v>27.470399999999998</v>
      </c>
      <c r="M168" s="818">
        <f>+'ТЭЦ-1'!M15</f>
        <v>27.470399999999998</v>
      </c>
      <c r="N168" s="818">
        <f>+'ТЭЦ-1'!N15</f>
        <v>27.470399999999998</v>
      </c>
      <c r="O168" s="818">
        <f>+'ТЭЦ-1'!O15</f>
        <v>27.470399999999998</v>
      </c>
      <c r="P168" s="818">
        <f>+'ТЭЦ-1'!P15</f>
        <v>27.470399999999998</v>
      </c>
    </row>
    <row r="169" spans="1:16" ht="12" customHeight="1" x14ac:dyDescent="0.2">
      <c r="A169" s="776" t="s">
        <v>97</v>
      </c>
      <c r="B169" s="766" t="s">
        <v>96</v>
      </c>
      <c r="C169" s="818">
        <f>+'ТЭЦ-1'!C24</f>
        <v>13.636074000000002</v>
      </c>
      <c r="D169" s="818">
        <f>+'ТЭЦ-1'!D24</f>
        <v>14.096780000000001</v>
      </c>
      <c r="E169" s="818">
        <f>+'ТЭЦ-1'!E24</f>
        <v>14.096780000000001</v>
      </c>
      <c r="F169" s="818">
        <f>+'ТЭЦ-1'!F24</f>
        <v>14.096780000000001</v>
      </c>
      <c r="G169" s="818">
        <f>+'ТЭЦ-1'!G24</f>
        <v>14.096780000000001</v>
      </c>
      <c r="H169" s="818">
        <f>+'ТЭЦ-1'!H24</f>
        <v>14.096780000000001</v>
      </c>
      <c r="I169" s="818">
        <f>+'ТЭЦ-1'!I24</f>
        <v>16.023980000000002</v>
      </c>
      <c r="J169" s="818">
        <f>+'ТЭЦ-1'!J24</f>
        <v>16.023980000000002</v>
      </c>
      <c r="K169" s="818">
        <f>+'ТЭЦ-1'!K24</f>
        <v>16.023980000000002</v>
      </c>
      <c r="L169" s="818">
        <f>+'ТЭЦ-1'!L24</f>
        <v>16.023980000000002</v>
      </c>
      <c r="M169" s="818">
        <f>+'ТЭЦ-1'!M24</f>
        <v>16.023980000000002</v>
      </c>
      <c r="N169" s="818">
        <f>+'ТЭЦ-1'!N24</f>
        <v>16.023980000000002</v>
      </c>
      <c r="O169" s="818">
        <f>+'ТЭЦ-1'!O24</f>
        <v>16.023980000000002</v>
      </c>
      <c r="P169" s="818">
        <f>+'ТЭЦ-1'!P24</f>
        <v>16.023980000000002</v>
      </c>
    </row>
    <row r="170" spans="1:16" x14ac:dyDescent="0.2">
      <c r="A170" s="778"/>
      <c r="B170" s="766"/>
      <c r="C170" s="818"/>
      <c r="D170" s="818"/>
      <c r="E170" s="818"/>
      <c r="F170" s="818"/>
      <c r="G170" s="818"/>
      <c r="H170" s="818"/>
      <c r="I170" s="818"/>
      <c r="J170" s="818"/>
      <c r="K170" s="818"/>
      <c r="L170" s="818"/>
      <c r="M170" s="818"/>
      <c r="N170" s="818"/>
      <c r="O170" s="818"/>
      <c r="P170" s="818"/>
    </row>
    <row r="171" spans="1:16" x14ac:dyDescent="0.2">
      <c r="A171" s="767" t="s">
        <v>95</v>
      </c>
      <c r="B171" s="766" t="s">
        <v>96</v>
      </c>
      <c r="C171" s="775">
        <f>+C169</f>
        <v>13.636074000000002</v>
      </c>
      <c r="D171" s="775">
        <f t="shared" ref="D171:P171" si="34">+D169</f>
        <v>14.096780000000001</v>
      </c>
      <c r="E171" s="775">
        <f t="shared" si="34"/>
        <v>14.096780000000001</v>
      </c>
      <c r="F171" s="775">
        <f t="shared" si="34"/>
        <v>14.096780000000001</v>
      </c>
      <c r="G171" s="775">
        <f t="shared" si="34"/>
        <v>14.096780000000001</v>
      </c>
      <c r="H171" s="775">
        <f t="shared" si="34"/>
        <v>14.096780000000001</v>
      </c>
      <c r="I171" s="775">
        <f t="shared" si="34"/>
        <v>16.023980000000002</v>
      </c>
      <c r="J171" s="775">
        <f t="shared" si="34"/>
        <v>16.023980000000002</v>
      </c>
      <c r="K171" s="775">
        <f t="shared" si="34"/>
        <v>16.023980000000002</v>
      </c>
      <c r="L171" s="775">
        <f t="shared" si="34"/>
        <v>16.023980000000002</v>
      </c>
      <c r="M171" s="775">
        <f t="shared" si="34"/>
        <v>16.023980000000002</v>
      </c>
      <c r="N171" s="775">
        <f t="shared" si="34"/>
        <v>16.023980000000002</v>
      </c>
      <c r="O171" s="775">
        <f t="shared" si="34"/>
        <v>16.023980000000002</v>
      </c>
      <c r="P171" s="775">
        <f t="shared" si="34"/>
        <v>16.023980000000002</v>
      </c>
    </row>
    <row r="172" spans="1:16" s="750" customFormat="1" x14ac:dyDescent="0.2">
      <c r="A172" s="768" t="s">
        <v>18</v>
      </c>
      <c r="B172" s="787" t="s">
        <v>29</v>
      </c>
      <c r="C172" s="846">
        <f>+C167/C166</f>
        <v>0.47277377344877353</v>
      </c>
      <c r="D172" s="846">
        <f t="shared" ref="D172:P172" si="35">+D167/D166</f>
        <v>0.49549783549783549</v>
      </c>
      <c r="E172" s="846">
        <f t="shared" si="35"/>
        <v>0.49549783549783549</v>
      </c>
      <c r="F172" s="846">
        <f t="shared" si="35"/>
        <v>0.49549783549783549</v>
      </c>
      <c r="G172" s="846">
        <f t="shared" si="35"/>
        <v>0.49549783549783549</v>
      </c>
      <c r="H172" s="846">
        <f t="shared" si="35"/>
        <v>0.49549783549783549</v>
      </c>
      <c r="I172" s="846">
        <f t="shared" si="35"/>
        <v>0.49549783549783549</v>
      </c>
      <c r="J172" s="846">
        <f t="shared" si="35"/>
        <v>0.49549783549783549</v>
      </c>
      <c r="K172" s="846">
        <f t="shared" si="35"/>
        <v>0.49549783549783549</v>
      </c>
      <c r="L172" s="846">
        <f t="shared" si="35"/>
        <v>0.49549783549783549</v>
      </c>
      <c r="M172" s="846">
        <f t="shared" si="35"/>
        <v>0.49549783549783549</v>
      </c>
      <c r="N172" s="846">
        <f t="shared" si="35"/>
        <v>0.49549783549783549</v>
      </c>
      <c r="O172" s="846">
        <f t="shared" si="35"/>
        <v>0.49549783549783549</v>
      </c>
      <c r="P172" s="846">
        <f t="shared" si="35"/>
        <v>0.49549783549783549</v>
      </c>
    </row>
    <row r="173" spans="1:16" x14ac:dyDescent="0.2">
      <c r="A173" s="777"/>
      <c r="B173" s="766"/>
      <c r="C173" s="819"/>
      <c r="D173" s="819"/>
      <c r="E173" s="819"/>
      <c r="F173" s="819"/>
      <c r="G173" s="819"/>
      <c r="H173" s="819"/>
      <c r="I173" s="819"/>
      <c r="J173" s="819"/>
      <c r="K173" s="819"/>
      <c r="L173" s="819"/>
      <c r="M173" s="819"/>
      <c r="N173" s="819"/>
      <c r="O173" s="819"/>
      <c r="P173" s="819"/>
    </row>
    <row r="174" spans="1:16" ht="14.25" customHeight="1" x14ac:dyDescent="0.2">
      <c r="A174" s="763" t="s">
        <v>279</v>
      </c>
      <c r="B174" s="762"/>
      <c r="C174" s="819"/>
      <c r="D174" s="819"/>
      <c r="E174" s="819"/>
      <c r="F174" s="819"/>
      <c r="G174" s="819"/>
      <c r="H174" s="819"/>
      <c r="I174" s="819"/>
      <c r="J174" s="819"/>
      <c r="K174" s="819"/>
      <c r="L174" s="819"/>
      <c r="M174" s="819"/>
      <c r="N174" s="819"/>
      <c r="O174" s="819"/>
      <c r="P174" s="819"/>
    </row>
    <row r="175" spans="1:16" ht="12" customHeight="1" x14ac:dyDescent="0.2">
      <c r="A175" s="776" t="s">
        <v>110</v>
      </c>
      <c r="B175" s="766" t="s">
        <v>31</v>
      </c>
      <c r="C175" s="818">
        <f>+'ТЭЦ-3'!C5</f>
        <v>170</v>
      </c>
      <c r="D175" s="818">
        <f>+'ТЭЦ-3'!D5</f>
        <v>170</v>
      </c>
      <c r="E175" s="818">
        <f>+'ТЭЦ-3'!E5</f>
        <v>170</v>
      </c>
      <c r="F175" s="818">
        <f>+'ТЭЦ-3'!F5</f>
        <v>170</v>
      </c>
      <c r="G175" s="818">
        <f>+'ТЭЦ-3'!G5</f>
        <v>170</v>
      </c>
      <c r="H175" s="818">
        <f>+'ТЭЦ-3'!H5</f>
        <v>170</v>
      </c>
      <c r="I175" s="818">
        <f>+'ТЭЦ-3'!I5</f>
        <v>170</v>
      </c>
      <c r="J175" s="818">
        <f>+'ТЭЦ-3'!J5</f>
        <v>170</v>
      </c>
      <c r="K175" s="818">
        <f>+'ТЭЦ-3'!K5</f>
        <v>170</v>
      </c>
      <c r="L175" s="818">
        <f>+'ТЭЦ-3'!L5</f>
        <v>170</v>
      </c>
      <c r="M175" s="818">
        <f>+'ТЭЦ-3'!M5</f>
        <v>170</v>
      </c>
      <c r="N175" s="818">
        <f>+'ТЭЦ-3'!N5</f>
        <v>170</v>
      </c>
      <c r="O175" s="818">
        <f>+'ТЭЦ-3'!O5</f>
        <v>170</v>
      </c>
      <c r="P175" s="818">
        <f>+'ТЭЦ-3'!P5</f>
        <v>170</v>
      </c>
    </row>
    <row r="176" spans="1:16" ht="12" customHeight="1" x14ac:dyDescent="0.2">
      <c r="A176" s="776" t="s">
        <v>94</v>
      </c>
      <c r="B176" s="766" t="s">
        <v>31</v>
      </c>
      <c r="C176" s="818">
        <f>+'ТЭЦ-3'!C8</f>
        <v>134.19559015873014</v>
      </c>
      <c r="D176" s="818">
        <f>+'ТЭЦ-3'!D8</f>
        <v>154.84126984126985</v>
      </c>
      <c r="E176" s="818">
        <f>+'ТЭЦ-3'!E8</f>
        <v>154.84126984126985</v>
      </c>
      <c r="F176" s="818">
        <f>+'ТЭЦ-3'!F8</f>
        <v>154.84126984126985</v>
      </c>
      <c r="G176" s="818">
        <f>+'ТЭЦ-3'!G8</f>
        <v>154.84126984126985</v>
      </c>
      <c r="H176" s="818">
        <f>+'ТЭЦ-3'!H8</f>
        <v>154.84126984126985</v>
      </c>
      <c r="I176" s="818">
        <f>+'ТЭЦ-3'!I8</f>
        <v>154.84126984126985</v>
      </c>
      <c r="J176" s="818">
        <f>+'ТЭЦ-3'!J8</f>
        <v>154.84126984126985</v>
      </c>
      <c r="K176" s="818">
        <f>+'ТЭЦ-3'!K8</f>
        <v>154.84126984126985</v>
      </c>
      <c r="L176" s="818">
        <f>+'ТЭЦ-3'!L8</f>
        <v>154.84126984126985</v>
      </c>
      <c r="M176" s="818">
        <f>+'ТЭЦ-3'!M8</f>
        <v>154.84126984126985</v>
      </c>
      <c r="N176" s="818">
        <f>+'ТЭЦ-3'!N8</f>
        <v>154.84126984126985</v>
      </c>
      <c r="O176" s="818">
        <f>+'ТЭЦ-3'!O8</f>
        <v>154.84126984126985</v>
      </c>
      <c r="P176" s="818">
        <f>+'ТЭЦ-3'!P8</f>
        <v>154.84126984126985</v>
      </c>
    </row>
    <row r="177" spans="1:16" ht="12" customHeight="1" x14ac:dyDescent="0.2">
      <c r="A177" s="776" t="s">
        <v>98</v>
      </c>
      <c r="B177" s="766" t="s">
        <v>96</v>
      </c>
      <c r="C177" s="818">
        <f>+'ТЭЦ-3'!C15</f>
        <v>676.34577439999998</v>
      </c>
      <c r="D177" s="818">
        <f>+'ТЭЦ-3'!D15</f>
        <v>780.4</v>
      </c>
      <c r="E177" s="818">
        <f>+'ТЭЦ-3'!E15</f>
        <v>780.4</v>
      </c>
      <c r="F177" s="818">
        <f>+'ТЭЦ-3'!F15</f>
        <v>780.4</v>
      </c>
      <c r="G177" s="818">
        <f>+'ТЭЦ-3'!G15</f>
        <v>780.4</v>
      </c>
      <c r="H177" s="818">
        <f>+'ТЭЦ-3'!H15</f>
        <v>780.4</v>
      </c>
      <c r="I177" s="818">
        <f>+'ТЭЦ-3'!I15</f>
        <v>780.4</v>
      </c>
      <c r="J177" s="818">
        <f>+'ТЭЦ-3'!J15</f>
        <v>780.4</v>
      </c>
      <c r="K177" s="818">
        <f>+'ТЭЦ-3'!K15</f>
        <v>780.4</v>
      </c>
      <c r="L177" s="818">
        <f>+'ТЭЦ-3'!L15</f>
        <v>780.4</v>
      </c>
      <c r="M177" s="818">
        <f>+'ТЭЦ-3'!M15</f>
        <v>780.4</v>
      </c>
      <c r="N177" s="818">
        <f>+'ТЭЦ-3'!N15</f>
        <v>780.4</v>
      </c>
      <c r="O177" s="818">
        <f>+'ТЭЦ-3'!O15</f>
        <v>780.4</v>
      </c>
      <c r="P177" s="818">
        <f>+'ТЭЦ-3'!P15</f>
        <v>780.4</v>
      </c>
    </row>
    <row r="178" spans="1:16" ht="12" customHeight="1" x14ac:dyDescent="0.2">
      <c r="A178" s="776" t="s">
        <v>97</v>
      </c>
      <c r="B178" s="766" t="s">
        <v>96</v>
      </c>
      <c r="C178" s="818">
        <f>+'ТЭЦ-3'!C26</f>
        <v>558.88307569999995</v>
      </c>
      <c r="D178" s="818">
        <f>+'ТЭЦ-3'!D26</f>
        <v>656.5617823</v>
      </c>
      <c r="E178" s="818">
        <f>+'ТЭЦ-3'!E26</f>
        <v>656.5617823</v>
      </c>
      <c r="F178" s="818">
        <f>+'ТЭЦ-3'!F26</f>
        <v>658.50308364566922</v>
      </c>
      <c r="G178" s="818">
        <f>+'ТЭЦ-3'!G26</f>
        <v>659.73517920765846</v>
      </c>
      <c r="H178" s="818">
        <f>+'ТЭЦ-3'!H26</f>
        <v>665.05260874619853</v>
      </c>
      <c r="I178" s="818">
        <f>+'ТЭЦ-3'!I26</f>
        <v>665.82052621690264</v>
      </c>
      <c r="J178" s="818">
        <f>+'ТЭЦ-3'!J26</f>
        <v>667.22989239784056</v>
      </c>
      <c r="K178" s="818">
        <f>+'ТЭЦ-3'!K26</f>
        <v>667.86344347563329</v>
      </c>
      <c r="L178" s="818">
        <f>+'ТЭЦ-3'!L26</f>
        <v>667.86344347563329</v>
      </c>
      <c r="M178" s="818">
        <f>+'ТЭЦ-3'!M26</f>
        <v>667.86344347563329</v>
      </c>
      <c r="N178" s="818">
        <f>+'ТЭЦ-3'!N26</f>
        <v>667.86344347563329</v>
      </c>
      <c r="O178" s="818">
        <f>+'ТЭЦ-3'!O26</f>
        <v>667.86344347563329</v>
      </c>
      <c r="P178" s="818">
        <f>+'ТЭЦ-3'!P26</f>
        <v>667.86344347563329</v>
      </c>
    </row>
    <row r="179" spans="1:16" x14ac:dyDescent="0.2">
      <c r="A179" s="778"/>
      <c r="B179" s="766"/>
      <c r="C179" s="818"/>
      <c r="D179" s="818"/>
      <c r="E179" s="818"/>
      <c r="F179" s="818"/>
      <c r="G179" s="818"/>
      <c r="H179" s="818"/>
      <c r="I179" s="818"/>
      <c r="J179" s="818"/>
      <c r="K179" s="818"/>
      <c r="L179" s="818"/>
      <c r="M179" s="818"/>
      <c r="N179" s="818"/>
      <c r="O179" s="818"/>
      <c r="P179" s="818"/>
    </row>
    <row r="180" spans="1:16" x14ac:dyDescent="0.2">
      <c r="A180" s="767" t="s">
        <v>95</v>
      </c>
      <c r="B180" s="766" t="s">
        <v>96</v>
      </c>
      <c r="C180" s="775">
        <f>+C178</f>
        <v>558.88307569999995</v>
      </c>
      <c r="D180" s="775">
        <f t="shared" ref="D180:P180" si="36">+D178</f>
        <v>656.5617823</v>
      </c>
      <c r="E180" s="775">
        <f t="shared" si="36"/>
        <v>656.5617823</v>
      </c>
      <c r="F180" s="775">
        <f t="shared" si="36"/>
        <v>658.50308364566922</v>
      </c>
      <c r="G180" s="775">
        <f t="shared" si="36"/>
        <v>659.73517920765846</v>
      </c>
      <c r="H180" s="775">
        <f t="shared" si="36"/>
        <v>665.05260874619853</v>
      </c>
      <c r="I180" s="775">
        <f t="shared" si="36"/>
        <v>665.82052621690264</v>
      </c>
      <c r="J180" s="775">
        <f t="shared" si="36"/>
        <v>667.22989239784056</v>
      </c>
      <c r="K180" s="775">
        <f t="shared" si="36"/>
        <v>667.86344347563329</v>
      </c>
      <c r="L180" s="775">
        <f t="shared" si="36"/>
        <v>667.86344347563329</v>
      </c>
      <c r="M180" s="775">
        <f t="shared" si="36"/>
        <v>667.86344347563329</v>
      </c>
      <c r="N180" s="775">
        <f t="shared" si="36"/>
        <v>667.86344347563329</v>
      </c>
      <c r="O180" s="775">
        <f t="shared" si="36"/>
        <v>667.86344347563329</v>
      </c>
      <c r="P180" s="775">
        <f t="shared" si="36"/>
        <v>667.86344347563329</v>
      </c>
    </row>
    <row r="181" spans="1:16" s="750" customFormat="1" x14ac:dyDescent="0.2">
      <c r="A181" s="768" t="s">
        <v>18</v>
      </c>
      <c r="B181" s="787" t="s">
        <v>29</v>
      </c>
      <c r="C181" s="846">
        <f>+C176/C175</f>
        <v>0.78938582446311845</v>
      </c>
      <c r="D181" s="846">
        <f t="shared" ref="D181:P181" si="37">+D176/D175</f>
        <v>0.91083099906629328</v>
      </c>
      <c r="E181" s="846">
        <f t="shared" si="37"/>
        <v>0.91083099906629328</v>
      </c>
      <c r="F181" s="846">
        <f t="shared" si="37"/>
        <v>0.91083099906629328</v>
      </c>
      <c r="G181" s="846">
        <f t="shared" si="37"/>
        <v>0.91083099906629328</v>
      </c>
      <c r="H181" s="846">
        <f t="shared" si="37"/>
        <v>0.91083099906629328</v>
      </c>
      <c r="I181" s="846">
        <f t="shared" si="37"/>
        <v>0.91083099906629328</v>
      </c>
      <c r="J181" s="846">
        <f t="shared" si="37"/>
        <v>0.91083099906629328</v>
      </c>
      <c r="K181" s="846">
        <f t="shared" si="37"/>
        <v>0.91083099906629328</v>
      </c>
      <c r="L181" s="846">
        <f t="shared" si="37"/>
        <v>0.91083099906629328</v>
      </c>
      <c r="M181" s="846">
        <f t="shared" si="37"/>
        <v>0.91083099906629328</v>
      </c>
      <c r="N181" s="846">
        <f t="shared" si="37"/>
        <v>0.91083099906629328</v>
      </c>
      <c r="O181" s="846">
        <f t="shared" si="37"/>
        <v>0.91083099906629328</v>
      </c>
      <c r="P181" s="846">
        <f t="shared" si="37"/>
        <v>0.91083099906629328</v>
      </c>
    </row>
    <row r="182" spans="1:16" x14ac:dyDescent="0.2">
      <c r="A182" s="777"/>
      <c r="B182" s="766"/>
      <c r="C182" s="819"/>
      <c r="D182" s="819"/>
      <c r="E182" s="819"/>
      <c r="F182" s="819"/>
      <c r="G182" s="819"/>
      <c r="H182" s="819"/>
      <c r="I182" s="819"/>
      <c r="J182" s="819"/>
      <c r="K182" s="819"/>
      <c r="L182" s="819"/>
      <c r="M182" s="819"/>
      <c r="N182" s="819"/>
      <c r="O182" s="819"/>
      <c r="P182" s="819"/>
    </row>
    <row r="183" spans="1:16" ht="14.25" customHeight="1" x14ac:dyDescent="0.2">
      <c r="A183" s="763" t="s">
        <v>280</v>
      </c>
      <c r="B183" s="762"/>
      <c r="C183" s="819"/>
      <c r="D183" s="819"/>
      <c r="E183" s="819"/>
      <c r="F183" s="819"/>
      <c r="G183" s="819"/>
      <c r="H183" s="819"/>
      <c r="I183" s="819"/>
      <c r="J183" s="819"/>
      <c r="K183" s="819"/>
      <c r="L183" s="819"/>
      <c r="M183" s="819"/>
      <c r="N183" s="819"/>
      <c r="O183" s="819"/>
      <c r="P183" s="819"/>
    </row>
    <row r="184" spans="1:16" ht="12.75" customHeight="1" x14ac:dyDescent="0.2">
      <c r="A184" s="776" t="s">
        <v>110</v>
      </c>
      <c r="B184" s="766" t="s">
        <v>31</v>
      </c>
      <c r="C184" s="818">
        <f>+'ТЭЦ-4'!C5</f>
        <v>88</v>
      </c>
      <c r="D184" s="818">
        <f>+'ТЭЦ-4'!D5</f>
        <v>88</v>
      </c>
      <c r="E184" s="818">
        <f>+'ТЭЦ-4'!E5</f>
        <v>88</v>
      </c>
      <c r="F184" s="818">
        <f>+'ТЭЦ-4'!F5</f>
        <v>88</v>
      </c>
      <c r="G184" s="818">
        <f>+'ТЭЦ-4'!G5</f>
        <v>88</v>
      </c>
      <c r="H184" s="818">
        <f>+'ТЭЦ-4'!H5</f>
        <v>88</v>
      </c>
      <c r="I184" s="818">
        <f>+'ТЭЦ-4'!I5</f>
        <v>88</v>
      </c>
      <c r="J184" s="818">
        <f>+'ТЭЦ-4'!J5</f>
        <v>88</v>
      </c>
      <c r="K184" s="818">
        <f>+'ТЭЦ-4'!K5</f>
        <v>88</v>
      </c>
      <c r="L184" s="818">
        <f>+'ТЭЦ-4'!L5</f>
        <v>88</v>
      </c>
      <c r="M184" s="818">
        <f>+'ТЭЦ-4'!M5</f>
        <v>88</v>
      </c>
      <c r="N184" s="818">
        <f>+'ТЭЦ-4'!N5</f>
        <v>88</v>
      </c>
      <c r="O184" s="818">
        <f>+'ТЭЦ-4'!O5</f>
        <v>88</v>
      </c>
      <c r="P184" s="818">
        <f>+'ТЭЦ-4'!P5</f>
        <v>88</v>
      </c>
    </row>
    <row r="185" spans="1:16" ht="12.75" customHeight="1" x14ac:dyDescent="0.2">
      <c r="A185" s="776" t="s">
        <v>94</v>
      </c>
      <c r="B185" s="766" t="s">
        <v>31</v>
      </c>
      <c r="C185" s="818">
        <f>+'ТЭЦ-4'!C8</f>
        <v>70.251382539682538</v>
      </c>
      <c r="D185" s="818">
        <f>+'ТЭЦ-4'!D8</f>
        <v>72.757405224867725</v>
      </c>
      <c r="E185" s="818">
        <f>+'ТЭЦ-4'!E8</f>
        <v>72.757405224867725</v>
      </c>
      <c r="F185" s="818">
        <f>+'ТЭЦ-4'!F8</f>
        <v>72.757405224867725</v>
      </c>
      <c r="G185" s="818">
        <f>+'ТЭЦ-4'!G8</f>
        <v>72.757405224867725</v>
      </c>
      <c r="H185" s="818">
        <f>+'ТЭЦ-4'!H8</f>
        <v>72.757405224867725</v>
      </c>
      <c r="I185" s="818">
        <f>+'ТЭЦ-4'!I8</f>
        <v>72.757405224867725</v>
      </c>
      <c r="J185" s="818">
        <f>+'ТЭЦ-4'!J8</f>
        <v>72.757405224867725</v>
      </c>
      <c r="K185" s="818">
        <f>+'ТЭЦ-4'!K8</f>
        <v>72.757405224867725</v>
      </c>
      <c r="L185" s="818">
        <f>+'ТЭЦ-4'!L8</f>
        <v>72.757405224867725</v>
      </c>
      <c r="M185" s="818">
        <f>+'ТЭЦ-4'!M8</f>
        <v>72.757405224867725</v>
      </c>
      <c r="N185" s="818">
        <f>+'ТЭЦ-4'!N8</f>
        <v>72.757405224867725</v>
      </c>
      <c r="O185" s="818">
        <f>+'ТЭЦ-4'!O8</f>
        <v>72.757405224867725</v>
      </c>
      <c r="P185" s="818">
        <f>+'ТЭЦ-4'!P8</f>
        <v>72.757405224867725</v>
      </c>
    </row>
    <row r="186" spans="1:16" ht="12.75" customHeight="1" x14ac:dyDescent="0.2">
      <c r="A186" s="776" t="s">
        <v>98</v>
      </c>
      <c r="B186" s="766" t="s">
        <v>96</v>
      </c>
      <c r="C186" s="818">
        <f>+'ТЭЦ-4'!C15</f>
        <v>354.06696799999997</v>
      </c>
      <c r="D186" s="818">
        <f>+'ТЭЦ-4'!D15</f>
        <v>366.69732233333332</v>
      </c>
      <c r="E186" s="818">
        <f>+'ТЭЦ-4'!E15</f>
        <v>366.69732233333332</v>
      </c>
      <c r="F186" s="818">
        <f>+'ТЭЦ-4'!F15</f>
        <v>366.69732233333332</v>
      </c>
      <c r="G186" s="818">
        <f>+'ТЭЦ-4'!G15</f>
        <v>366.69732233333332</v>
      </c>
      <c r="H186" s="818">
        <f>+'ТЭЦ-4'!H15</f>
        <v>366.69732233333332</v>
      </c>
      <c r="I186" s="818">
        <f>+'ТЭЦ-4'!I15</f>
        <v>366.69732233333332</v>
      </c>
      <c r="J186" s="818">
        <f>+'ТЭЦ-4'!J15</f>
        <v>366.69732233333332</v>
      </c>
      <c r="K186" s="818">
        <f>+'ТЭЦ-4'!K15</f>
        <v>366.69732233333332</v>
      </c>
      <c r="L186" s="818">
        <f>+'ТЭЦ-4'!L15</f>
        <v>366.69732233333332</v>
      </c>
      <c r="M186" s="818">
        <f>+'ТЭЦ-4'!M15</f>
        <v>366.69732233333332</v>
      </c>
      <c r="N186" s="818">
        <f>+'ТЭЦ-4'!N15</f>
        <v>366.69732233333332</v>
      </c>
      <c r="O186" s="818">
        <f>+'ТЭЦ-4'!O15</f>
        <v>366.69732233333332</v>
      </c>
      <c r="P186" s="818">
        <f>+'ТЭЦ-4'!P15</f>
        <v>366.69732233333332</v>
      </c>
    </row>
    <row r="187" spans="1:16" ht="12.75" customHeight="1" x14ac:dyDescent="0.2">
      <c r="A187" s="776" t="s">
        <v>97</v>
      </c>
      <c r="B187" s="766" t="s">
        <v>96</v>
      </c>
      <c r="C187" s="818">
        <f>+'ТЭЦ-4'!C27</f>
        <v>274.08813799999996</v>
      </c>
      <c r="D187" s="818">
        <f>+'ТЭЦ-4'!D27</f>
        <v>286.9531713666666</v>
      </c>
      <c r="E187" s="818">
        <f>+'ТЭЦ-4'!E27</f>
        <v>286.9531713666666</v>
      </c>
      <c r="F187" s="818">
        <f>+'ТЭЦ-4'!F27</f>
        <v>286.9531713666666</v>
      </c>
      <c r="G187" s="818">
        <f>+'ТЭЦ-4'!G27</f>
        <v>287.33958024666663</v>
      </c>
      <c r="H187" s="818">
        <f>+'ТЭЦ-4'!H27</f>
        <v>287.33958024666663</v>
      </c>
      <c r="I187" s="818">
        <f>+'ТЭЦ-4'!I27</f>
        <v>295.82958024666664</v>
      </c>
      <c r="J187" s="818">
        <f>+'ТЭЦ-4'!J27</f>
        <v>295.9430002466666</v>
      </c>
      <c r="K187" s="818">
        <f>+'ТЭЦ-4'!K27</f>
        <v>295.9430002466666</v>
      </c>
      <c r="L187" s="818">
        <f>+'ТЭЦ-4'!L27</f>
        <v>295.9430002466666</v>
      </c>
      <c r="M187" s="818">
        <f>+'ТЭЦ-4'!M27</f>
        <v>295.9430002466666</v>
      </c>
      <c r="N187" s="818">
        <f>+'ТЭЦ-4'!N27</f>
        <v>295.9430002466666</v>
      </c>
      <c r="O187" s="818">
        <f>+'ТЭЦ-4'!O27</f>
        <v>295.9430002466666</v>
      </c>
      <c r="P187" s="818">
        <f>+'ТЭЦ-4'!P27</f>
        <v>295.9430002466666</v>
      </c>
    </row>
    <row r="188" spans="1:16" x14ac:dyDescent="0.2">
      <c r="A188" s="778"/>
      <c r="B188" s="766"/>
      <c r="C188" s="818"/>
      <c r="D188" s="818"/>
      <c r="E188" s="818"/>
      <c r="F188" s="818"/>
      <c r="G188" s="818"/>
      <c r="H188" s="818"/>
      <c r="I188" s="818"/>
      <c r="J188" s="818"/>
      <c r="K188" s="818"/>
      <c r="L188" s="818"/>
      <c r="M188" s="818"/>
      <c r="N188" s="818"/>
      <c r="O188" s="818"/>
      <c r="P188" s="818"/>
    </row>
    <row r="189" spans="1:16" x14ac:dyDescent="0.2">
      <c r="A189" s="767" t="s">
        <v>95</v>
      </c>
      <c r="B189" s="766" t="s">
        <v>96</v>
      </c>
      <c r="C189" s="775">
        <f>+C187</f>
        <v>274.08813799999996</v>
      </c>
      <c r="D189" s="775">
        <f t="shared" ref="D189:P189" si="38">+D187</f>
        <v>286.9531713666666</v>
      </c>
      <c r="E189" s="775">
        <f t="shared" si="38"/>
        <v>286.9531713666666</v>
      </c>
      <c r="F189" s="775">
        <f t="shared" si="38"/>
        <v>286.9531713666666</v>
      </c>
      <c r="G189" s="775">
        <f t="shared" si="38"/>
        <v>287.33958024666663</v>
      </c>
      <c r="H189" s="775">
        <f t="shared" si="38"/>
        <v>287.33958024666663</v>
      </c>
      <c r="I189" s="775">
        <f t="shared" si="38"/>
        <v>295.82958024666664</v>
      </c>
      <c r="J189" s="775">
        <f t="shared" si="38"/>
        <v>295.9430002466666</v>
      </c>
      <c r="K189" s="775">
        <f t="shared" si="38"/>
        <v>295.9430002466666</v>
      </c>
      <c r="L189" s="775">
        <f t="shared" si="38"/>
        <v>295.9430002466666</v>
      </c>
      <c r="M189" s="775">
        <f t="shared" si="38"/>
        <v>295.9430002466666</v>
      </c>
      <c r="N189" s="775">
        <f t="shared" si="38"/>
        <v>295.9430002466666</v>
      </c>
      <c r="O189" s="775">
        <f t="shared" si="38"/>
        <v>295.9430002466666</v>
      </c>
      <c r="P189" s="775">
        <f t="shared" si="38"/>
        <v>295.9430002466666</v>
      </c>
    </row>
    <row r="190" spans="1:16" s="750" customFormat="1" x14ac:dyDescent="0.2">
      <c r="A190" s="768" t="s">
        <v>18</v>
      </c>
      <c r="B190" s="787" t="s">
        <v>29</v>
      </c>
      <c r="C190" s="846">
        <f>+C185/C184</f>
        <v>0.79831116522366519</v>
      </c>
      <c r="D190" s="846">
        <f t="shared" ref="D190:P190" si="39">+D185/D184</f>
        <v>0.82678869573713321</v>
      </c>
      <c r="E190" s="846">
        <f t="shared" si="39"/>
        <v>0.82678869573713321</v>
      </c>
      <c r="F190" s="846">
        <f t="shared" si="39"/>
        <v>0.82678869573713321</v>
      </c>
      <c r="G190" s="846">
        <f t="shared" si="39"/>
        <v>0.82678869573713321</v>
      </c>
      <c r="H190" s="846">
        <f t="shared" si="39"/>
        <v>0.82678869573713321</v>
      </c>
      <c r="I190" s="846">
        <f t="shared" si="39"/>
        <v>0.82678869573713321</v>
      </c>
      <c r="J190" s="846">
        <f t="shared" si="39"/>
        <v>0.82678869573713321</v>
      </c>
      <c r="K190" s="846">
        <f t="shared" si="39"/>
        <v>0.82678869573713321</v>
      </c>
      <c r="L190" s="846">
        <f t="shared" si="39"/>
        <v>0.82678869573713321</v>
      </c>
      <c r="M190" s="846">
        <f t="shared" si="39"/>
        <v>0.82678869573713321</v>
      </c>
      <c r="N190" s="846">
        <f t="shared" si="39"/>
        <v>0.82678869573713321</v>
      </c>
      <c r="O190" s="846">
        <f t="shared" si="39"/>
        <v>0.82678869573713321</v>
      </c>
      <c r="P190" s="846">
        <f t="shared" si="39"/>
        <v>0.82678869573713321</v>
      </c>
    </row>
    <row r="191" spans="1:16" x14ac:dyDescent="0.2">
      <c r="A191" s="777"/>
      <c r="B191" s="766"/>
      <c r="C191" s="819"/>
      <c r="D191" s="819"/>
      <c r="E191" s="819"/>
      <c r="F191" s="819"/>
      <c r="G191" s="819"/>
      <c r="H191" s="819"/>
      <c r="I191" s="819"/>
      <c r="J191" s="819"/>
      <c r="K191" s="819"/>
      <c r="L191" s="819"/>
      <c r="M191" s="819"/>
      <c r="N191" s="819"/>
      <c r="O191" s="819"/>
      <c r="P191" s="819"/>
    </row>
    <row r="192" spans="1:16" x14ac:dyDescent="0.2">
      <c r="A192" s="763" t="s">
        <v>281</v>
      </c>
      <c r="B192" s="762"/>
      <c r="C192" s="819"/>
      <c r="D192" s="819"/>
      <c r="E192" s="819"/>
      <c r="F192" s="819"/>
      <c r="G192" s="819"/>
      <c r="H192" s="819"/>
      <c r="I192" s="819"/>
      <c r="J192" s="819"/>
      <c r="K192" s="819"/>
      <c r="L192" s="819"/>
      <c r="M192" s="819"/>
      <c r="N192" s="819"/>
      <c r="O192" s="819"/>
      <c r="P192" s="819"/>
    </row>
    <row r="193" spans="1:16" x14ac:dyDescent="0.2">
      <c r="A193" s="776" t="s">
        <v>110</v>
      </c>
      <c r="B193" s="766" t="s">
        <v>31</v>
      </c>
      <c r="C193" s="818">
        <f>SUM(C184,C175,C166)</f>
        <v>269</v>
      </c>
      <c r="D193" s="818">
        <f t="shared" ref="D193:J193" si="40">SUM(D184,D175,D166)</f>
        <v>269</v>
      </c>
      <c r="E193" s="818">
        <f t="shared" si="40"/>
        <v>269</v>
      </c>
      <c r="F193" s="818">
        <f t="shared" si="40"/>
        <v>269</v>
      </c>
      <c r="G193" s="818">
        <f t="shared" si="40"/>
        <v>269</v>
      </c>
      <c r="H193" s="818">
        <f t="shared" si="40"/>
        <v>269</v>
      </c>
      <c r="I193" s="818">
        <f t="shared" si="40"/>
        <v>269</v>
      </c>
      <c r="J193" s="818">
        <f t="shared" si="40"/>
        <v>269</v>
      </c>
      <c r="K193" s="818">
        <f>SUM(K184,K175,K166)</f>
        <v>269</v>
      </c>
      <c r="L193" s="818">
        <f t="shared" ref="L193:P193" si="41">SUM(L184,L175,L166)</f>
        <v>269</v>
      </c>
      <c r="M193" s="818">
        <f t="shared" si="41"/>
        <v>269</v>
      </c>
      <c r="N193" s="818">
        <f t="shared" si="41"/>
        <v>269</v>
      </c>
      <c r="O193" s="818">
        <f t="shared" si="41"/>
        <v>269</v>
      </c>
      <c r="P193" s="818">
        <f t="shared" si="41"/>
        <v>269</v>
      </c>
    </row>
    <row r="194" spans="1:16" x14ac:dyDescent="0.2">
      <c r="A194" s="776" t="s">
        <v>94</v>
      </c>
      <c r="B194" s="766" t="s">
        <v>31</v>
      </c>
      <c r="C194" s="818">
        <f t="shared" ref="C194:J196" si="42">SUM(C185,C176,C167)</f>
        <v>209.64748420634919</v>
      </c>
      <c r="D194" s="818">
        <f t="shared" si="42"/>
        <v>233.04915125661375</v>
      </c>
      <c r="E194" s="818">
        <f t="shared" si="42"/>
        <v>233.04915125661375</v>
      </c>
      <c r="F194" s="818">
        <f t="shared" si="42"/>
        <v>233.04915125661375</v>
      </c>
      <c r="G194" s="818">
        <f t="shared" si="42"/>
        <v>233.04915125661375</v>
      </c>
      <c r="H194" s="818">
        <f t="shared" si="42"/>
        <v>233.04915125661375</v>
      </c>
      <c r="I194" s="818">
        <f t="shared" si="42"/>
        <v>233.04915125661375</v>
      </c>
      <c r="J194" s="818">
        <f t="shared" si="42"/>
        <v>233.04915125661375</v>
      </c>
      <c r="K194" s="818">
        <f t="shared" ref="K194:P194" si="43">SUM(K185,K176,K167)</f>
        <v>233.04915125661375</v>
      </c>
      <c r="L194" s="818">
        <f t="shared" si="43"/>
        <v>233.04915125661375</v>
      </c>
      <c r="M194" s="818">
        <f t="shared" si="43"/>
        <v>233.04915125661375</v>
      </c>
      <c r="N194" s="818">
        <f t="shared" si="43"/>
        <v>233.04915125661375</v>
      </c>
      <c r="O194" s="818">
        <f t="shared" si="43"/>
        <v>233.04915125661375</v>
      </c>
      <c r="P194" s="818">
        <f t="shared" si="43"/>
        <v>233.04915125661375</v>
      </c>
    </row>
    <row r="195" spans="1:16" x14ac:dyDescent="0.2">
      <c r="A195" s="776" t="s">
        <v>98</v>
      </c>
      <c r="B195" s="766" t="s">
        <v>96</v>
      </c>
      <c r="C195" s="818">
        <f t="shared" si="42"/>
        <v>1056.6233203999998</v>
      </c>
      <c r="D195" s="818">
        <f t="shared" si="42"/>
        <v>1174.5677223333332</v>
      </c>
      <c r="E195" s="818">
        <f t="shared" si="42"/>
        <v>1174.5677223333332</v>
      </c>
      <c r="F195" s="818">
        <f t="shared" si="42"/>
        <v>1174.5677223333332</v>
      </c>
      <c r="G195" s="818">
        <f t="shared" si="42"/>
        <v>1174.5677223333332</v>
      </c>
      <c r="H195" s="818">
        <f t="shared" si="42"/>
        <v>1174.5677223333332</v>
      </c>
      <c r="I195" s="818">
        <f t="shared" si="42"/>
        <v>1174.5677223333332</v>
      </c>
      <c r="J195" s="818">
        <f t="shared" si="42"/>
        <v>1174.5677223333332</v>
      </c>
      <c r="K195" s="818">
        <f t="shared" ref="K195:P195" si="44">SUM(K186,K177,K168)</f>
        <v>1174.5677223333332</v>
      </c>
      <c r="L195" s="818">
        <f t="shared" si="44"/>
        <v>1174.5677223333332</v>
      </c>
      <c r="M195" s="818">
        <f t="shared" si="44"/>
        <v>1174.5677223333332</v>
      </c>
      <c r="N195" s="818">
        <f t="shared" si="44"/>
        <v>1174.5677223333332</v>
      </c>
      <c r="O195" s="818">
        <f t="shared" si="44"/>
        <v>1174.5677223333332</v>
      </c>
      <c r="P195" s="818">
        <f t="shared" si="44"/>
        <v>1174.5677223333332</v>
      </c>
    </row>
    <row r="196" spans="1:16" x14ac:dyDescent="0.2">
      <c r="A196" s="776" t="s">
        <v>97</v>
      </c>
      <c r="B196" s="766" t="s">
        <v>96</v>
      </c>
      <c r="C196" s="818">
        <f t="shared" si="42"/>
        <v>846.60728769999992</v>
      </c>
      <c r="D196" s="818">
        <f t="shared" si="42"/>
        <v>957.61173366666651</v>
      </c>
      <c r="E196" s="818">
        <f t="shared" si="42"/>
        <v>957.61173366666651</v>
      </c>
      <c r="F196" s="818">
        <f t="shared" si="42"/>
        <v>959.55303501233573</v>
      </c>
      <c r="G196" s="818">
        <f t="shared" si="42"/>
        <v>961.17153945432506</v>
      </c>
      <c r="H196" s="818">
        <f t="shared" si="42"/>
        <v>966.48896899286513</v>
      </c>
      <c r="I196" s="818">
        <f t="shared" si="42"/>
        <v>977.67408646356932</v>
      </c>
      <c r="J196" s="818">
        <f t="shared" si="42"/>
        <v>979.19687264450715</v>
      </c>
      <c r="K196" s="818">
        <f t="shared" ref="K196:P196" si="45">SUM(K187,K178,K169)</f>
        <v>979.8304237223</v>
      </c>
      <c r="L196" s="818">
        <f t="shared" si="45"/>
        <v>979.8304237223</v>
      </c>
      <c r="M196" s="818">
        <f t="shared" si="45"/>
        <v>979.8304237223</v>
      </c>
      <c r="N196" s="818">
        <f t="shared" si="45"/>
        <v>979.8304237223</v>
      </c>
      <c r="O196" s="818">
        <f t="shared" si="45"/>
        <v>979.8304237223</v>
      </c>
      <c r="P196" s="818">
        <f t="shared" si="45"/>
        <v>979.8304237223</v>
      </c>
    </row>
    <row r="197" spans="1:16" x14ac:dyDescent="0.2">
      <c r="A197" s="778"/>
      <c r="B197" s="766"/>
      <c r="C197" s="818"/>
      <c r="D197" s="818"/>
      <c r="E197" s="818"/>
      <c r="F197" s="818"/>
      <c r="G197" s="818"/>
      <c r="H197" s="818"/>
      <c r="I197" s="818"/>
      <c r="J197" s="818"/>
      <c r="K197" s="818"/>
      <c r="L197" s="818"/>
      <c r="M197" s="818"/>
      <c r="N197" s="818"/>
      <c r="O197" s="818"/>
      <c r="P197" s="818"/>
    </row>
    <row r="198" spans="1:16" s="744" customFormat="1" x14ac:dyDescent="0.2">
      <c r="A198" s="767" t="s">
        <v>95</v>
      </c>
      <c r="B198" s="766" t="s">
        <v>96</v>
      </c>
      <c r="C198" s="775">
        <f>+C196</f>
        <v>846.60728769999992</v>
      </c>
      <c r="D198" s="775">
        <f t="shared" ref="D198:P198" si="46">+D196</f>
        <v>957.61173366666651</v>
      </c>
      <c r="E198" s="775">
        <f t="shared" si="46"/>
        <v>957.61173366666651</v>
      </c>
      <c r="F198" s="775">
        <f t="shared" si="46"/>
        <v>959.55303501233573</v>
      </c>
      <c r="G198" s="775">
        <f t="shared" si="46"/>
        <v>961.17153945432506</v>
      </c>
      <c r="H198" s="775">
        <f t="shared" si="46"/>
        <v>966.48896899286513</v>
      </c>
      <c r="I198" s="775">
        <f t="shared" si="46"/>
        <v>977.67408646356932</v>
      </c>
      <c r="J198" s="775">
        <f t="shared" si="46"/>
        <v>979.19687264450715</v>
      </c>
      <c r="K198" s="775">
        <f t="shared" si="46"/>
        <v>979.8304237223</v>
      </c>
      <c r="L198" s="775">
        <f t="shared" si="46"/>
        <v>979.8304237223</v>
      </c>
      <c r="M198" s="775">
        <f t="shared" si="46"/>
        <v>979.8304237223</v>
      </c>
      <c r="N198" s="775">
        <f t="shared" si="46"/>
        <v>979.8304237223</v>
      </c>
      <c r="O198" s="775">
        <f t="shared" si="46"/>
        <v>979.8304237223</v>
      </c>
      <c r="P198" s="775">
        <f t="shared" si="46"/>
        <v>979.8304237223</v>
      </c>
    </row>
    <row r="199" spans="1:16" s="750" customFormat="1" x14ac:dyDescent="0.2">
      <c r="A199" s="768" t="s">
        <v>18</v>
      </c>
      <c r="B199" s="787" t="s">
        <v>29</v>
      </c>
      <c r="C199" s="846">
        <f>+C194/C193</f>
        <v>0.77935867734702302</v>
      </c>
      <c r="D199" s="846">
        <f t="shared" ref="D199:P199" si="47">+D194/D193</f>
        <v>0.86635372214354556</v>
      </c>
      <c r="E199" s="846">
        <f t="shared" si="47"/>
        <v>0.86635372214354556</v>
      </c>
      <c r="F199" s="846">
        <f t="shared" si="47"/>
        <v>0.86635372214354556</v>
      </c>
      <c r="G199" s="846">
        <f t="shared" si="47"/>
        <v>0.86635372214354556</v>
      </c>
      <c r="H199" s="846">
        <f t="shared" si="47"/>
        <v>0.86635372214354556</v>
      </c>
      <c r="I199" s="846">
        <f t="shared" si="47"/>
        <v>0.86635372214354556</v>
      </c>
      <c r="J199" s="846">
        <f t="shared" si="47"/>
        <v>0.86635372214354556</v>
      </c>
      <c r="K199" s="846">
        <f t="shared" si="47"/>
        <v>0.86635372214354556</v>
      </c>
      <c r="L199" s="846">
        <f t="shared" si="47"/>
        <v>0.86635372214354556</v>
      </c>
      <c r="M199" s="846">
        <f t="shared" si="47"/>
        <v>0.86635372214354556</v>
      </c>
      <c r="N199" s="846">
        <f t="shared" si="47"/>
        <v>0.86635372214354556</v>
      </c>
      <c r="O199" s="846">
        <f t="shared" si="47"/>
        <v>0.86635372214354556</v>
      </c>
      <c r="P199" s="846">
        <f t="shared" si="47"/>
        <v>0.86635372214354556</v>
      </c>
    </row>
    <row r="200" spans="1:16" x14ac:dyDescent="0.2">
      <c r="A200" s="777"/>
      <c r="B200" s="766"/>
      <c r="C200" s="819"/>
      <c r="D200" s="819"/>
      <c r="E200" s="819"/>
      <c r="F200" s="819"/>
      <c r="G200" s="819"/>
      <c r="H200" s="819"/>
      <c r="I200" s="819"/>
      <c r="J200" s="819"/>
      <c r="K200" s="819"/>
      <c r="L200" s="819"/>
      <c r="M200" s="819"/>
      <c r="N200" s="819"/>
      <c r="O200" s="819"/>
      <c r="P200" s="819"/>
    </row>
    <row r="201" spans="1:16" x14ac:dyDescent="0.2">
      <c r="A201" s="779" t="s">
        <v>298</v>
      </c>
      <c r="B201" s="766" t="s">
        <v>16</v>
      </c>
      <c r="C201" s="820">
        <f>+Сети!C33</f>
        <v>2381.4802267304021</v>
      </c>
      <c r="D201" s="820">
        <f>+Сети!D33</f>
        <v>2545.2078692593705</v>
      </c>
      <c r="E201" s="820">
        <f>+Сети!E33</f>
        <v>2588.7117466217551</v>
      </c>
      <c r="F201" s="820">
        <f>+Сети!F33</f>
        <v>2640.5440629343066</v>
      </c>
      <c r="G201" s="820">
        <f>+Сети!G33</f>
        <v>2731.4453360950329</v>
      </c>
      <c r="H201" s="820">
        <f>+Сети!H33</f>
        <v>2805.1840613049576</v>
      </c>
      <c r="I201" s="820">
        <f>+Сети!I33</f>
        <v>2878.9368466784404</v>
      </c>
      <c r="J201" s="820">
        <f>+Сети!J33</f>
        <v>2952.6588556865095</v>
      </c>
      <c r="K201" s="820">
        <f>+Сети!K33</f>
        <v>3026.0527965720316</v>
      </c>
      <c r="L201" s="820">
        <f>+Сети!L33</f>
        <v>3100.6029121616789</v>
      </c>
      <c r="M201" s="820">
        <f>+Сети!M33</f>
        <v>3133.4566253022563</v>
      </c>
      <c r="N201" s="820">
        <f>+Сети!N33</f>
        <v>3166.2848561907263</v>
      </c>
      <c r="O201" s="820">
        <f>+Сети!O33</f>
        <v>3199.0883226784431</v>
      </c>
      <c r="P201" s="820">
        <f>+Сети!P33</f>
        <v>3231.867715011459</v>
      </c>
    </row>
    <row r="202" spans="1:16" x14ac:dyDescent="0.2">
      <c r="A202" s="780" t="s">
        <v>502</v>
      </c>
      <c r="B202" s="766" t="s">
        <v>96</v>
      </c>
      <c r="C202" s="819">
        <f>+Кот.!C171+Сети!C34+'ТЭЦ-1'!C22</f>
        <v>26.123567065</v>
      </c>
      <c r="D202" s="819">
        <f>+Кот.!D171+Сети!D34+'ТЭЦ-1'!D22</f>
        <v>36.878847832387507</v>
      </c>
      <c r="E202" s="819">
        <f>+Кот.!E171+Сети!E34+'ТЭЦ-1'!E22</f>
        <v>36.878847832387507</v>
      </c>
      <c r="F202" s="819">
        <f>+Кот.!F171+Сети!F34+'ТЭЦ-1'!F22</f>
        <v>36.71114783238751</v>
      </c>
      <c r="G202" s="819">
        <f>+Кот.!G171+Сети!G34+'ТЭЦ-1'!G22</f>
        <v>36.345147832387511</v>
      </c>
      <c r="H202" s="819">
        <f>+Кот.!H171+Сети!H34+'ТЭЦ-1'!H22</f>
        <v>36.345147832387511</v>
      </c>
      <c r="I202" s="819">
        <f>+Кот.!I171+Сети!I34+'ТЭЦ-1'!I22</f>
        <v>35.651147832387508</v>
      </c>
      <c r="J202" s="819">
        <f>+Кот.!J171+Сети!J34+'ТЭЦ-1'!J22</f>
        <v>35.385787832387507</v>
      </c>
      <c r="K202" s="819">
        <f>+Кот.!K171+Сети!K34+'ТЭЦ-1'!K22</f>
        <v>35.385787832387507</v>
      </c>
      <c r="L202" s="819">
        <f>+Кот.!L171+Сети!L34+'ТЭЦ-1'!L22</f>
        <v>35.385787832387507</v>
      </c>
      <c r="M202" s="819">
        <f>+Кот.!M171+Сети!M34+'ТЭЦ-1'!M22</f>
        <v>35.385787832387507</v>
      </c>
      <c r="N202" s="819">
        <f>+Кот.!N171+Сети!N34+'ТЭЦ-1'!N22</f>
        <v>35.385787832387507</v>
      </c>
      <c r="O202" s="819">
        <f>+Кот.!O171+Сети!O34+'ТЭЦ-1'!O22</f>
        <v>35.385787832387507</v>
      </c>
      <c r="P202" s="819">
        <f>+Кот.!P171+Сети!P34+'ТЭЦ-1'!P22</f>
        <v>35.385787832387507</v>
      </c>
    </row>
    <row r="203" spans="1:16" x14ac:dyDescent="0.2">
      <c r="A203" s="780"/>
      <c r="B203" s="766"/>
      <c r="C203" s="819"/>
      <c r="D203" s="819"/>
      <c r="E203" s="819"/>
      <c r="F203" s="819"/>
      <c r="G203" s="819"/>
      <c r="H203" s="819"/>
      <c r="I203" s="819"/>
      <c r="J203" s="819"/>
      <c r="K203" s="819"/>
      <c r="L203" s="819"/>
      <c r="M203" s="819"/>
      <c r="N203" s="819"/>
      <c r="O203" s="819"/>
      <c r="P203" s="819"/>
    </row>
    <row r="204" spans="1:16" ht="12" customHeight="1" x14ac:dyDescent="0.2">
      <c r="A204" s="779" t="s">
        <v>300</v>
      </c>
      <c r="B204" s="766" t="s">
        <v>301</v>
      </c>
      <c r="C204" s="819"/>
      <c r="D204" s="819"/>
      <c r="E204" s="819"/>
      <c r="F204" s="819"/>
      <c r="G204" s="819"/>
      <c r="H204" s="819"/>
      <c r="I204" s="819"/>
      <c r="J204" s="819"/>
      <c r="K204" s="819"/>
      <c r="L204" s="819"/>
      <c r="M204" s="819"/>
      <c r="N204" s="819"/>
      <c r="O204" s="819"/>
      <c r="P204" s="819"/>
    </row>
    <row r="205" spans="1:16" x14ac:dyDescent="0.2">
      <c r="A205" s="780" t="s">
        <v>678</v>
      </c>
      <c r="B205" s="766" t="s">
        <v>301</v>
      </c>
      <c r="C205" s="819">
        <v>10980.50532</v>
      </c>
      <c r="D205" s="819">
        <v>10980.50532</v>
      </c>
      <c r="E205" s="819">
        <v>10980.50532</v>
      </c>
      <c r="F205" s="819">
        <v>10032.105320000001</v>
      </c>
      <c r="G205" s="819">
        <v>9343.9053199999998</v>
      </c>
      <c r="H205" s="819">
        <v>8177.1053200000006</v>
      </c>
      <c r="I205" s="819">
        <v>7272.3053199999995</v>
      </c>
      <c r="J205" s="819">
        <v>7164.5053199999993</v>
      </c>
      <c r="K205" s="819">
        <v>7164.5053199999993</v>
      </c>
      <c r="L205" s="819">
        <v>7164.5053199999993</v>
      </c>
      <c r="M205" s="819">
        <v>7164.5053199999993</v>
      </c>
      <c r="N205" s="819">
        <v>7164.5053199999993</v>
      </c>
      <c r="O205" s="819">
        <v>7164.5053199999993</v>
      </c>
      <c r="P205" s="819">
        <v>7164.5053199999993</v>
      </c>
    </row>
    <row r="206" spans="1:16" x14ac:dyDescent="0.2">
      <c r="A206" s="780" t="s">
        <v>303</v>
      </c>
      <c r="B206" s="766" t="s">
        <v>301</v>
      </c>
      <c r="C206" s="819">
        <f>+Сети!C38</f>
        <v>3136.1885999999995</v>
      </c>
      <c r="D206" s="819">
        <f>+Сети!D38</f>
        <v>3136.1885999999995</v>
      </c>
      <c r="E206" s="819">
        <f>+Сети!E38</f>
        <v>3136.1885999999995</v>
      </c>
      <c r="F206" s="819">
        <f>+Сети!F38</f>
        <v>2755.16763496567</v>
      </c>
      <c r="G206" s="819">
        <f>+Сети!G38</f>
        <v>2121.8836907420168</v>
      </c>
      <c r="H206" s="819">
        <f>+Сети!H38</f>
        <v>1444.7389950364354</v>
      </c>
      <c r="I206" s="819">
        <f>+Сети!I38</f>
        <v>1050.0376263369797</v>
      </c>
      <c r="J206" s="819">
        <f>+Сети!J38</f>
        <v>325.63847950552741</v>
      </c>
      <c r="K206" s="819">
        <f>+Сети!K38</f>
        <v>0</v>
      </c>
      <c r="L206" s="819">
        <f>+Сети!L38</f>
        <v>0</v>
      </c>
      <c r="M206" s="819">
        <f>+Сети!M38</f>
        <v>0</v>
      </c>
      <c r="N206" s="819">
        <f>+Сети!N38</f>
        <v>0</v>
      </c>
      <c r="O206" s="819">
        <f>+Сети!O38</f>
        <v>0</v>
      </c>
      <c r="P206" s="819">
        <f>+Сети!P38</f>
        <v>0</v>
      </c>
    </row>
    <row r="207" spans="1:16" x14ac:dyDescent="0.2">
      <c r="A207" s="780" t="s">
        <v>304</v>
      </c>
      <c r="B207" s="766" t="s">
        <v>301</v>
      </c>
      <c r="C207" s="819">
        <f>+Сети!C39</f>
        <v>7459.277</v>
      </c>
      <c r="D207" s="819">
        <f>+Сети!D39</f>
        <v>7459.277</v>
      </c>
      <c r="E207" s="819">
        <f>+Сети!E39</f>
        <v>7459.277</v>
      </c>
      <c r="F207" s="819">
        <f>+Сети!F39</f>
        <v>6553.0365650343292</v>
      </c>
      <c r="G207" s="819">
        <f>+Сети!G39</f>
        <v>5407.4691092579833</v>
      </c>
      <c r="H207" s="819">
        <f>+Сети!H39</f>
        <v>4337.9212644978616</v>
      </c>
      <c r="I207" s="819">
        <f>+Сети!I39</f>
        <v>3399.142633197318</v>
      </c>
      <c r="J207" s="819">
        <f>+Сети!J39</f>
        <v>2535.6717800287697</v>
      </c>
      <c r="K207" s="819">
        <f>+Сети!K39</f>
        <v>2861.2717800287701</v>
      </c>
      <c r="L207" s="819">
        <f>+Сети!L39</f>
        <v>2861.2717800287701</v>
      </c>
      <c r="M207" s="819">
        <f>+Сети!M39</f>
        <v>2861.2717800287701</v>
      </c>
      <c r="N207" s="819">
        <f>+Сети!N39</f>
        <v>2861.2717800287701</v>
      </c>
      <c r="O207" s="819">
        <f>+Сети!O39</f>
        <v>2861.2717800287701</v>
      </c>
      <c r="P207" s="819">
        <f>+Сети!P39</f>
        <v>2861.2717800287701</v>
      </c>
    </row>
    <row r="208" spans="1:16" x14ac:dyDescent="0.2">
      <c r="A208" s="780" t="s">
        <v>305</v>
      </c>
      <c r="B208" s="766" t="s">
        <v>301</v>
      </c>
      <c r="C208" s="819">
        <f>+Сети!C40</f>
        <v>164.92976100000001</v>
      </c>
      <c r="D208" s="819">
        <f>+Сети!D40</f>
        <v>164.92976100000001</v>
      </c>
      <c r="E208" s="819">
        <f>+Сети!E40</f>
        <v>164.92976100000001</v>
      </c>
      <c r="F208" s="819">
        <f>+Сети!F40</f>
        <v>164.92976100000001</v>
      </c>
      <c r="G208" s="819">
        <f>+Сети!G40</f>
        <v>164.92976100000001</v>
      </c>
      <c r="H208" s="819">
        <f>+Сети!H40</f>
        <v>164.92976100000001</v>
      </c>
      <c r="I208" s="819">
        <f>+Сети!I40</f>
        <v>164.92976100000001</v>
      </c>
      <c r="J208" s="819">
        <f>+Сети!J40</f>
        <v>164.92976100000001</v>
      </c>
      <c r="K208" s="819">
        <f>+Сети!K40</f>
        <v>164.92976100000001</v>
      </c>
      <c r="L208" s="819">
        <f>+Сети!L40</f>
        <v>164.92976100000001</v>
      </c>
      <c r="M208" s="819">
        <f>+Сети!M40</f>
        <v>164.92976100000001</v>
      </c>
      <c r="N208" s="819">
        <f>+Сети!N40</f>
        <v>164.92976100000001</v>
      </c>
      <c r="O208" s="819">
        <f>+Сети!O40</f>
        <v>164.92976100000001</v>
      </c>
      <c r="P208" s="819">
        <f>+Сети!P40</f>
        <v>164.92976100000001</v>
      </c>
    </row>
    <row r="209" spans="1:16" x14ac:dyDescent="0.2">
      <c r="A209" s="780" t="s">
        <v>677</v>
      </c>
      <c r="B209" s="766" t="s">
        <v>301</v>
      </c>
      <c r="C209" s="819">
        <f>+C210+C211</f>
        <v>7532.1200898049992</v>
      </c>
      <c r="D209" s="819">
        <f t="shared" ref="D209:P209" si="48">+D210+D211</f>
        <v>7532.1200898049992</v>
      </c>
      <c r="E209" s="819">
        <f t="shared" si="48"/>
        <v>7532.1200898049992</v>
      </c>
      <c r="F209" s="819">
        <f t="shared" si="48"/>
        <v>6244.8586898049998</v>
      </c>
      <c r="G209" s="819">
        <f t="shared" si="48"/>
        <v>4617.6472898049997</v>
      </c>
      <c r="H209" s="819">
        <f t="shared" si="48"/>
        <v>3098.4172898049992</v>
      </c>
      <c r="I209" s="819">
        <f t="shared" si="48"/>
        <v>1764.9372898049992</v>
      </c>
      <c r="J209" s="819">
        <f t="shared" si="48"/>
        <v>177.06728980499906</v>
      </c>
      <c r="K209" s="819">
        <f t="shared" si="48"/>
        <v>177.06728980499906</v>
      </c>
      <c r="L209" s="819">
        <f t="shared" si="48"/>
        <v>177.06728980499906</v>
      </c>
      <c r="M209" s="819">
        <f t="shared" si="48"/>
        <v>177.06728980499906</v>
      </c>
      <c r="N209" s="819">
        <f t="shared" si="48"/>
        <v>177.06728980499906</v>
      </c>
      <c r="O209" s="819">
        <f t="shared" si="48"/>
        <v>177.06728980499906</v>
      </c>
      <c r="P209" s="819">
        <f t="shared" si="48"/>
        <v>177.06728980499906</v>
      </c>
    </row>
    <row r="210" spans="1:16" x14ac:dyDescent="0.2">
      <c r="A210" s="780" t="s">
        <v>307</v>
      </c>
      <c r="B210" s="766" t="s">
        <v>301</v>
      </c>
      <c r="C210" s="819">
        <f>+Сети!C43</f>
        <v>1457.2282441140758</v>
      </c>
      <c r="D210" s="819">
        <f>+Сети!D43</f>
        <v>1457.2282441140758</v>
      </c>
      <c r="E210" s="819">
        <f>+Сети!E43</f>
        <v>1457.2282441140758</v>
      </c>
      <c r="F210" s="819">
        <f>+Сети!F43</f>
        <v>1457.2282441140758</v>
      </c>
      <c r="G210" s="819">
        <f>+Сети!G43</f>
        <v>1457.2282441140758</v>
      </c>
      <c r="H210" s="819">
        <f>+Сети!H43</f>
        <v>1457.2282441140758</v>
      </c>
      <c r="I210" s="819">
        <f>+Сети!I43</f>
        <v>1457.2282441140758</v>
      </c>
      <c r="J210" s="819">
        <f>+Сети!J43</f>
        <v>1457.2282441140758</v>
      </c>
      <c r="K210" s="819">
        <f>+Сети!K43</f>
        <v>1457.2282441140758</v>
      </c>
      <c r="L210" s="819">
        <f>+Сети!L43</f>
        <v>1457.2282441140758</v>
      </c>
      <c r="M210" s="819">
        <f>+Сети!M43</f>
        <v>1457.2282441140758</v>
      </c>
      <c r="N210" s="819">
        <f>+Сети!N43</f>
        <v>1457.2282441140758</v>
      </c>
      <c r="O210" s="819">
        <f>+Сети!O43</f>
        <v>1457.2282441140758</v>
      </c>
      <c r="P210" s="819">
        <f>+Сети!P43</f>
        <v>1457.2282441140758</v>
      </c>
    </row>
    <row r="211" spans="1:16" x14ac:dyDescent="0.2">
      <c r="A211" s="780" t="s">
        <v>308</v>
      </c>
      <c r="B211" s="766" t="s">
        <v>301</v>
      </c>
      <c r="C211" s="819">
        <f>+Сети!C44</f>
        <v>6074.8918456909232</v>
      </c>
      <c r="D211" s="819">
        <f>+Сети!D44</f>
        <v>6074.8918456909232</v>
      </c>
      <c r="E211" s="819">
        <f>+Сети!E44</f>
        <v>6074.8918456909232</v>
      </c>
      <c r="F211" s="819">
        <f>+Сети!F44</f>
        <v>4787.6304456909238</v>
      </c>
      <c r="G211" s="819">
        <f>+Сети!G44</f>
        <v>3160.4190456909237</v>
      </c>
      <c r="H211" s="819">
        <f>+Сети!H44</f>
        <v>1641.1890456909234</v>
      </c>
      <c r="I211" s="819">
        <f>+Сети!I44</f>
        <v>307.7090456909234</v>
      </c>
      <c r="J211" s="819">
        <f>+Сети!J44</f>
        <v>-1280.1609543090767</v>
      </c>
      <c r="K211" s="819">
        <f>+Сети!K44</f>
        <v>-1280.1609543090767</v>
      </c>
      <c r="L211" s="819">
        <f>+Сети!L44</f>
        <v>-1280.1609543090767</v>
      </c>
      <c r="M211" s="819">
        <f>+Сети!M44</f>
        <v>-1280.1609543090767</v>
      </c>
      <c r="N211" s="819">
        <f>+Сети!N44</f>
        <v>-1280.1609543090767</v>
      </c>
      <c r="O211" s="819">
        <f>+Сети!O44</f>
        <v>-1280.1609543090767</v>
      </c>
      <c r="P211" s="819">
        <f>+Сети!P44</f>
        <v>-1280.1609543090767</v>
      </c>
    </row>
    <row r="212" spans="1:16" x14ac:dyDescent="0.2">
      <c r="A212" s="780"/>
      <c r="B212" s="766"/>
      <c r="C212" s="819"/>
      <c r="D212" s="819"/>
      <c r="E212" s="819"/>
      <c r="F212" s="819"/>
      <c r="G212" s="819"/>
      <c r="H212" s="819"/>
      <c r="I212" s="819"/>
      <c r="J212" s="819"/>
      <c r="K212" s="819"/>
      <c r="L212" s="819"/>
      <c r="M212" s="819"/>
      <c r="N212" s="819"/>
      <c r="O212" s="819"/>
      <c r="P212" s="819"/>
    </row>
    <row r="213" spans="1:16" ht="22.5" x14ac:dyDescent="0.2">
      <c r="A213" s="780" t="s">
        <v>680</v>
      </c>
      <c r="B213" s="766" t="s">
        <v>301</v>
      </c>
      <c r="C213" s="819">
        <f>+Сети!C54</f>
        <v>3206.6761611420006</v>
      </c>
      <c r="D213" s="819">
        <f>+Сети!D54</f>
        <v>3206.6761611420006</v>
      </c>
      <c r="E213" s="819">
        <f>+Сети!E54</f>
        <v>3206.6761611420006</v>
      </c>
      <c r="F213" s="819">
        <f>+Сети!F54</f>
        <v>3206.6761611420006</v>
      </c>
      <c r="G213" s="819">
        <f>+Сети!G54</f>
        <v>3055.0361611420012</v>
      </c>
      <c r="H213" s="819">
        <f>+Сети!H54</f>
        <v>2827.5736206762986</v>
      </c>
      <c r="I213" s="819">
        <f>+Сети!I54</f>
        <v>2827.573620676299</v>
      </c>
      <c r="J213" s="819">
        <f>+Сети!J54</f>
        <v>2827.5736206762977</v>
      </c>
      <c r="K213" s="819">
        <f>+Сети!K54</f>
        <v>2827.5351411707707</v>
      </c>
      <c r="L213" s="819">
        <f>+Сети!L54</f>
        <v>2827.5351411707707</v>
      </c>
      <c r="M213" s="819">
        <f>+Сети!M54</f>
        <v>2827.5351411707707</v>
      </c>
      <c r="N213" s="819">
        <f>+Сети!N54</f>
        <v>2827.5351411707707</v>
      </c>
      <c r="O213" s="819">
        <f>+Сети!O54</f>
        <v>2827.5351411707707</v>
      </c>
      <c r="P213" s="819">
        <f>+Сети!P54</f>
        <v>2827.5351411707707</v>
      </c>
    </row>
    <row r="214" spans="1:16" x14ac:dyDescent="0.2">
      <c r="A214" s="777"/>
      <c r="B214" s="766"/>
      <c r="C214" s="819"/>
      <c r="D214" s="819"/>
      <c r="E214" s="819"/>
      <c r="F214" s="819"/>
      <c r="G214" s="819"/>
      <c r="H214" s="819"/>
      <c r="I214" s="819"/>
      <c r="J214" s="819"/>
      <c r="K214" s="819"/>
      <c r="L214" s="819"/>
      <c r="M214" s="819"/>
      <c r="N214" s="819"/>
      <c r="O214" s="819"/>
      <c r="P214" s="819"/>
    </row>
    <row r="215" spans="1:16" x14ac:dyDescent="0.2">
      <c r="A215" s="777" t="s">
        <v>679</v>
      </c>
      <c r="B215" s="766" t="s">
        <v>16</v>
      </c>
      <c r="C215" s="820">
        <f>+C216+C217</f>
        <v>1142.7427498485977</v>
      </c>
      <c r="D215" s="820">
        <f t="shared" ref="D215:P215" si="49">+D216+D217</f>
        <v>1057.5492675836958</v>
      </c>
      <c r="E215" s="820">
        <f t="shared" si="49"/>
        <v>1057.5492675836958</v>
      </c>
      <c r="F215" s="820">
        <f t="shared" si="49"/>
        <v>908.72026758369589</v>
      </c>
      <c r="G215" s="820">
        <f t="shared" si="49"/>
        <v>743.69326758369584</v>
      </c>
      <c r="H215" s="820">
        <f t="shared" si="49"/>
        <v>625.54076758369581</v>
      </c>
      <c r="I215" s="820">
        <f t="shared" si="49"/>
        <v>517.22326758369582</v>
      </c>
      <c r="J215" s="820">
        <f t="shared" si="49"/>
        <v>414.01726758369585</v>
      </c>
      <c r="K215" s="820">
        <f t="shared" si="49"/>
        <v>414.01726758369585</v>
      </c>
      <c r="L215" s="820">
        <f t="shared" si="49"/>
        <v>414.01726758369585</v>
      </c>
      <c r="M215" s="820">
        <f t="shared" si="49"/>
        <v>414.01726758369585</v>
      </c>
      <c r="N215" s="820">
        <f t="shared" si="49"/>
        <v>414.01726758369585</v>
      </c>
      <c r="O215" s="820">
        <f t="shared" si="49"/>
        <v>414.01726758369585</v>
      </c>
      <c r="P215" s="820">
        <f t="shared" si="49"/>
        <v>414.01726758369585</v>
      </c>
    </row>
    <row r="216" spans="1:16" x14ac:dyDescent="0.2">
      <c r="A216" s="777" t="s">
        <v>307</v>
      </c>
      <c r="B216" s="766" t="s">
        <v>16</v>
      </c>
      <c r="C216" s="819">
        <f>+Сети!C16</f>
        <v>697.26335297648825</v>
      </c>
      <c r="D216" s="819">
        <f>+Сети!D16</f>
        <v>697.26335297648825</v>
      </c>
      <c r="E216" s="819">
        <f>+Сети!E16</f>
        <v>697.26335297648825</v>
      </c>
      <c r="F216" s="819">
        <f>+Сети!F16</f>
        <v>697.26335297648825</v>
      </c>
      <c r="G216" s="819">
        <f>+Сети!G16</f>
        <v>697.26335297648825</v>
      </c>
      <c r="H216" s="819">
        <f>+Сети!H16</f>
        <v>697.26335297648825</v>
      </c>
      <c r="I216" s="819">
        <f>+Сети!I16</f>
        <v>697.26335297648825</v>
      </c>
      <c r="J216" s="819">
        <f>+Сети!J16</f>
        <v>697.26335297648825</v>
      </c>
      <c r="K216" s="819">
        <f>+Сети!K16</f>
        <v>697.26335297648825</v>
      </c>
      <c r="L216" s="819">
        <f>+Сети!L16</f>
        <v>697.26335297648825</v>
      </c>
      <c r="M216" s="819">
        <f>+Сети!M16</f>
        <v>697.26335297648825</v>
      </c>
      <c r="N216" s="819">
        <f>+Сети!N16</f>
        <v>697.26335297648825</v>
      </c>
      <c r="O216" s="819">
        <f>+Сети!O16</f>
        <v>697.26335297648825</v>
      </c>
      <c r="P216" s="819">
        <f>+Сети!P16</f>
        <v>697.26335297648825</v>
      </c>
    </row>
    <row r="217" spans="1:16" x14ac:dyDescent="0.2">
      <c r="A217" s="777" t="s">
        <v>308</v>
      </c>
      <c r="B217" s="766" t="s">
        <v>16</v>
      </c>
      <c r="C217" s="819">
        <f>+Сети!C17</f>
        <v>445.47939687210948</v>
      </c>
      <c r="D217" s="819">
        <f>+Сети!D17</f>
        <v>360.28591460720759</v>
      </c>
      <c r="E217" s="819">
        <f>+Сети!E17</f>
        <v>360.28591460720759</v>
      </c>
      <c r="F217" s="819">
        <f>+Сети!F17</f>
        <v>211.45691460720758</v>
      </c>
      <c r="G217" s="819">
        <f>+Сети!G17</f>
        <v>46.429914607207564</v>
      </c>
      <c r="H217" s="819">
        <f>+Сети!H17</f>
        <v>-71.722585392792425</v>
      </c>
      <c r="I217" s="819">
        <f>+Сети!I17</f>
        <v>-180.04008539279241</v>
      </c>
      <c r="J217" s="819">
        <f>+Сети!J17</f>
        <v>-283.24608539279239</v>
      </c>
      <c r="K217" s="819">
        <f>+Сети!K17</f>
        <v>-283.24608539279239</v>
      </c>
      <c r="L217" s="819">
        <f>+Сети!L17</f>
        <v>-283.24608539279239</v>
      </c>
      <c r="M217" s="819">
        <f>+Сети!M17</f>
        <v>-283.24608539279239</v>
      </c>
      <c r="N217" s="819">
        <f>+Сети!N17</f>
        <v>-283.24608539279239</v>
      </c>
      <c r="O217" s="819">
        <f>+Сети!O17</f>
        <v>-283.24608539279239</v>
      </c>
      <c r="P217" s="819">
        <f>+Сети!P17</f>
        <v>-283.24608539279239</v>
      </c>
    </row>
    <row r="218" spans="1:16" x14ac:dyDescent="0.2">
      <c r="A218" s="777" t="s">
        <v>311</v>
      </c>
      <c r="B218" s="766" t="s">
        <v>29</v>
      </c>
      <c r="C218" s="819">
        <f t="shared" ref="C218:P218" si="50">+C215/C$162</f>
        <v>0.32406172195291555</v>
      </c>
      <c r="D218" s="819">
        <f t="shared" si="50"/>
        <v>0.29337371143878277</v>
      </c>
      <c r="E218" s="819">
        <f t="shared" si="50"/>
        <v>0.28987538851452455</v>
      </c>
      <c r="F218" s="819">
        <f t="shared" si="50"/>
        <v>0.25588437089805366</v>
      </c>
      <c r="G218" s="819">
        <f t="shared" si="50"/>
        <v>0.21387908578841128</v>
      </c>
      <c r="H218" s="819">
        <f t="shared" si="50"/>
        <v>0.18222713763300763</v>
      </c>
      <c r="I218" s="819">
        <f t="shared" si="50"/>
        <v>0.15220559083072449</v>
      </c>
      <c r="J218" s="819">
        <f t="shared" si="50"/>
        <v>0.12290103904405798</v>
      </c>
      <c r="K218" s="819">
        <f t="shared" si="50"/>
        <v>0.12028048879425665</v>
      </c>
      <c r="L218" s="819">
        <f t="shared" si="50"/>
        <v>0.11773063926437284</v>
      </c>
      <c r="M218" s="819">
        <f t="shared" si="50"/>
        <v>0.11664094034445659</v>
      </c>
      <c r="N218" s="819">
        <f t="shared" si="50"/>
        <v>0.11557205073288356</v>
      </c>
      <c r="O218" s="819">
        <f t="shared" si="50"/>
        <v>0.11452335819155526</v>
      </c>
      <c r="P218" s="819">
        <f t="shared" si="50"/>
        <v>0.11349427502780393</v>
      </c>
    </row>
    <row r="219" spans="1:16" x14ac:dyDescent="0.2">
      <c r="A219" s="777" t="s">
        <v>307</v>
      </c>
      <c r="B219" s="766" t="s">
        <v>29</v>
      </c>
      <c r="C219" s="819">
        <f t="shared" ref="C219:P219" si="51">+C216/C$162</f>
        <v>0.19773160919214877</v>
      </c>
      <c r="D219" s="819">
        <f t="shared" si="51"/>
        <v>0.19342714706837366</v>
      </c>
      <c r="E219" s="819">
        <f t="shared" si="51"/>
        <v>0.19112063289760975</v>
      </c>
      <c r="F219" s="819">
        <f t="shared" si="51"/>
        <v>0.19634072309300982</v>
      </c>
      <c r="G219" s="819">
        <f t="shared" si="51"/>
        <v>0.20052628548447954</v>
      </c>
      <c r="H219" s="819">
        <f t="shared" si="51"/>
        <v>0.2031207422021436</v>
      </c>
      <c r="I219" s="819">
        <f t="shared" si="51"/>
        <v>0.20518678732337797</v>
      </c>
      <c r="J219" s="819">
        <f t="shared" si="51"/>
        <v>0.20698264849745809</v>
      </c>
      <c r="K219" s="819">
        <f t="shared" si="51"/>
        <v>0.2025692730252612</v>
      </c>
      <c r="L219" s="819">
        <f t="shared" si="51"/>
        <v>0.19827496751677687</v>
      </c>
      <c r="M219" s="819">
        <f t="shared" si="51"/>
        <v>0.19643976115673761</v>
      </c>
      <c r="N219" s="819">
        <f t="shared" si="51"/>
        <v>0.19463960060093063</v>
      </c>
      <c r="O219" s="819">
        <f t="shared" si="51"/>
        <v>0.19287345475422346</v>
      </c>
      <c r="P219" s="819">
        <f t="shared" si="51"/>
        <v>0.19114033385944376</v>
      </c>
    </row>
    <row r="220" spans="1:16" x14ac:dyDescent="0.2">
      <c r="A220" s="777" t="s">
        <v>308</v>
      </c>
      <c r="B220" s="766" t="s">
        <v>29</v>
      </c>
      <c r="C220" s="819">
        <f t="shared" ref="C220:P220" si="52">+C217/C$162</f>
        <v>0.12633011276076678</v>
      </c>
      <c r="D220" s="819">
        <f t="shared" si="52"/>
        <v>9.9946564370409094E-2</v>
      </c>
      <c r="E220" s="819">
        <f t="shared" si="52"/>
        <v>9.8754755616914797E-2</v>
      </c>
      <c r="F220" s="819">
        <f t="shared" si="52"/>
        <v>5.9543647805043814E-2</v>
      </c>
      <c r="G220" s="819">
        <f t="shared" si="52"/>
        <v>1.3352800303931732E-2</v>
      </c>
      <c r="H220" s="819">
        <f t="shared" si="52"/>
        <v>-2.0893604569135967E-2</v>
      </c>
      <c r="I220" s="819">
        <f t="shared" si="52"/>
        <v>-5.2981196492653447E-2</v>
      </c>
      <c r="J220" s="819">
        <f t="shared" si="52"/>
        <v>-8.4081609453400097E-2</v>
      </c>
      <c r="K220" s="819">
        <f t="shared" si="52"/>
        <v>-8.2288784231004553E-2</v>
      </c>
      <c r="L220" s="819">
        <f t="shared" si="52"/>
        <v>-8.0544328252404013E-2</v>
      </c>
      <c r="M220" s="819">
        <f t="shared" si="52"/>
        <v>-7.9798820812281027E-2</v>
      </c>
      <c r="N220" s="819">
        <f t="shared" si="52"/>
        <v>-7.9067549868047093E-2</v>
      </c>
      <c r="O220" s="819">
        <f t="shared" si="52"/>
        <v>-7.8350096562668212E-2</v>
      </c>
      <c r="P220" s="819">
        <f t="shared" si="52"/>
        <v>-7.764605883163983E-2</v>
      </c>
    </row>
    <row r="221" spans="1:16" x14ac:dyDescent="0.2">
      <c r="A221" s="777"/>
      <c r="B221" s="766"/>
      <c r="C221" s="819"/>
      <c r="D221" s="819"/>
      <c r="E221" s="819"/>
      <c r="F221" s="819"/>
      <c r="G221" s="819"/>
      <c r="H221" s="819"/>
      <c r="I221" s="819"/>
      <c r="J221" s="819"/>
      <c r="K221" s="819"/>
      <c r="L221" s="819"/>
      <c r="M221" s="819"/>
      <c r="N221" s="819"/>
      <c r="O221" s="819"/>
      <c r="P221" s="819"/>
    </row>
    <row r="222" spans="1:16" ht="12" x14ac:dyDescent="0.2">
      <c r="A222" s="848" t="s">
        <v>111</v>
      </c>
      <c r="B222" s="757"/>
      <c r="C222" s="815"/>
      <c r="D222" s="815"/>
      <c r="E222" s="815"/>
      <c r="F222" s="815"/>
      <c r="G222" s="815"/>
      <c r="H222" s="815"/>
      <c r="I222" s="815"/>
      <c r="J222" s="815"/>
      <c r="K222" s="815"/>
      <c r="L222" s="815"/>
      <c r="M222" s="815"/>
      <c r="N222" s="815"/>
      <c r="O222" s="815"/>
      <c r="P222" s="815"/>
    </row>
    <row r="223" spans="1:16" ht="12" x14ac:dyDescent="0.2">
      <c r="A223" s="848"/>
      <c r="B223" s="757"/>
      <c r="C223" s="815"/>
      <c r="D223" s="815"/>
      <c r="E223" s="815"/>
      <c r="F223" s="815"/>
      <c r="G223" s="815"/>
      <c r="H223" s="815"/>
      <c r="I223" s="815"/>
      <c r="J223" s="815"/>
      <c r="K223" s="815"/>
      <c r="L223" s="815"/>
      <c r="M223" s="815"/>
      <c r="N223" s="815"/>
      <c r="O223" s="815"/>
      <c r="P223" s="815"/>
    </row>
    <row r="224" spans="1:16" x14ac:dyDescent="0.2">
      <c r="A224" s="850" t="s">
        <v>687</v>
      </c>
      <c r="B224" s="762"/>
      <c r="C224" s="815"/>
      <c r="D224" s="815"/>
      <c r="E224" s="815"/>
      <c r="F224" s="815"/>
      <c r="G224" s="815"/>
      <c r="H224" s="815"/>
      <c r="I224" s="815"/>
      <c r="J224" s="815"/>
      <c r="K224" s="815"/>
      <c r="L224" s="815"/>
      <c r="M224" s="815"/>
      <c r="N224" s="815"/>
      <c r="O224" s="815"/>
      <c r="P224" s="815"/>
    </row>
    <row r="225" spans="1:17" x14ac:dyDescent="0.2">
      <c r="A225" s="767" t="s">
        <v>283</v>
      </c>
      <c r="B225" s="762"/>
      <c r="C225" s="815"/>
      <c r="D225" s="815"/>
      <c r="E225" s="815"/>
      <c r="F225" s="815"/>
      <c r="G225" s="815"/>
      <c r="H225" s="815"/>
      <c r="I225" s="815"/>
      <c r="J225" s="815"/>
      <c r="K225" s="815"/>
      <c r="L225" s="815"/>
      <c r="M225" s="815"/>
      <c r="N225" s="815"/>
      <c r="O225" s="815"/>
      <c r="P225" s="815"/>
    </row>
    <row r="226" spans="1:17" x14ac:dyDescent="0.2">
      <c r="A226" s="782" t="s">
        <v>425</v>
      </c>
      <c r="B226" s="766" t="s">
        <v>96</v>
      </c>
      <c r="C226" s="818">
        <f>+'ТЭЦ-1'!C15</f>
        <v>26.210578000000002</v>
      </c>
      <c r="D226" s="818">
        <f>+'ТЭЦ-1'!D15</f>
        <v>27.470399999999998</v>
      </c>
      <c r="E226" s="818">
        <f>+'ТЭЦ-1'!E15</f>
        <v>27.470399999999998</v>
      </c>
      <c r="F226" s="818">
        <f>+'ТЭЦ-1'!F15</f>
        <v>27.470399999999998</v>
      </c>
      <c r="G226" s="818">
        <f>+'ТЭЦ-1'!G15</f>
        <v>27.470399999999998</v>
      </c>
      <c r="H226" s="818">
        <f>+'ТЭЦ-1'!H15</f>
        <v>27.470399999999998</v>
      </c>
      <c r="I226" s="818">
        <f>+'ТЭЦ-1'!I15</f>
        <v>27.470399999999998</v>
      </c>
      <c r="J226" s="818">
        <f>+'ТЭЦ-1'!J15</f>
        <v>27.470399999999998</v>
      </c>
      <c r="K226" s="818">
        <f>+'ТЭЦ-1'!K15</f>
        <v>27.470399999999998</v>
      </c>
      <c r="L226" s="818">
        <f>+'ТЭЦ-1'!L15</f>
        <v>27.470399999999998</v>
      </c>
      <c r="M226" s="818">
        <f>+'ТЭЦ-1'!M15</f>
        <v>27.470399999999998</v>
      </c>
      <c r="N226" s="818">
        <f>+'ТЭЦ-1'!N15</f>
        <v>27.470399999999998</v>
      </c>
      <c r="O226" s="818">
        <f>+'ТЭЦ-1'!O15</f>
        <v>27.470399999999998</v>
      </c>
      <c r="P226" s="818">
        <f>+'ТЭЦ-1'!P15</f>
        <v>27.470399999999998</v>
      </c>
    </row>
    <row r="227" spans="1:17" x14ac:dyDescent="0.2">
      <c r="A227" s="782" t="s">
        <v>251</v>
      </c>
      <c r="B227" s="766" t="s">
        <v>96</v>
      </c>
      <c r="C227" s="818">
        <f>+'ТЭЦ-1'!C17+'ТЭЦ-1'!C21-'ТЭЦ-1'!C22</f>
        <v>8.8803380000000018</v>
      </c>
      <c r="D227" s="818">
        <f>+'ТЭЦ-1'!D17+'ТЭЦ-1'!D21-'ТЭЦ-1'!D22</f>
        <v>9.6794539999999998</v>
      </c>
      <c r="E227" s="818">
        <f>+'ТЭЦ-1'!E17+'ТЭЦ-1'!E21-'ТЭЦ-1'!E22</f>
        <v>9.6794539999999998</v>
      </c>
      <c r="F227" s="818">
        <f>+'ТЭЦ-1'!F17+'ТЭЦ-1'!F21-'ТЭЦ-1'!F22</f>
        <v>9.6794539999999998</v>
      </c>
      <c r="G227" s="818">
        <f>+'ТЭЦ-1'!G17+'ТЭЦ-1'!G21-'ТЭЦ-1'!G22</f>
        <v>9.6794539999999998</v>
      </c>
      <c r="H227" s="818">
        <f>+'ТЭЦ-1'!H17+'ТЭЦ-1'!H21-'ТЭЦ-1'!H22</f>
        <v>9.6794539999999998</v>
      </c>
      <c r="I227" s="818">
        <f>+'ТЭЦ-1'!I17+'ТЭЦ-1'!I21-'ТЭЦ-1'!I22</f>
        <v>7.7522539999999998</v>
      </c>
      <c r="J227" s="818">
        <f>+'ТЭЦ-1'!J17+'ТЭЦ-1'!J21-'ТЭЦ-1'!J22</f>
        <v>7.7522539999999998</v>
      </c>
      <c r="K227" s="818">
        <f>+'ТЭЦ-1'!K17+'ТЭЦ-1'!K21-'ТЭЦ-1'!K22</f>
        <v>7.7522539999999998</v>
      </c>
      <c r="L227" s="818">
        <f>+'ТЭЦ-1'!L17+'ТЭЦ-1'!L21-'ТЭЦ-1'!L22</f>
        <v>7.7522539999999998</v>
      </c>
      <c r="M227" s="818">
        <f>+'ТЭЦ-1'!M17+'ТЭЦ-1'!M21-'ТЭЦ-1'!M22</f>
        <v>7.7522539999999998</v>
      </c>
      <c r="N227" s="818">
        <f>+'ТЭЦ-1'!N17+'ТЭЦ-1'!N21-'ТЭЦ-1'!N22</f>
        <v>7.7522539999999998</v>
      </c>
      <c r="O227" s="818">
        <f>+'ТЭЦ-1'!O17+'ТЭЦ-1'!O21-'ТЭЦ-1'!O22</f>
        <v>7.7522539999999998</v>
      </c>
      <c r="P227" s="818">
        <f>+'ТЭЦ-1'!P17+'ТЭЦ-1'!P21-'ТЭЦ-1'!P22</f>
        <v>7.7522539999999998</v>
      </c>
      <c r="Q227" s="761"/>
    </row>
    <row r="228" spans="1:17" x14ac:dyDescent="0.2">
      <c r="A228" s="782" t="s">
        <v>252</v>
      </c>
      <c r="B228" s="766" t="s">
        <v>96</v>
      </c>
      <c r="C228" s="818">
        <f>+'ТЭЦ-1'!C22</f>
        <v>3.6941660000000001</v>
      </c>
      <c r="D228" s="818">
        <f>+'ТЭЦ-1'!D22</f>
        <v>3.6941660000000001</v>
      </c>
      <c r="E228" s="818">
        <f>+'ТЭЦ-1'!E22</f>
        <v>3.6941660000000001</v>
      </c>
      <c r="F228" s="818">
        <f>+'ТЭЦ-1'!F22</f>
        <v>3.6941660000000001</v>
      </c>
      <c r="G228" s="818">
        <f>+'ТЭЦ-1'!G22</f>
        <v>3.6941660000000001</v>
      </c>
      <c r="H228" s="818">
        <f>+'ТЭЦ-1'!H22</f>
        <v>3.6941660000000001</v>
      </c>
      <c r="I228" s="818">
        <f>+'ТЭЦ-1'!I22</f>
        <v>3.6941660000000001</v>
      </c>
      <c r="J228" s="818">
        <f>+'ТЭЦ-1'!J22</f>
        <v>3.6941660000000001</v>
      </c>
      <c r="K228" s="818">
        <f>+'ТЭЦ-1'!K22</f>
        <v>3.6941660000000001</v>
      </c>
      <c r="L228" s="818">
        <f>+'ТЭЦ-1'!L22</f>
        <v>3.6941660000000001</v>
      </c>
      <c r="M228" s="818">
        <f>+'ТЭЦ-1'!M22</f>
        <v>3.6941660000000001</v>
      </c>
      <c r="N228" s="818">
        <f>+'ТЭЦ-1'!N22</f>
        <v>3.6941660000000001</v>
      </c>
      <c r="O228" s="818">
        <f>+'ТЭЦ-1'!O22</f>
        <v>3.6941660000000001</v>
      </c>
      <c r="P228" s="818">
        <f>+'ТЭЦ-1'!P22</f>
        <v>3.6941660000000001</v>
      </c>
    </row>
    <row r="229" spans="1:17" x14ac:dyDescent="0.2">
      <c r="A229" s="783" t="s">
        <v>113</v>
      </c>
      <c r="B229" s="766" t="s">
        <v>15</v>
      </c>
      <c r="C229" s="851">
        <f>'ТЭЦ-1'!C138+'ТЭЦ-1'!C139</f>
        <v>39254.150386916153</v>
      </c>
      <c r="D229" s="851">
        <f>'ТЭЦ-1'!D138+'ТЭЦ-1'!D139</f>
        <v>41835.34637638479</v>
      </c>
      <c r="E229" s="851">
        <f>'ТЭЦ-1'!E138+'ТЭЦ-1'!E139</f>
        <v>42605.853146997928</v>
      </c>
      <c r="F229" s="851">
        <f>'ТЭЦ-1'!F138+'ТЭЦ-1'!F139</f>
        <v>43395.717543520492</v>
      </c>
      <c r="G229" s="851">
        <f>'ТЭЦ-1'!G138+'ТЭЦ-1'!G139</f>
        <v>44205.56871918602</v>
      </c>
      <c r="H229" s="851">
        <f>'ТЭЦ-1'!H138+'ТЭЦ-1'!H139</f>
        <v>44128.358132417285</v>
      </c>
      <c r="I229" s="851">
        <f>'ТЭЦ-1'!I138+'ТЭЦ-1'!I139</f>
        <v>45185.662830238187</v>
      </c>
      <c r="J229" s="851">
        <f>'ТЭЦ-1'!J138+'ТЭЦ-1'!J139</f>
        <v>46248.592594046524</v>
      </c>
      <c r="K229" s="851">
        <f>'ТЭЦ-1'!K138+'ТЭЦ-1'!K139</f>
        <v>47124.610244745469</v>
      </c>
      <c r="L229" s="851">
        <f>'ТЭЦ-1'!L138+'ТЭЦ-1'!L139</f>
        <v>48023.306084756172</v>
      </c>
      <c r="M229" s="851">
        <f>'ТЭЦ-1'!M138+'ТЭЦ-1'!M139</f>
        <v>48945.430764239187</v>
      </c>
      <c r="N229" s="851">
        <f>'ТЭЦ-1'!N138+'ТЭЦ-1'!N139</f>
        <v>49891.762996652702</v>
      </c>
      <c r="O229" s="851">
        <f>'ТЭЦ-1'!O138+'ТЭЦ-1'!O139</f>
        <v>50863.110657385703</v>
      </c>
      <c r="P229" s="851">
        <f>'ТЭЦ-1'!P138+'ТЭЦ-1'!P139</f>
        <v>51860.311926074493</v>
      </c>
    </row>
    <row r="230" spans="1:17" x14ac:dyDescent="0.2">
      <c r="A230" s="783"/>
      <c r="B230" s="766"/>
      <c r="C230" s="775"/>
      <c r="D230" s="775"/>
      <c r="E230" s="775"/>
      <c r="F230" s="775"/>
      <c r="G230" s="775"/>
      <c r="H230" s="775"/>
      <c r="I230" s="775"/>
      <c r="J230" s="775"/>
      <c r="K230" s="775"/>
      <c r="L230" s="775"/>
      <c r="M230" s="775"/>
      <c r="N230" s="775"/>
      <c r="O230" s="775"/>
      <c r="P230" s="775"/>
    </row>
    <row r="231" spans="1:17" x14ac:dyDescent="0.2">
      <c r="A231" s="767" t="s">
        <v>284</v>
      </c>
      <c r="B231" s="762"/>
      <c r="C231" s="815"/>
      <c r="D231" s="815"/>
      <c r="E231" s="815"/>
      <c r="F231" s="815"/>
      <c r="G231" s="815"/>
      <c r="H231" s="815"/>
      <c r="I231" s="815"/>
      <c r="J231" s="815"/>
      <c r="K231" s="815"/>
      <c r="L231" s="815"/>
      <c r="M231" s="815"/>
      <c r="N231" s="815"/>
      <c r="O231" s="815"/>
      <c r="P231" s="815"/>
    </row>
    <row r="232" spans="1:17" x14ac:dyDescent="0.2">
      <c r="A232" s="782" t="s">
        <v>425</v>
      </c>
      <c r="B232" s="766" t="s">
        <v>96</v>
      </c>
      <c r="C232" s="818">
        <f>+'ТЭЦ-3'!C15</f>
        <v>676.34577439999998</v>
      </c>
      <c r="D232" s="818">
        <f>+'ТЭЦ-3'!D15</f>
        <v>780.4</v>
      </c>
      <c r="E232" s="818">
        <f>+'ТЭЦ-3'!E15</f>
        <v>780.4</v>
      </c>
      <c r="F232" s="818">
        <f>+'ТЭЦ-3'!F15</f>
        <v>780.4</v>
      </c>
      <c r="G232" s="818">
        <f>+'ТЭЦ-3'!G15</f>
        <v>780.4</v>
      </c>
      <c r="H232" s="818">
        <f>+'ТЭЦ-3'!H15</f>
        <v>780.4</v>
      </c>
      <c r="I232" s="818">
        <f>+'ТЭЦ-3'!I15</f>
        <v>780.4</v>
      </c>
      <c r="J232" s="818">
        <f>+'ТЭЦ-3'!J15</f>
        <v>780.4</v>
      </c>
      <c r="K232" s="818">
        <f>+'ТЭЦ-3'!K15</f>
        <v>780.4</v>
      </c>
      <c r="L232" s="818">
        <f>+'ТЭЦ-3'!L15</f>
        <v>780.4</v>
      </c>
      <c r="M232" s="818">
        <f>+'ТЭЦ-3'!M15</f>
        <v>780.4</v>
      </c>
      <c r="N232" s="818">
        <f>+'ТЭЦ-3'!N15</f>
        <v>780.4</v>
      </c>
      <c r="O232" s="818">
        <f>+'ТЭЦ-3'!O15</f>
        <v>780.4</v>
      </c>
      <c r="P232" s="818">
        <f>+'ТЭЦ-3'!P15</f>
        <v>780.4</v>
      </c>
    </row>
    <row r="233" spans="1:17" x14ac:dyDescent="0.2">
      <c r="A233" s="782" t="s">
        <v>251</v>
      </c>
      <c r="B233" s="766" t="s">
        <v>96</v>
      </c>
      <c r="C233" s="818">
        <f>+'ТЭЦ-3'!C17</f>
        <v>109.44148100000001</v>
      </c>
      <c r="D233" s="818">
        <f>+'ТЭЦ-3'!D17</f>
        <v>115.81699999999999</v>
      </c>
      <c r="E233" s="818">
        <f>+'ТЭЦ-3'!E17</f>
        <v>115.81699999999999</v>
      </c>
      <c r="F233" s="818">
        <f>+'ТЭЦ-3'!F17</f>
        <v>113.87569865433083</v>
      </c>
      <c r="G233" s="818">
        <f>+'ТЭЦ-3'!G17</f>
        <v>112.64360309234155</v>
      </c>
      <c r="H233" s="818">
        <f>+'ТЭЦ-3'!H17</f>
        <v>107.32617355380144</v>
      </c>
      <c r="I233" s="818">
        <f>+'ТЭЦ-3'!I17</f>
        <v>106.55825608309742</v>
      </c>
      <c r="J233" s="818">
        <f>+'ТЭЦ-3'!J17</f>
        <v>105.14888990215941</v>
      </c>
      <c r="K233" s="818">
        <f>+'ТЭЦ-3'!K17</f>
        <v>104.51533882436672</v>
      </c>
      <c r="L233" s="818">
        <f>+'ТЭЦ-3'!L17</f>
        <v>104.51533882436672</v>
      </c>
      <c r="M233" s="818">
        <f>+'ТЭЦ-3'!M17</f>
        <v>104.51533882436672</v>
      </c>
      <c r="N233" s="818">
        <f>+'ТЭЦ-3'!N17</f>
        <v>104.51533882436672</v>
      </c>
      <c r="O233" s="818">
        <f>+'ТЭЦ-3'!O17</f>
        <v>104.51533882436672</v>
      </c>
      <c r="P233" s="818">
        <f>+'ТЭЦ-3'!P17</f>
        <v>104.51533882436672</v>
      </c>
    </row>
    <row r="234" spans="1:17" x14ac:dyDescent="0.2">
      <c r="A234" s="783" t="s">
        <v>113</v>
      </c>
      <c r="B234" s="766" t="s">
        <v>15</v>
      </c>
      <c r="C234" s="851">
        <f>+'ТЭЦ-3'!C136+'ТЭЦ-3'!C137</f>
        <v>1003531.4028506004</v>
      </c>
      <c r="D234" s="851">
        <f>+'ТЭЦ-3'!D136+'ТЭЦ-3'!D137</f>
        <v>1171177.9441052761</v>
      </c>
      <c r="E234" s="851">
        <f>+'ТЭЦ-3'!E136+'ТЭЦ-3'!E137</f>
        <v>1187584.316305137</v>
      </c>
      <c r="F234" s="851">
        <f>+'ТЭЦ-3'!F136+'ТЭЦ-3'!F137</f>
        <v>1204415.480368535</v>
      </c>
      <c r="G234" s="851">
        <f>+'ТЭЦ-3'!G136+'ТЭЦ-3'!G137</f>
        <v>1221686.6817277912</v>
      </c>
      <c r="H234" s="851">
        <f>+'ТЭЦ-3'!H136+'ТЭЦ-3'!H137</f>
        <v>1216776.8763085029</v>
      </c>
      <c r="I234" s="851">
        <f>+'ТЭЦ-3'!I136+'ТЭЦ-3'!I137</f>
        <v>1240495.9429161197</v>
      </c>
      <c r="J234" s="851">
        <f>+'ТЭЦ-3'!J136+'ТЭЦ-3'!J137</f>
        <v>1264271.2638228717</v>
      </c>
      <c r="K234" s="851">
        <f>+'ТЭЦ-3'!K136+'ТЭЦ-3'!K137</f>
        <v>1282985.4630707782</v>
      </c>
      <c r="L234" s="851">
        <f>+'ТЭЦ-3'!L136+'ТЭЦ-3'!L137</f>
        <v>1302206.0718388846</v>
      </c>
      <c r="M234" s="851">
        <f>+'ТЭЦ-3'!M136+'ТЭЦ-3'!M137</f>
        <v>1321951.5224139804</v>
      </c>
      <c r="N234" s="851">
        <f>+'ТЭЦ-3'!N136+'ТЭЦ-3'!N137</f>
        <v>1342240.9713034038</v>
      </c>
      <c r="O234" s="851">
        <f>+'ТЭЦ-3'!O136+'ТЭЦ-3'!O137</f>
        <v>1363094.3281373139</v>
      </c>
      <c r="P234" s="851">
        <f>+'ТЭЦ-3'!P136+'ТЭЦ-3'!P137</f>
        <v>1384532.285727872</v>
      </c>
    </row>
    <row r="235" spans="1:17" x14ac:dyDescent="0.2">
      <c r="A235" s="783"/>
      <c r="B235" s="766"/>
      <c r="C235" s="775"/>
      <c r="D235" s="775"/>
      <c r="E235" s="775"/>
      <c r="F235" s="775"/>
      <c r="G235" s="775"/>
      <c r="H235" s="775"/>
      <c r="I235" s="775"/>
      <c r="J235" s="775"/>
      <c r="K235" s="775"/>
      <c r="L235" s="775"/>
      <c r="M235" s="775"/>
      <c r="N235" s="775"/>
      <c r="O235" s="775"/>
      <c r="P235" s="775"/>
    </row>
    <row r="236" spans="1:17" x14ac:dyDescent="0.2">
      <c r="A236" s="767" t="s">
        <v>288</v>
      </c>
      <c r="B236" s="762"/>
      <c r="C236" s="815"/>
      <c r="D236" s="815"/>
      <c r="E236" s="815"/>
      <c r="F236" s="815"/>
      <c r="G236" s="815"/>
      <c r="H236" s="815"/>
      <c r="I236" s="815"/>
      <c r="J236" s="815"/>
      <c r="K236" s="815"/>
      <c r="L236" s="815"/>
      <c r="M236" s="815"/>
      <c r="N236" s="815"/>
      <c r="O236" s="815"/>
      <c r="P236" s="815"/>
    </row>
    <row r="237" spans="1:17" x14ac:dyDescent="0.2">
      <c r="A237" s="782" t="s">
        <v>425</v>
      </c>
      <c r="B237" s="766" t="s">
        <v>96</v>
      </c>
      <c r="C237" s="818">
        <f>+'ТЭЦ-4'!C15</f>
        <v>354.06696799999997</v>
      </c>
      <c r="D237" s="818">
        <f>+'ТЭЦ-4'!D15</f>
        <v>366.69732233333332</v>
      </c>
      <c r="E237" s="818">
        <f>+'ТЭЦ-4'!E15</f>
        <v>366.69732233333332</v>
      </c>
      <c r="F237" s="818">
        <f>+'ТЭЦ-4'!F15</f>
        <v>366.69732233333332</v>
      </c>
      <c r="G237" s="818">
        <f>+'ТЭЦ-4'!G15</f>
        <v>366.69732233333332</v>
      </c>
      <c r="H237" s="818">
        <f>+'ТЭЦ-4'!H15</f>
        <v>366.69732233333332</v>
      </c>
      <c r="I237" s="818">
        <f>+'ТЭЦ-4'!I15</f>
        <v>366.69732233333332</v>
      </c>
      <c r="J237" s="818">
        <f>+'ТЭЦ-4'!J15</f>
        <v>366.69732233333332</v>
      </c>
      <c r="K237" s="818">
        <f>+'ТЭЦ-4'!K15</f>
        <v>366.69732233333332</v>
      </c>
      <c r="L237" s="818">
        <f>+'ТЭЦ-4'!L15</f>
        <v>366.69732233333332</v>
      </c>
      <c r="M237" s="818">
        <f>+'ТЭЦ-4'!M15</f>
        <v>366.69732233333332</v>
      </c>
      <c r="N237" s="818">
        <f>+'ТЭЦ-4'!N15</f>
        <v>366.69732233333332</v>
      </c>
      <c r="O237" s="818">
        <f>+'ТЭЦ-4'!O15</f>
        <v>366.69732233333332</v>
      </c>
      <c r="P237" s="818">
        <f>+'ТЭЦ-4'!P15</f>
        <v>366.69732233333332</v>
      </c>
    </row>
    <row r="238" spans="1:17" x14ac:dyDescent="0.2">
      <c r="A238" s="782" t="s">
        <v>251</v>
      </c>
      <c r="B238" s="766" t="s">
        <v>96</v>
      </c>
      <c r="C238" s="818">
        <f>+'ТЭЦ-4'!C17</f>
        <v>76.180953000000002</v>
      </c>
      <c r="D238" s="818">
        <f>+'ТЭЦ-4'!D17</f>
        <v>75.946273966666666</v>
      </c>
      <c r="E238" s="818">
        <f>+'ТЭЦ-4'!E17</f>
        <v>75.946273966666666</v>
      </c>
      <c r="F238" s="818">
        <f>+'ТЭЦ-4'!F17</f>
        <v>75.946273966666666</v>
      </c>
      <c r="G238" s="818">
        <f>+'ТЭЦ-4'!G17</f>
        <v>75.559865086666662</v>
      </c>
      <c r="H238" s="818">
        <f>+'ТЭЦ-4'!H17</f>
        <v>75.559865086666662</v>
      </c>
      <c r="I238" s="818">
        <f>+'ТЭЦ-4'!I17</f>
        <v>67.069865086666667</v>
      </c>
      <c r="J238" s="818">
        <f>+'ТЭЦ-4'!J17</f>
        <v>66.956445086666662</v>
      </c>
      <c r="K238" s="818">
        <f>+'ТЭЦ-4'!K17</f>
        <v>66.956445086666662</v>
      </c>
      <c r="L238" s="818">
        <f>+'ТЭЦ-4'!L17</f>
        <v>66.956445086666662</v>
      </c>
      <c r="M238" s="818">
        <f>+'ТЭЦ-4'!M17</f>
        <v>66.956445086666662</v>
      </c>
      <c r="N238" s="818">
        <f>+'ТЭЦ-4'!N17</f>
        <v>66.956445086666662</v>
      </c>
      <c r="O238" s="818">
        <f>+'ТЭЦ-4'!O17</f>
        <v>66.956445086666662</v>
      </c>
      <c r="P238" s="818">
        <f>+'ТЭЦ-4'!P17</f>
        <v>66.956445086666662</v>
      </c>
    </row>
    <row r="239" spans="1:17" x14ac:dyDescent="0.2">
      <c r="A239" s="783" t="s">
        <v>113</v>
      </c>
      <c r="B239" s="766" t="s">
        <v>15</v>
      </c>
      <c r="C239" s="851">
        <f>+'ТЭЦ-4'!C142+'ТЭЦ-4'!C143</f>
        <v>554458.56023789104</v>
      </c>
      <c r="D239" s="851">
        <f>+'ТЭЦ-4'!D142+'ТЭЦ-4'!D143</f>
        <v>578644.75587649271</v>
      </c>
      <c r="E239" s="851">
        <f>+'ТЭЦ-4'!E142+'ТЭЦ-4'!E143</f>
        <v>585011.72307963879</v>
      </c>
      <c r="F239" s="851">
        <f>+'ТЭЦ-4'!F142+'ТЭЦ-4'!F143</f>
        <v>591576.1122683062</v>
      </c>
      <c r="G239" s="851">
        <f>+'ТЭЦ-4'!G142+'ТЭЦ-4'!G143</f>
        <v>598345.63402293087</v>
      </c>
      <c r="H239" s="851">
        <f>+'ТЭЦ-4'!H142+'ТЭЦ-4'!H143</f>
        <v>593969.87517803547</v>
      </c>
      <c r="I239" s="851">
        <f>+'ТЭЦ-4'!I142+'ТЭЦ-4'!I143</f>
        <v>604062.35701825842</v>
      </c>
      <c r="J239" s="851">
        <f>+'ТЭЦ-4'!J142+'ТЭЦ-4'!J143</f>
        <v>614160.30404731934</v>
      </c>
      <c r="K239" s="851">
        <f>+'ТЭЦ-4'!K142+'ТЭЦ-4'!K143</f>
        <v>621601.22547557228</v>
      </c>
      <c r="L239" s="851">
        <f>+'ТЭЦ-4'!L142+'ТЭЦ-4'!L143</f>
        <v>629281.39281223714</v>
      </c>
      <c r="M239" s="851">
        <f>+'ТЭЦ-4'!M142+'ТЭЦ-4'!M143</f>
        <v>637210.1878647675</v>
      </c>
      <c r="N239" s="851">
        <f>+'ТЭЦ-4'!N142+'ТЭЦ-4'!N143</f>
        <v>645397.36755276471</v>
      </c>
      <c r="O239" s="851">
        <f>+'ТЭЦ-4'!O142+'ТЭЦ-4'!O143</f>
        <v>653853.07893131173</v>
      </c>
      <c r="P239" s="851">
        <f>+'ТЭЦ-4'!P142+'ТЭЦ-4'!P143</f>
        <v>662587.87481608451</v>
      </c>
    </row>
    <row r="240" spans="1:17" x14ac:dyDescent="0.2">
      <c r="A240" s="784"/>
      <c r="B240" s="766"/>
      <c r="C240" s="821"/>
      <c r="D240" s="821"/>
      <c r="E240" s="821"/>
      <c r="F240" s="821"/>
      <c r="G240" s="821"/>
      <c r="H240" s="821"/>
      <c r="I240" s="821"/>
      <c r="J240" s="821"/>
      <c r="K240" s="821"/>
      <c r="L240" s="821"/>
      <c r="M240" s="821"/>
      <c r="N240" s="821"/>
      <c r="O240" s="821"/>
      <c r="P240" s="821"/>
    </row>
    <row r="241" spans="1:16" x14ac:dyDescent="0.2">
      <c r="A241" s="767" t="s">
        <v>290</v>
      </c>
      <c r="B241" s="762"/>
      <c r="C241" s="815"/>
      <c r="D241" s="815"/>
      <c r="E241" s="815"/>
      <c r="F241" s="815"/>
      <c r="G241" s="815"/>
      <c r="H241" s="815"/>
      <c r="I241" s="815"/>
      <c r="J241" s="815"/>
      <c r="K241" s="815"/>
      <c r="L241" s="815"/>
      <c r="M241" s="815"/>
      <c r="N241" s="815"/>
      <c r="O241" s="815"/>
      <c r="P241" s="815"/>
    </row>
    <row r="242" spans="1:16" x14ac:dyDescent="0.2">
      <c r="A242" s="782" t="s">
        <v>425</v>
      </c>
      <c r="B242" s="766" t="s">
        <v>96</v>
      </c>
      <c r="C242" s="818">
        <f t="shared" ref="C242:P242" si="53">SUM(C237,C232,C226)</f>
        <v>1056.6233203999998</v>
      </c>
      <c r="D242" s="818">
        <f t="shared" si="53"/>
        <v>1174.5677223333332</v>
      </c>
      <c r="E242" s="818">
        <f t="shared" si="53"/>
        <v>1174.5677223333332</v>
      </c>
      <c r="F242" s="818">
        <f t="shared" si="53"/>
        <v>1174.5677223333332</v>
      </c>
      <c r="G242" s="818">
        <f t="shared" si="53"/>
        <v>1174.5677223333332</v>
      </c>
      <c r="H242" s="818">
        <f t="shared" si="53"/>
        <v>1174.5677223333332</v>
      </c>
      <c r="I242" s="818">
        <f t="shared" si="53"/>
        <v>1174.5677223333332</v>
      </c>
      <c r="J242" s="818">
        <f t="shared" si="53"/>
        <v>1174.5677223333332</v>
      </c>
      <c r="K242" s="818">
        <f t="shared" si="53"/>
        <v>1174.5677223333332</v>
      </c>
      <c r="L242" s="818">
        <f t="shared" si="53"/>
        <v>1174.5677223333332</v>
      </c>
      <c r="M242" s="818">
        <f t="shared" si="53"/>
        <v>1174.5677223333332</v>
      </c>
      <c r="N242" s="818">
        <f t="shared" si="53"/>
        <v>1174.5677223333332</v>
      </c>
      <c r="O242" s="818">
        <f t="shared" si="53"/>
        <v>1174.5677223333332</v>
      </c>
      <c r="P242" s="818">
        <f t="shared" si="53"/>
        <v>1174.5677223333332</v>
      </c>
    </row>
    <row r="243" spans="1:16" x14ac:dyDescent="0.2">
      <c r="A243" s="782" t="s">
        <v>251</v>
      </c>
      <c r="B243" s="766" t="s">
        <v>96</v>
      </c>
      <c r="C243" s="818">
        <f t="shared" ref="C243:P243" si="54">SUM(C238,C233,C227)</f>
        <v>194.50277199999999</v>
      </c>
      <c r="D243" s="818">
        <f t="shared" si="54"/>
        <v>201.44272796666664</v>
      </c>
      <c r="E243" s="818">
        <f t="shared" si="54"/>
        <v>201.44272796666664</v>
      </c>
      <c r="F243" s="818">
        <f t="shared" si="54"/>
        <v>199.50142662099748</v>
      </c>
      <c r="G243" s="818">
        <f t="shared" si="54"/>
        <v>197.8829221790082</v>
      </c>
      <c r="H243" s="818">
        <f t="shared" si="54"/>
        <v>192.56549264046808</v>
      </c>
      <c r="I243" s="818">
        <f t="shared" si="54"/>
        <v>181.38037516976408</v>
      </c>
      <c r="J243" s="818">
        <f t="shared" si="54"/>
        <v>179.85758898882608</v>
      </c>
      <c r="K243" s="818">
        <f t="shared" si="54"/>
        <v>179.22403791103338</v>
      </c>
      <c r="L243" s="818">
        <f t="shared" si="54"/>
        <v>179.22403791103338</v>
      </c>
      <c r="M243" s="818">
        <f t="shared" si="54"/>
        <v>179.22403791103338</v>
      </c>
      <c r="N243" s="818">
        <f t="shared" si="54"/>
        <v>179.22403791103338</v>
      </c>
      <c r="O243" s="818">
        <f t="shared" si="54"/>
        <v>179.22403791103338</v>
      </c>
      <c r="P243" s="818">
        <f t="shared" si="54"/>
        <v>179.22403791103338</v>
      </c>
    </row>
    <row r="244" spans="1:16" x14ac:dyDescent="0.2">
      <c r="A244" s="783" t="s">
        <v>113</v>
      </c>
      <c r="B244" s="766" t="s">
        <v>15</v>
      </c>
      <c r="C244" s="851">
        <f t="shared" ref="C244:P244" si="55">SUM(C239,C234,C229)</f>
        <v>1597244.1134754077</v>
      </c>
      <c r="D244" s="851">
        <f t="shared" si="55"/>
        <v>1791658.0463581537</v>
      </c>
      <c r="E244" s="851">
        <f t="shared" si="55"/>
        <v>1815201.8925317738</v>
      </c>
      <c r="F244" s="851">
        <f t="shared" si="55"/>
        <v>1839387.3101803618</v>
      </c>
      <c r="G244" s="851">
        <f t="shared" si="55"/>
        <v>1864237.8844699082</v>
      </c>
      <c r="H244" s="851">
        <f t="shared" si="55"/>
        <v>1854875.1096189558</v>
      </c>
      <c r="I244" s="851">
        <f t="shared" si="55"/>
        <v>1889743.9627646164</v>
      </c>
      <c r="J244" s="851">
        <f t="shared" si="55"/>
        <v>1924680.1604642377</v>
      </c>
      <c r="K244" s="851">
        <f t="shared" si="55"/>
        <v>1951711.2987910958</v>
      </c>
      <c r="L244" s="851">
        <f t="shared" si="55"/>
        <v>1979510.770735878</v>
      </c>
      <c r="M244" s="851">
        <f t="shared" si="55"/>
        <v>2008107.1410429874</v>
      </c>
      <c r="N244" s="851">
        <f t="shared" si="55"/>
        <v>2037530.1018528212</v>
      </c>
      <c r="O244" s="851">
        <f t="shared" si="55"/>
        <v>2067810.5177260113</v>
      </c>
      <c r="P244" s="851">
        <f t="shared" si="55"/>
        <v>2098980.4724700311</v>
      </c>
    </row>
    <row r="245" spans="1:16" x14ac:dyDescent="0.2">
      <c r="A245" s="767"/>
      <c r="B245" s="762"/>
      <c r="C245" s="815"/>
      <c r="D245" s="815"/>
      <c r="E245" s="815"/>
      <c r="F245" s="815"/>
      <c r="G245" s="815"/>
      <c r="H245" s="815"/>
      <c r="I245" s="815"/>
      <c r="J245" s="815"/>
      <c r="K245" s="815"/>
      <c r="L245" s="815"/>
      <c r="M245" s="815"/>
      <c r="N245" s="815"/>
      <c r="O245" s="815"/>
      <c r="P245" s="815"/>
    </row>
    <row r="246" spans="1:16" x14ac:dyDescent="0.2">
      <c r="A246" s="850" t="s">
        <v>686</v>
      </c>
      <c r="B246" s="757"/>
      <c r="C246" s="815"/>
      <c r="D246" s="815"/>
      <c r="E246" s="815"/>
      <c r="F246" s="815"/>
      <c r="G246" s="815"/>
      <c r="H246" s="815"/>
      <c r="I246" s="815"/>
      <c r="J246" s="815"/>
      <c r="K246" s="815"/>
      <c r="L246" s="815"/>
      <c r="M246" s="815"/>
      <c r="N246" s="815"/>
      <c r="O246" s="815"/>
      <c r="P246" s="815"/>
    </row>
    <row r="247" spans="1:16" x14ac:dyDescent="0.2">
      <c r="A247" s="767" t="s">
        <v>282</v>
      </c>
      <c r="B247" s="762"/>
      <c r="C247" s="815"/>
      <c r="D247" s="815"/>
      <c r="E247" s="815"/>
      <c r="F247" s="815"/>
      <c r="G247" s="815"/>
      <c r="H247" s="815"/>
      <c r="I247" s="815"/>
      <c r="J247" s="815"/>
      <c r="K247" s="815"/>
      <c r="L247" s="815"/>
      <c r="M247" s="815"/>
      <c r="N247" s="815"/>
      <c r="O247" s="815"/>
      <c r="P247" s="815"/>
    </row>
    <row r="248" spans="1:16" x14ac:dyDescent="0.2">
      <c r="A248" s="782" t="s">
        <v>112</v>
      </c>
      <c r="B248" s="766" t="s">
        <v>16</v>
      </c>
      <c r="C248" s="838">
        <f t="shared" ref="C248:P248" si="56">C126</f>
        <v>307.62085999999999</v>
      </c>
      <c r="D248" s="838">
        <f t="shared" si="56"/>
        <v>338.65071333333333</v>
      </c>
      <c r="E248" s="838">
        <f t="shared" si="56"/>
        <v>338.65071333333333</v>
      </c>
      <c r="F248" s="838">
        <f t="shared" si="56"/>
        <v>328.55625995466858</v>
      </c>
      <c r="G248" s="838">
        <f t="shared" si="56"/>
        <v>326.57612225294775</v>
      </c>
      <c r="H248" s="838">
        <f t="shared" si="56"/>
        <v>322.66142057016623</v>
      </c>
      <c r="I248" s="838">
        <f t="shared" si="56"/>
        <v>319.73408281240842</v>
      </c>
      <c r="J248" s="838">
        <f t="shared" si="56"/>
        <v>317.31990323490049</v>
      </c>
      <c r="K248" s="838">
        <f t="shared" si="56"/>
        <v>325.26687070833248</v>
      </c>
      <c r="L248" s="838">
        <f t="shared" si="56"/>
        <v>333.2138381817644</v>
      </c>
      <c r="M248" s="838">
        <f t="shared" si="56"/>
        <v>333.86122986496019</v>
      </c>
      <c r="N248" s="838">
        <f t="shared" si="56"/>
        <v>334.50862154815587</v>
      </c>
      <c r="O248" s="838">
        <f t="shared" si="56"/>
        <v>335.15601323135166</v>
      </c>
      <c r="P248" s="838">
        <f t="shared" si="56"/>
        <v>335.8034049145474</v>
      </c>
    </row>
    <row r="249" spans="1:16" x14ac:dyDescent="0.2">
      <c r="A249" s="777" t="s">
        <v>113</v>
      </c>
      <c r="B249" s="766" t="s">
        <v>15</v>
      </c>
      <c r="C249" s="840">
        <f>+'ТЭЦ-1'!C140</f>
        <v>274214.16347215261</v>
      </c>
      <c r="D249" s="840">
        <f>+'ТЭЦ-1'!D140</f>
        <v>331059.70447724027</v>
      </c>
      <c r="E249" s="840">
        <f>+'ТЭЦ-1'!E140</f>
        <v>357544.48083541956</v>
      </c>
      <c r="F249" s="840">
        <f>+'ТЭЦ-1'!F140</f>
        <v>374637.7922349078</v>
      </c>
      <c r="G249" s="840">
        <f>+'ТЭЦ-1'!G140</f>
        <v>402170.32556528121</v>
      </c>
      <c r="H249" s="840">
        <f>+'ТЭЦ-1'!H140</f>
        <v>429137.42583468894</v>
      </c>
      <c r="I249" s="840">
        <f>+'ТЭЦ-1'!I140</f>
        <v>459263.61412484391</v>
      </c>
      <c r="J249" s="840">
        <f>+'ТЭЦ-1'!J140</f>
        <v>455795.90487045329</v>
      </c>
      <c r="K249" s="840">
        <f>+'ТЭЦ-1'!K140</f>
        <v>467210.86874004581</v>
      </c>
      <c r="L249" s="840">
        <f>+'ТЭЦ-1'!L140</f>
        <v>478625.83260963828</v>
      </c>
      <c r="M249" s="840">
        <f>+'ТЭЦ-1'!M140</f>
        <v>479555.74111849535</v>
      </c>
      <c r="N249" s="840">
        <f>+'ТЭЦ-1'!N140</f>
        <v>480485.64962735225</v>
      </c>
      <c r="O249" s="840">
        <f>+'ТЭЦ-1'!O140</f>
        <v>486229.7137175714</v>
      </c>
      <c r="P249" s="840">
        <f>+'ТЭЦ-1'!P140</f>
        <v>496912.29973774729</v>
      </c>
    </row>
    <row r="250" spans="1:16" x14ac:dyDescent="0.2">
      <c r="A250" s="762"/>
      <c r="B250" s="762"/>
      <c r="C250" s="815"/>
      <c r="D250" s="815"/>
      <c r="E250" s="815"/>
      <c r="F250" s="815"/>
      <c r="G250" s="815"/>
      <c r="H250" s="815"/>
      <c r="I250" s="815"/>
      <c r="J250" s="815"/>
      <c r="K250" s="815"/>
      <c r="L250" s="815"/>
      <c r="M250" s="815"/>
      <c r="N250" s="815"/>
      <c r="O250" s="815"/>
      <c r="P250" s="815"/>
    </row>
    <row r="251" spans="1:16" x14ac:dyDescent="0.2">
      <c r="A251" s="767" t="s">
        <v>285</v>
      </c>
      <c r="B251" s="762"/>
      <c r="C251" s="815"/>
      <c r="D251" s="815"/>
      <c r="E251" s="815"/>
      <c r="F251" s="815"/>
      <c r="G251" s="815"/>
      <c r="H251" s="815"/>
      <c r="I251" s="815"/>
      <c r="J251" s="815"/>
      <c r="K251" s="815"/>
      <c r="L251" s="815"/>
      <c r="M251" s="815"/>
      <c r="N251" s="815"/>
      <c r="O251" s="815"/>
      <c r="P251" s="815"/>
    </row>
    <row r="252" spans="1:16" x14ac:dyDescent="0.2">
      <c r="A252" s="782" t="s">
        <v>112</v>
      </c>
      <c r="B252" s="766" t="s">
        <v>16</v>
      </c>
      <c r="C252" s="838">
        <f t="shared" ref="C252:P252" si="57">C135</f>
        <v>1350.52369</v>
      </c>
      <c r="D252" s="838">
        <f t="shared" si="57"/>
        <v>1296.1782333333335</v>
      </c>
      <c r="E252" s="838">
        <f t="shared" si="57"/>
        <v>1320.6604245777182</v>
      </c>
      <c r="F252" s="838">
        <f t="shared" si="57"/>
        <v>1285.1990916211132</v>
      </c>
      <c r="G252" s="838">
        <f t="shared" si="57"/>
        <v>1264.0226562127648</v>
      </c>
      <c r="H252" s="838">
        <f t="shared" si="57"/>
        <v>1249.0028686013445</v>
      </c>
      <c r="I252" s="838">
        <f t="shared" si="57"/>
        <v>1237.7693275139916</v>
      </c>
      <c r="J252" s="838">
        <f t="shared" si="57"/>
        <v>1228.503595181877</v>
      </c>
      <c r="K252" s="838">
        <f t="shared" si="57"/>
        <v>1258.9697752811708</v>
      </c>
      <c r="L252" s="838">
        <f t="shared" si="57"/>
        <v>1289.4359553804645</v>
      </c>
      <c r="M252" s="838">
        <f t="shared" si="57"/>
        <v>1314.0116464507073</v>
      </c>
      <c r="N252" s="838">
        <f t="shared" si="57"/>
        <v>1338.5873375209501</v>
      </c>
      <c r="O252" s="838">
        <f t="shared" si="57"/>
        <v>1363.1630285911929</v>
      </c>
      <c r="P252" s="838">
        <f t="shared" si="57"/>
        <v>1387.7387196614357</v>
      </c>
    </row>
    <row r="253" spans="1:16" x14ac:dyDescent="0.2">
      <c r="A253" s="777" t="s">
        <v>113</v>
      </c>
      <c r="B253" s="766" t="s">
        <v>15</v>
      </c>
      <c r="C253" s="840">
        <f>+'ТЭЦ-3'!C138</f>
        <v>1203860.8952028635</v>
      </c>
      <c r="D253" s="840">
        <f>+'ТЭЦ-3'!D138</f>
        <v>1267123.8121822297</v>
      </c>
      <c r="E253" s="840">
        <f>+'ТЭЦ-3'!E138</f>
        <v>1394341.8019637964</v>
      </c>
      <c r="F253" s="840">
        <f>+'ТЭЦ-3'!F138</f>
        <v>1465454.1975053952</v>
      </c>
      <c r="G253" s="840">
        <f>+'ТЭЦ-3'!G138</f>
        <v>1556612.2828087155</v>
      </c>
      <c r="H253" s="840">
        <f>+'ТЭЦ-3'!H138</f>
        <v>1661165.0532765368</v>
      </c>
      <c r="I253" s="840">
        <f>+'ТЭЦ-3'!I138</f>
        <v>1777922.4842303616</v>
      </c>
      <c r="J253" s="840">
        <f>+'ТЭЦ-3'!J138</f>
        <v>1764613.2565092212</v>
      </c>
      <c r="K253" s="840">
        <f>+'ТЭЦ-3'!K138</f>
        <v>1808374.6467804902</v>
      </c>
      <c r="L253" s="840">
        <f>+'ТЭЦ-3'!L138</f>
        <v>1852136.037051759</v>
      </c>
      <c r="M253" s="840">
        <f>+'ТЭЦ-3'!M138</f>
        <v>1887436.3735102823</v>
      </c>
      <c r="N253" s="840">
        <f>+'ТЭЦ-3'!N138</f>
        <v>1922736.7099688055</v>
      </c>
      <c r="O253" s="840">
        <f>+'ТЭЦ-3'!O138</f>
        <v>1977617.4168916021</v>
      </c>
      <c r="P253" s="840">
        <f>+'ТЭЦ-3'!P138</f>
        <v>2053536.1718490049</v>
      </c>
    </row>
    <row r="254" spans="1:16" x14ac:dyDescent="0.2">
      <c r="A254" s="762"/>
      <c r="B254" s="762"/>
      <c r="C254" s="815"/>
      <c r="D254" s="815"/>
      <c r="E254" s="815"/>
      <c r="F254" s="815"/>
      <c r="G254" s="815"/>
      <c r="H254" s="815"/>
      <c r="I254" s="815"/>
      <c r="J254" s="815"/>
      <c r="K254" s="815"/>
      <c r="L254" s="815"/>
      <c r="M254" s="815"/>
      <c r="N254" s="815"/>
      <c r="O254" s="815"/>
      <c r="P254" s="815"/>
    </row>
    <row r="255" spans="1:16" x14ac:dyDescent="0.2">
      <c r="A255" s="767" t="s">
        <v>286</v>
      </c>
      <c r="B255" s="762"/>
      <c r="C255" s="815"/>
      <c r="D255" s="815"/>
      <c r="E255" s="815"/>
      <c r="F255" s="815"/>
      <c r="G255" s="815"/>
      <c r="H255" s="815"/>
      <c r="I255" s="815"/>
      <c r="J255" s="815"/>
      <c r="K255" s="815"/>
      <c r="L255" s="815"/>
      <c r="M255" s="815"/>
      <c r="N255" s="815"/>
      <c r="O255" s="815"/>
      <c r="P255" s="815"/>
    </row>
    <row r="256" spans="1:16" x14ac:dyDescent="0.2">
      <c r="A256" s="782" t="s">
        <v>112</v>
      </c>
      <c r="B256" s="766" t="s">
        <v>16</v>
      </c>
      <c r="C256" s="838">
        <f t="shared" ref="C256:P256" si="58">C144</f>
        <v>1161.402</v>
      </c>
      <c r="D256" s="838">
        <f t="shared" si="58"/>
        <v>1030.1073952596819</v>
      </c>
      <c r="E256" s="838">
        <f t="shared" si="58"/>
        <v>1090.9306666666666</v>
      </c>
      <c r="F256" s="838">
        <f t="shared" si="58"/>
        <v>1058.38029208068</v>
      </c>
      <c r="G256" s="838">
        <f t="shared" si="58"/>
        <v>1020.5862219264033</v>
      </c>
      <c r="H256" s="838">
        <f t="shared" si="58"/>
        <v>1014.193239241445</v>
      </c>
      <c r="I256" s="838">
        <f t="shared" si="58"/>
        <v>1011.0434459004498</v>
      </c>
      <c r="J256" s="838">
        <f t="shared" si="58"/>
        <v>1009.5483722715991</v>
      </c>
      <c r="K256" s="838">
        <f t="shared" si="58"/>
        <v>1041.4636483662312</v>
      </c>
      <c r="L256" s="838">
        <f t="shared" si="58"/>
        <v>1073.3789244608631</v>
      </c>
      <c r="M256" s="838">
        <f t="shared" si="58"/>
        <v>1076.9521058276046</v>
      </c>
      <c r="N256" s="838">
        <f t="shared" si="58"/>
        <v>1080.525287194346</v>
      </c>
      <c r="O256" s="838">
        <f t="shared" si="58"/>
        <v>1084.0984685610874</v>
      </c>
      <c r="P256" s="838">
        <f t="shared" si="58"/>
        <v>1087.6716499278289</v>
      </c>
    </row>
    <row r="257" spans="1:16" x14ac:dyDescent="0.2">
      <c r="A257" s="777" t="s">
        <v>113</v>
      </c>
      <c r="B257" s="766" t="s">
        <v>15</v>
      </c>
      <c r="C257" s="840">
        <f>+'ТЭЦ-4'!C144</f>
        <v>1035277.2496796382</v>
      </c>
      <c r="D257" s="840">
        <f>+'ТЭЦ-4'!D144</f>
        <v>1007017.0722446336</v>
      </c>
      <c r="E257" s="840">
        <f>+'ТЭЦ-4'!E144</f>
        <v>1151795.1195243453</v>
      </c>
      <c r="F257" s="840">
        <f>+'ТЭЦ-4'!F144</f>
        <v>1206823.0141916936</v>
      </c>
      <c r="G257" s="840">
        <f>+'ТЭЦ-4'!G144</f>
        <v>1256826.4033145404</v>
      </c>
      <c r="H257" s="840">
        <f>+'ТЭЦ-4'!H144</f>
        <v>1348869.893456548</v>
      </c>
      <c r="I257" s="840">
        <f>+'ТЭЦ-4'!I144</f>
        <v>1452255.1456420976</v>
      </c>
      <c r="J257" s="840">
        <f>+'ТЭЦ-4'!J144</f>
        <v>1450107.6332088623</v>
      </c>
      <c r="K257" s="840">
        <f>+'ТЭЦ-4'!K144</f>
        <v>1495950.4939889333</v>
      </c>
      <c r="L257" s="840">
        <f>+'ТЭЦ-4'!L144</f>
        <v>1541793.3547690043</v>
      </c>
      <c r="M257" s="840">
        <f>+'ТЭЦ-4'!M144</f>
        <v>1546925.845412412</v>
      </c>
      <c r="N257" s="840">
        <f>+'ТЭЦ-4'!N144</f>
        <v>1552058.3360558196</v>
      </c>
      <c r="O257" s="840">
        <f>+'ТЭЦ-4'!O144</f>
        <v>1572762.7349662196</v>
      </c>
      <c r="P257" s="840">
        <f>+'ТЭЦ-4'!P144</f>
        <v>1609505.4815263825</v>
      </c>
    </row>
    <row r="258" spans="1:16" x14ac:dyDescent="0.2">
      <c r="A258" s="762"/>
      <c r="B258" s="762"/>
      <c r="C258" s="815"/>
      <c r="D258" s="815"/>
      <c r="E258" s="815"/>
      <c r="F258" s="815"/>
      <c r="G258" s="815"/>
      <c r="H258" s="815"/>
      <c r="I258" s="815"/>
      <c r="J258" s="815"/>
      <c r="K258" s="815"/>
      <c r="L258" s="815"/>
      <c r="M258" s="815"/>
      <c r="N258" s="815"/>
      <c r="O258" s="815"/>
      <c r="P258" s="815"/>
    </row>
    <row r="259" spans="1:16" x14ac:dyDescent="0.2">
      <c r="A259" s="767" t="s">
        <v>287</v>
      </c>
      <c r="B259" s="762"/>
      <c r="C259" s="815"/>
      <c r="D259" s="815"/>
      <c r="E259" s="815"/>
      <c r="F259" s="815"/>
      <c r="G259" s="815"/>
      <c r="H259" s="815"/>
      <c r="I259" s="815"/>
      <c r="J259" s="815"/>
      <c r="K259" s="815"/>
      <c r="L259" s="815"/>
      <c r="M259" s="815"/>
      <c r="N259" s="815"/>
      <c r="O259" s="815"/>
      <c r="P259" s="815"/>
    </row>
    <row r="260" spans="1:16" x14ac:dyDescent="0.2">
      <c r="A260" s="782" t="s">
        <v>112</v>
      </c>
      <c r="B260" s="766" t="s">
        <v>16</v>
      </c>
      <c r="C260" s="818">
        <f>C153</f>
        <v>706.76548389899972</v>
      </c>
      <c r="D260" s="818">
        <f t="shared" ref="D260:P260" si="59">D153</f>
        <v>939.84904391205055</v>
      </c>
      <c r="E260" s="818">
        <f t="shared" si="59"/>
        <v>898.04745862306629</v>
      </c>
      <c r="F260" s="818">
        <f t="shared" si="59"/>
        <v>879.15693585687347</v>
      </c>
      <c r="G260" s="818">
        <f t="shared" si="59"/>
        <v>865.98185228194654</v>
      </c>
      <c r="H260" s="818">
        <f t="shared" si="59"/>
        <v>846.89554947103113</v>
      </c>
      <c r="I260" s="818">
        <f t="shared" si="59"/>
        <v>829.64150703061989</v>
      </c>
      <c r="J260" s="818">
        <f t="shared" si="59"/>
        <v>813.33250157716213</v>
      </c>
      <c r="K260" s="818">
        <f t="shared" si="59"/>
        <v>816.39801879532627</v>
      </c>
      <c r="L260" s="818">
        <f t="shared" si="59"/>
        <v>820.6197107176157</v>
      </c>
      <c r="M260" s="818">
        <f t="shared" si="59"/>
        <v>824.67715973801353</v>
      </c>
      <c r="N260" s="818">
        <f t="shared" si="59"/>
        <v>828.70912650630328</v>
      </c>
      <c r="O260" s="818">
        <f t="shared" si="59"/>
        <v>832.71632887384033</v>
      </c>
      <c r="P260" s="818">
        <f t="shared" si="59"/>
        <v>836.69945708667649</v>
      </c>
    </row>
    <row r="261" spans="1:16" x14ac:dyDescent="0.2">
      <c r="A261" s="777" t="s">
        <v>113</v>
      </c>
      <c r="B261" s="766" t="s">
        <v>15</v>
      </c>
      <c r="C261" s="840">
        <f>+Кот.!C262</f>
        <v>630012.88644195115</v>
      </c>
      <c r="D261" s="840">
        <f>+Кот.!D262</f>
        <v>918781.90265165525</v>
      </c>
      <c r="E261" s="840">
        <f>+Кот.!E262</f>
        <v>948150.70430075226</v>
      </c>
      <c r="F261" s="840">
        <f>+Кот.!F262</f>
        <v>1002462.7548501695</v>
      </c>
      <c r="G261" s="840">
        <f>+Кот.!G262</f>
        <v>1066434.9893777701</v>
      </c>
      <c r="H261" s="840">
        <f>+Кот.!H262</f>
        <v>1126365.139683069</v>
      </c>
      <c r="I261" s="840">
        <f>+Кот.!I262</f>
        <v>1191690.7750194892</v>
      </c>
      <c r="J261" s="840">
        <f>+Кот.!J262</f>
        <v>1168264.6431493647</v>
      </c>
      <c r="K261" s="840">
        <f>+Кот.!K262</f>
        <v>1172667.9288560124</v>
      </c>
      <c r="L261" s="840">
        <f>+Кот.!L262</f>
        <v>1178731.9351480471</v>
      </c>
      <c r="M261" s="840">
        <f>+Кот.!M262</f>
        <v>1184560.0241801708</v>
      </c>
      <c r="N261" s="840">
        <f>+Кот.!N262</f>
        <v>1190351.51069843</v>
      </c>
      <c r="O261" s="840">
        <f>+Кот.!O262</f>
        <v>1208068.5000772632</v>
      </c>
      <c r="P261" s="840">
        <f>+Кот.!P262</f>
        <v>1238123.9895886879</v>
      </c>
    </row>
    <row r="262" spans="1:16" x14ac:dyDescent="0.2">
      <c r="A262" s="762"/>
      <c r="B262" s="762"/>
      <c r="C262" s="815"/>
      <c r="D262" s="815"/>
      <c r="E262" s="815"/>
      <c r="F262" s="815"/>
      <c r="G262" s="815"/>
      <c r="H262" s="815"/>
      <c r="I262" s="815"/>
      <c r="J262" s="815"/>
      <c r="K262" s="815"/>
      <c r="L262" s="815"/>
      <c r="M262" s="815"/>
      <c r="N262" s="815"/>
      <c r="O262" s="815"/>
      <c r="P262" s="815"/>
    </row>
    <row r="263" spans="1:16" x14ac:dyDescent="0.2">
      <c r="A263" s="767" t="s">
        <v>685</v>
      </c>
      <c r="B263" s="762"/>
      <c r="C263" s="815"/>
      <c r="D263" s="815"/>
      <c r="E263" s="815"/>
      <c r="F263" s="815"/>
      <c r="G263" s="815"/>
      <c r="H263" s="815"/>
      <c r="I263" s="815"/>
      <c r="J263" s="815"/>
      <c r="K263" s="815"/>
      <c r="L263" s="815"/>
      <c r="M263" s="815"/>
      <c r="N263" s="815"/>
      <c r="O263" s="815"/>
      <c r="P263" s="815"/>
    </row>
    <row r="264" spans="1:16" x14ac:dyDescent="0.2">
      <c r="A264" s="782" t="s">
        <v>112</v>
      </c>
      <c r="B264" s="766" t="s">
        <v>16</v>
      </c>
      <c r="C264" s="838">
        <f>+C248+C252+C255+C260</f>
        <v>2364.9100338989997</v>
      </c>
      <c r="D264" s="838">
        <f t="shared" ref="D264:P264" si="60">+D248+D252+D255+D260</f>
        <v>2574.6779905787175</v>
      </c>
      <c r="E264" s="838">
        <f t="shared" si="60"/>
        <v>2557.3585965341176</v>
      </c>
      <c r="F264" s="838">
        <f t="shared" si="60"/>
        <v>2492.9122874326554</v>
      </c>
      <c r="G264" s="838">
        <f t="shared" si="60"/>
        <v>2456.5806307476591</v>
      </c>
      <c r="H264" s="838">
        <f t="shared" si="60"/>
        <v>2418.5598386425418</v>
      </c>
      <c r="I264" s="838">
        <f t="shared" si="60"/>
        <v>2387.1449173570199</v>
      </c>
      <c r="J264" s="838">
        <f t="shared" si="60"/>
        <v>2359.1559999939395</v>
      </c>
      <c r="K264" s="838">
        <f t="shared" si="60"/>
        <v>2400.6346647848295</v>
      </c>
      <c r="L264" s="838">
        <f t="shared" si="60"/>
        <v>2443.2695042798446</v>
      </c>
      <c r="M264" s="838">
        <f t="shared" si="60"/>
        <v>2472.5500360536812</v>
      </c>
      <c r="N264" s="838">
        <f t="shared" si="60"/>
        <v>2501.8050855754091</v>
      </c>
      <c r="O264" s="838">
        <f t="shared" si="60"/>
        <v>2531.0353706963847</v>
      </c>
      <c r="P264" s="838">
        <f t="shared" si="60"/>
        <v>2560.2415816626594</v>
      </c>
    </row>
    <row r="265" spans="1:16" x14ac:dyDescent="0.2">
      <c r="A265" s="777" t="s">
        <v>113</v>
      </c>
      <c r="B265" s="766" t="s">
        <v>89</v>
      </c>
      <c r="C265" s="841">
        <f>+C249+C253+C257+C261</f>
        <v>3143365.1947966055</v>
      </c>
      <c r="D265" s="841">
        <f t="shared" ref="D265:P265" si="61">+D249+D253+D257+D261</f>
        <v>3523982.4915557588</v>
      </c>
      <c r="E265" s="841">
        <f t="shared" si="61"/>
        <v>3851832.1066243136</v>
      </c>
      <c r="F265" s="841">
        <f t="shared" si="61"/>
        <v>4049377.7587821661</v>
      </c>
      <c r="G265" s="841">
        <f t="shared" si="61"/>
        <v>4282044.0010663066</v>
      </c>
      <c r="H265" s="841">
        <f t="shared" si="61"/>
        <v>4565537.5122508425</v>
      </c>
      <c r="I265" s="841">
        <f t="shared" si="61"/>
        <v>4881132.019016793</v>
      </c>
      <c r="J265" s="841">
        <f t="shared" si="61"/>
        <v>4838781.4377379017</v>
      </c>
      <c r="K265" s="841">
        <f t="shared" si="61"/>
        <v>4944203.9383654818</v>
      </c>
      <c r="L265" s="841">
        <f t="shared" si="61"/>
        <v>5051287.1595784491</v>
      </c>
      <c r="M265" s="841">
        <f t="shared" si="61"/>
        <v>5098477.9842213606</v>
      </c>
      <c r="N265" s="841">
        <f t="shared" si="61"/>
        <v>5145632.2063504076</v>
      </c>
      <c r="O265" s="841">
        <f t="shared" si="61"/>
        <v>5244678.3656526562</v>
      </c>
      <c r="P265" s="841">
        <f t="shared" si="61"/>
        <v>5398077.9427018231</v>
      </c>
    </row>
    <row r="266" spans="1:16" x14ac:dyDescent="0.2">
      <c r="A266" s="762"/>
      <c r="B266" s="762"/>
      <c r="C266" s="815"/>
      <c r="D266" s="815"/>
      <c r="E266" s="815"/>
      <c r="F266" s="815"/>
      <c r="G266" s="815"/>
      <c r="H266" s="815"/>
      <c r="I266" s="815"/>
      <c r="J266" s="815"/>
      <c r="K266" s="815"/>
      <c r="L266" s="815"/>
      <c r="M266" s="815"/>
      <c r="N266" s="815"/>
      <c r="O266" s="815"/>
      <c r="P266" s="815"/>
    </row>
    <row r="267" spans="1:16" ht="12" x14ac:dyDescent="0.2">
      <c r="A267" s="852" t="s">
        <v>681</v>
      </c>
      <c r="B267" s="762"/>
      <c r="C267" s="815"/>
      <c r="D267" s="815"/>
      <c r="E267" s="815"/>
      <c r="F267" s="815"/>
      <c r="G267" s="815"/>
      <c r="H267" s="815"/>
      <c r="I267" s="815"/>
      <c r="J267" s="815"/>
      <c r="K267" s="815"/>
      <c r="L267" s="815"/>
      <c r="M267" s="815"/>
      <c r="N267" s="815"/>
      <c r="O267" s="815"/>
      <c r="P267" s="815"/>
    </row>
    <row r="268" spans="1:16" x14ac:dyDescent="0.2">
      <c r="A268" s="843" t="s">
        <v>151</v>
      </c>
      <c r="B268" s="762"/>
      <c r="C268" s="815"/>
      <c r="D268" s="815"/>
      <c r="E268" s="815"/>
      <c r="F268" s="815"/>
      <c r="G268" s="815"/>
      <c r="H268" s="815"/>
      <c r="I268" s="815"/>
      <c r="J268" s="815"/>
      <c r="K268" s="815"/>
      <c r="L268" s="815"/>
      <c r="M268" s="815"/>
      <c r="N268" s="815"/>
      <c r="O268" s="815"/>
      <c r="P268" s="815"/>
    </row>
    <row r="269" spans="1:16" x14ac:dyDescent="0.2">
      <c r="A269" s="769" t="s">
        <v>269</v>
      </c>
      <c r="B269" s="766" t="s">
        <v>15</v>
      </c>
      <c r="C269" s="815"/>
      <c r="D269" s="815"/>
      <c r="E269" s="815"/>
      <c r="F269" s="815"/>
      <c r="G269" s="815"/>
      <c r="H269" s="815"/>
      <c r="I269" s="815"/>
      <c r="J269" s="815"/>
      <c r="K269" s="815"/>
      <c r="L269" s="815"/>
      <c r="M269" s="815"/>
      <c r="N269" s="815"/>
      <c r="O269" s="815"/>
      <c r="P269" s="815"/>
    </row>
    <row r="270" spans="1:16" x14ac:dyDescent="0.2">
      <c r="A270" s="854" t="s">
        <v>503</v>
      </c>
      <c r="B270" s="766" t="s">
        <v>15</v>
      </c>
      <c r="C270" s="857">
        <f>+'ТЭЦ-1'!C142</f>
        <v>912.03534999999988</v>
      </c>
      <c r="D270" s="857">
        <f>+'ТЭЦ-1'!D142</f>
        <v>948.51676399999985</v>
      </c>
      <c r="E270" s="857">
        <f>+'ТЭЦ-1'!E142</f>
        <v>986.45743455999991</v>
      </c>
      <c r="F270" s="857">
        <f>+'ТЭЦ-1'!F142</f>
        <v>1025.9157319424</v>
      </c>
      <c r="G270" s="857">
        <f>+'ТЭЦ-1'!G142</f>
        <v>1066.952361220096</v>
      </c>
      <c r="H270" s="857">
        <f>+'ТЭЦ-1'!H142</f>
        <v>1109.6304556688999</v>
      </c>
      <c r="I270" s="857">
        <f>+'ТЭЦ-1'!I142</f>
        <v>1154.0156738956559</v>
      </c>
      <c r="J270" s="857">
        <f>+'ТЭЦ-1'!J142</f>
        <v>1200.1763008514822</v>
      </c>
      <c r="K270" s="857">
        <f>+'ТЭЦ-1'!K142</f>
        <v>1248.1833528855416</v>
      </c>
      <c r="L270" s="857">
        <f>+'ТЭЦ-1'!L142</f>
        <v>1298.1106870009633</v>
      </c>
      <c r="M270" s="857">
        <f>+'ТЭЦ-1'!M142</f>
        <v>1350.0351144810018</v>
      </c>
      <c r="N270" s="857">
        <f>+'ТЭЦ-1'!N142</f>
        <v>1404.036519060242</v>
      </c>
      <c r="O270" s="857">
        <f>+'ТЭЦ-1'!O142</f>
        <v>1460.1979798226516</v>
      </c>
      <c r="P270" s="857">
        <f>+'ТЭЦ-1'!P142</f>
        <v>1518.6058990155577</v>
      </c>
    </row>
    <row r="271" spans="1:16" x14ac:dyDescent="0.2">
      <c r="A271" s="854"/>
      <c r="B271" s="766"/>
      <c r="C271" s="821"/>
      <c r="D271" s="821"/>
      <c r="E271" s="821"/>
      <c r="F271" s="821"/>
      <c r="G271" s="821"/>
      <c r="H271" s="821"/>
      <c r="I271" s="821"/>
      <c r="J271" s="821"/>
      <c r="K271" s="821"/>
      <c r="L271" s="821"/>
      <c r="M271" s="821"/>
      <c r="N271" s="821"/>
      <c r="O271" s="821"/>
      <c r="P271" s="821"/>
    </row>
    <row r="272" spans="1:16" x14ac:dyDescent="0.2">
      <c r="A272" s="843" t="s">
        <v>682</v>
      </c>
      <c r="B272" s="762"/>
      <c r="C272" s="815"/>
      <c r="D272" s="815"/>
      <c r="E272" s="815"/>
      <c r="F272" s="815"/>
      <c r="G272" s="815"/>
      <c r="H272" s="815"/>
      <c r="I272" s="815"/>
      <c r="J272" s="815"/>
      <c r="K272" s="815"/>
      <c r="L272" s="815"/>
      <c r="M272" s="815"/>
      <c r="N272" s="815"/>
      <c r="O272" s="815"/>
      <c r="P272" s="815"/>
    </row>
    <row r="273" spans="1:17" s="748" customFormat="1" x14ac:dyDescent="0.2">
      <c r="A273" s="769" t="s">
        <v>269</v>
      </c>
      <c r="B273" s="766" t="s">
        <v>15</v>
      </c>
      <c r="C273" s="860">
        <f>+'ТЭЦ-3'!C139</f>
        <v>53708.134716388529</v>
      </c>
      <c r="D273" s="860">
        <f>+'ТЭЦ-3'!D139</f>
        <v>54806.46387929999</v>
      </c>
      <c r="E273" s="860">
        <f>+'ТЭЦ-3'!E139</f>
        <v>56998.722434471994</v>
      </c>
      <c r="F273" s="860">
        <f>+'ТЭЦ-3'!F139</f>
        <v>52076.803256437721</v>
      </c>
      <c r="G273" s="860">
        <f>+'ТЭЦ-3'!G139</f>
        <v>41711.057729189873</v>
      </c>
      <c r="H273" s="860">
        <f>+'ТЭЦ-3'!H139</f>
        <v>29536.046468542929</v>
      </c>
      <c r="I273" s="860">
        <f>+'ТЭЦ-3'!I139</f>
        <v>22325.498682481681</v>
      </c>
      <c r="J273" s="860">
        <f>+'ТЭЦ-3'!J139</f>
        <v>7200.5449265169409</v>
      </c>
      <c r="K273" s="860">
        <f>+'ТЭЦ-3'!K139</f>
        <v>0</v>
      </c>
      <c r="L273" s="860">
        <f>+'ТЭЦ-3'!L139</f>
        <v>0</v>
      </c>
      <c r="M273" s="860">
        <f>+'ТЭЦ-3'!M139</f>
        <v>0</v>
      </c>
      <c r="N273" s="860">
        <f>+'ТЭЦ-3'!N139</f>
        <v>0</v>
      </c>
      <c r="O273" s="860">
        <f>+'ТЭЦ-3'!O139</f>
        <v>0</v>
      </c>
      <c r="P273" s="860">
        <f>+'ТЭЦ-3'!P139</f>
        <v>0</v>
      </c>
    </row>
    <row r="274" spans="1:17" x14ac:dyDescent="0.2">
      <c r="A274" s="854" t="s">
        <v>503</v>
      </c>
      <c r="B274" s="766" t="s">
        <v>15</v>
      </c>
      <c r="C274" s="860">
        <f>+'ТЭЦ-3'!C140</f>
        <v>7353.0932499999999</v>
      </c>
      <c r="D274" s="860">
        <f>+'ТЭЦ-3'!D140</f>
        <v>7647.2169800000001</v>
      </c>
      <c r="E274" s="860">
        <f>+'ТЭЦ-3'!E140</f>
        <v>7953.1056592000004</v>
      </c>
      <c r="F274" s="860">
        <f>+'ТЭЦ-3'!F140</f>
        <v>8271.2298855680001</v>
      </c>
      <c r="G274" s="860">
        <f>+'ТЭЦ-3'!G140</f>
        <v>8602.0790809907212</v>
      </c>
      <c r="H274" s="860">
        <f>+'ТЭЦ-3'!H140</f>
        <v>8946.1622442303506</v>
      </c>
      <c r="I274" s="860">
        <f>+'ТЭЦ-3'!I140</f>
        <v>9304.0087339995644</v>
      </c>
      <c r="J274" s="860">
        <f>+'ТЭЦ-3'!J140</f>
        <v>9676.1690833595476</v>
      </c>
      <c r="K274" s="860">
        <f>+'ТЭЦ-3'!K140</f>
        <v>10063.215846693929</v>
      </c>
      <c r="L274" s="860">
        <f>+'ТЭЦ-3'!L140</f>
        <v>10465.744480561687</v>
      </c>
      <c r="M274" s="860">
        <f>+'ТЭЦ-3'!M140</f>
        <v>10884.374259784156</v>
      </c>
      <c r="N274" s="860">
        <f>+'ТЭЦ-3'!N140</f>
        <v>11319.749230175523</v>
      </c>
      <c r="O274" s="860">
        <f>+'ТЭЦ-3'!O140</f>
        <v>11772.539199382543</v>
      </c>
      <c r="P274" s="860">
        <f>+'ТЭЦ-3'!P140</f>
        <v>12243.440767357846</v>
      </c>
    </row>
    <row r="275" spans="1:17" x14ac:dyDescent="0.2">
      <c r="A275" s="854"/>
      <c r="B275" s="766"/>
      <c r="C275" s="815"/>
      <c r="D275" s="815"/>
      <c r="E275" s="815"/>
      <c r="F275" s="815"/>
      <c r="G275" s="815"/>
      <c r="H275" s="815"/>
      <c r="I275" s="815"/>
      <c r="J275" s="815"/>
      <c r="K275" s="815"/>
      <c r="L275" s="815"/>
      <c r="M275" s="815"/>
      <c r="N275" s="815"/>
      <c r="O275" s="815"/>
      <c r="P275" s="815"/>
    </row>
    <row r="276" spans="1:17" x14ac:dyDescent="0.2">
      <c r="A276" s="843" t="s">
        <v>683</v>
      </c>
      <c r="B276" s="762"/>
      <c r="C276" s="815"/>
      <c r="D276" s="815"/>
      <c r="E276" s="815"/>
      <c r="F276" s="815"/>
      <c r="G276" s="815"/>
      <c r="H276" s="815"/>
      <c r="I276" s="815"/>
      <c r="J276" s="815"/>
      <c r="K276" s="815"/>
      <c r="L276" s="815"/>
      <c r="M276" s="815"/>
      <c r="N276" s="815"/>
      <c r="O276" s="815"/>
      <c r="P276" s="815"/>
    </row>
    <row r="277" spans="1:17" x14ac:dyDescent="0.2">
      <c r="A277" s="769" t="s">
        <v>269</v>
      </c>
      <c r="B277" s="766" t="s">
        <v>15</v>
      </c>
      <c r="C277" s="857">
        <f>+'ТЭЦ-4'!C145</f>
        <v>127742.27098550723</v>
      </c>
      <c r="D277" s="857">
        <f>+'ТЭЦ-4'!D145</f>
        <v>130354.5952135</v>
      </c>
      <c r="E277" s="857">
        <f>+'ТЭЦ-4'!E145</f>
        <v>135568.77902204002</v>
      </c>
      <c r="F277" s="857">
        <f>+'ТЭЦ-4'!F145</f>
        <v>123862.22587642563</v>
      </c>
      <c r="G277" s="857">
        <f>+'ТЭЦ-4'!G145</f>
        <v>106297.65296239968</v>
      </c>
      <c r="H277" s="857">
        <f>+'ТЭЦ-4'!H145</f>
        <v>88683.869186944808</v>
      </c>
      <c r="I277" s="857">
        <f>+'ТЭЦ-4'!I145</f>
        <v>72271.271500760573</v>
      </c>
      <c r="J277" s="857">
        <f>+'ТЭЦ-4'!J145</f>
        <v>56068.983612510761</v>
      </c>
      <c r="K277" s="857">
        <f>+'ТЭЦ-4'!K145</f>
        <v>65799.424784107701</v>
      </c>
      <c r="L277" s="857">
        <f>+'ТЭЦ-4'!L145</f>
        <v>68431.401775472012</v>
      </c>
      <c r="M277" s="857">
        <f>+'ТЭЦ-4'!M145</f>
        <v>71168.657846490896</v>
      </c>
      <c r="N277" s="857">
        <f>+'ТЭЦ-4'!N145</f>
        <v>74015.404160350532</v>
      </c>
      <c r="O277" s="857">
        <f>+'ТЭЦ-4'!O145</f>
        <v>76976.020326764556</v>
      </c>
      <c r="P277" s="857">
        <f>+'ТЭЦ-4'!P145</f>
        <v>80055.061139835147</v>
      </c>
    </row>
    <row r="278" spans="1:17" x14ac:dyDescent="0.2">
      <c r="A278" s="854" t="s">
        <v>503</v>
      </c>
      <c r="B278" s="766" t="s">
        <v>15</v>
      </c>
      <c r="C278" s="857">
        <f>+'ТЭЦ-4'!C146</f>
        <v>6742.8328000000001</v>
      </c>
      <c r="D278" s="857">
        <f>+'ТЭЦ-4'!D146</f>
        <v>7012.546112</v>
      </c>
      <c r="E278" s="857">
        <f>+'ТЭЦ-4'!E146</f>
        <v>7293.0479564799998</v>
      </c>
      <c r="F278" s="857">
        <f>+'ТЭЦ-4'!F146</f>
        <v>7584.7698747391996</v>
      </c>
      <c r="G278" s="857">
        <f>+'ТЭЦ-4'!G146</f>
        <v>7888.160669728768</v>
      </c>
      <c r="H278" s="857">
        <f>+'ТЭЦ-4'!H146</f>
        <v>8203.6870965179187</v>
      </c>
      <c r="I278" s="857">
        <f>+'ТЭЦ-4'!I146</f>
        <v>8531.834580378636</v>
      </c>
      <c r="J278" s="857">
        <f>+'ТЭЦ-4'!J146</f>
        <v>8873.1079635937822</v>
      </c>
      <c r="K278" s="857">
        <f>+'ТЭЦ-4'!K146</f>
        <v>9228.0322821375339</v>
      </c>
      <c r="L278" s="857">
        <f>+'ТЭЦ-4'!L146</f>
        <v>9597.1535734230347</v>
      </c>
      <c r="M278" s="857">
        <f>+'ТЭЦ-4'!M146</f>
        <v>9981.0397163599573</v>
      </c>
      <c r="N278" s="857">
        <f>+'ТЭЦ-4'!N146</f>
        <v>10380.281305014356</v>
      </c>
      <c r="O278" s="857">
        <f>+'ТЭЦ-4'!O146</f>
        <v>10795.492557214931</v>
      </c>
      <c r="P278" s="857">
        <f>+'ТЭЦ-4'!P146</f>
        <v>11227.312259503529</v>
      </c>
    </row>
    <row r="279" spans="1:17" x14ac:dyDescent="0.2">
      <c r="A279" s="757"/>
      <c r="B279" s="762"/>
      <c r="C279" s="815"/>
      <c r="D279" s="815"/>
      <c r="E279" s="815"/>
      <c r="F279" s="815"/>
      <c r="G279" s="815"/>
      <c r="H279" s="815"/>
      <c r="I279" s="815"/>
      <c r="J279" s="815"/>
      <c r="K279" s="815"/>
      <c r="L279" s="815"/>
      <c r="M279" s="815"/>
      <c r="N279" s="815"/>
      <c r="O279" s="815"/>
      <c r="P279" s="815"/>
    </row>
    <row r="280" spans="1:17" x14ac:dyDescent="0.2">
      <c r="A280" s="843" t="s">
        <v>605</v>
      </c>
      <c r="B280" s="762"/>
      <c r="C280" s="815"/>
      <c r="D280" s="815"/>
      <c r="E280" s="815"/>
      <c r="F280" s="815"/>
      <c r="G280" s="815"/>
      <c r="H280" s="815"/>
      <c r="I280" s="815"/>
      <c r="J280" s="815"/>
      <c r="K280" s="815"/>
      <c r="L280" s="815"/>
      <c r="M280" s="815"/>
      <c r="N280" s="815"/>
      <c r="O280" s="815"/>
      <c r="P280" s="815"/>
    </row>
    <row r="281" spans="1:17" x14ac:dyDescent="0.2">
      <c r="A281" s="769" t="s">
        <v>269</v>
      </c>
      <c r="B281" s="766" t="s">
        <v>15</v>
      </c>
      <c r="C281" s="857">
        <f>+Кот.!C263</f>
        <v>2824.4697473008368</v>
      </c>
      <c r="D281" s="857">
        <f>+Кот.!D263</f>
        <v>2882.2300383555003</v>
      </c>
      <c r="E281" s="857">
        <f>+Кот.!E263</f>
        <v>3112.8084414239406</v>
      </c>
      <c r="F281" s="857">
        <f>+Кот.!F263</f>
        <v>3361.833116737856</v>
      </c>
      <c r="G281" s="857">
        <f>+Кот.!G263</f>
        <v>3630.7797660768847</v>
      </c>
      <c r="H281" s="857">
        <f>+Кот.!H263</f>
        <v>3921.2421473630357</v>
      </c>
      <c r="I281" s="857">
        <f>+Кот.!I263</f>
        <v>4234.9415191520784</v>
      </c>
      <c r="J281" s="857">
        <f>+Кот.!J263</f>
        <v>4234.9415191520784</v>
      </c>
      <c r="K281" s="857">
        <f>+Кот.!K263</f>
        <v>4234.9415191520784</v>
      </c>
      <c r="L281" s="857">
        <f>+Кот.!L263</f>
        <v>4234.9415191520784</v>
      </c>
      <c r="M281" s="857">
        <f>+Кот.!M263</f>
        <v>4234.9415191520784</v>
      </c>
      <c r="N281" s="857">
        <f>+Кот.!N263</f>
        <v>4234.9415191520784</v>
      </c>
      <c r="O281" s="857">
        <f>+Кот.!O263</f>
        <v>4277.2909343435995</v>
      </c>
      <c r="P281" s="857">
        <f>+Кот.!P263</f>
        <v>4362.8367530304713</v>
      </c>
    </row>
    <row r="282" spans="1:17" x14ac:dyDescent="0.2">
      <c r="A282" s="854" t="s">
        <v>503</v>
      </c>
      <c r="B282" s="766" t="s">
        <v>15</v>
      </c>
      <c r="C282" s="815"/>
      <c r="D282" s="815"/>
      <c r="E282" s="815"/>
      <c r="F282" s="815"/>
      <c r="G282" s="815"/>
      <c r="H282" s="815"/>
      <c r="I282" s="815"/>
      <c r="J282" s="815"/>
      <c r="K282" s="815"/>
      <c r="L282" s="815"/>
      <c r="M282" s="815"/>
      <c r="N282" s="815"/>
      <c r="O282" s="815"/>
      <c r="P282" s="815"/>
    </row>
    <row r="283" spans="1:17" x14ac:dyDescent="0.2">
      <c r="A283" s="757"/>
      <c r="B283" s="762"/>
      <c r="C283" s="815"/>
      <c r="D283" s="815"/>
      <c r="E283" s="815"/>
      <c r="F283" s="815"/>
      <c r="G283" s="815"/>
      <c r="H283" s="815"/>
      <c r="I283" s="815"/>
      <c r="J283" s="815"/>
      <c r="K283" s="815"/>
      <c r="L283" s="815"/>
      <c r="M283" s="815"/>
      <c r="N283" s="815"/>
      <c r="O283" s="815"/>
      <c r="P283" s="815"/>
    </row>
    <row r="284" spans="1:17" x14ac:dyDescent="0.2">
      <c r="A284" s="843" t="s">
        <v>684</v>
      </c>
      <c r="B284" s="762"/>
      <c r="C284" s="815"/>
      <c r="D284" s="815"/>
      <c r="E284" s="815"/>
      <c r="F284" s="815"/>
      <c r="G284" s="815"/>
      <c r="H284" s="815"/>
      <c r="I284" s="815"/>
      <c r="J284" s="815"/>
      <c r="K284" s="815"/>
      <c r="L284" s="815"/>
      <c r="M284" s="815"/>
      <c r="N284" s="815"/>
      <c r="O284" s="815"/>
      <c r="P284" s="815"/>
    </row>
    <row r="285" spans="1:17" x14ac:dyDescent="0.2">
      <c r="A285" s="769" t="s">
        <v>269</v>
      </c>
      <c r="B285" s="766" t="s">
        <v>15</v>
      </c>
      <c r="C285" s="853">
        <f>+C269+C273+C277+C281</f>
        <v>184274.87544919661</v>
      </c>
      <c r="D285" s="853">
        <f t="shared" ref="D285:P285" si="62">+D269+D273+D277+D281</f>
        <v>188043.2891311555</v>
      </c>
      <c r="E285" s="853">
        <f t="shared" si="62"/>
        <v>195680.30989793595</v>
      </c>
      <c r="F285" s="853">
        <f t="shared" si="62"/>
        <v>179300.8622496012</v>
      </c>
      <c r="G285" s="853">
        <f t="shared" si="62"/>
        <v>151639.49045766643</v>
      </c>
      <c r="H285" s="853">
        <f t="shared" si="62"/>
        <v>122141.15780285078</v>
      </c>
      <c r="I285" s="853">
        <f t="shared" si="62"/>
        <v>98831.711702394328</v>
      </c>
      <c r="J285" s="853">
        <f t="shared" si="62"/>
        <v>67504.470058179781</v>
      </c>
      <c r="K285" s="853">
        <f t="shared" si="62"/>
        <v>70034.366303259783</v>
      </c>
      <c r="L285" s="853">
        <f t="shared" si="62"/>
        <v>72666.343294624094</v>
      </c>
      <c r="M285" s="853">
        <f t="shared" si="62"/>
        <v>75403.599365642978</v>
      </c>
      <c r="N285" s="853">
        <f t="shared" si="62"/>
        <v>78250.345679502614</v>
      </c>
      <c r="O285" s="853">
        <f t="shared" si="62"/>
        <v>81253.31126110816</v>
      </c>
      <c r="P285" s="853">
        <f t="shared" si="62"/>
        <v>84417.897892865614</v>
      </c>
    </row>
    <row r="286" spans="1:17" x14ac:dyDescent="0.2">
      <c r="A286" s="854" t="s">
        <v>503</v>
      </c>
      <c r="B286" s="766" t="s">
        <v>15</v>
      </c>
      <c r="C286" s="853">
        <f>+C270+C274+C278+C282</f>
        <v>15007.9614</v>
      </c>
      <c r="D286" s="853">
        <f t="shared" ref="D286:P286" si="63">+D270+D274+D278+D282</f>
        <v>15608.279855999999</v>
      </c>
      <c r="E286" s="853">
        <f t="shared" si="63"/>
        <v>16232.611050240001</v>
      </c>
      <c r="F286" s="853">
        <f t="shared" si="63"/>
        <v>16881.915492249598</v>
      </c>
      <c r="G286" s="853">
        <f t="shared" si="63"/>
        <v>17557.192111939585</v>
      </c>
      <c r="H286" s="853">
        <f t="shared" si="63"/>
        <v>18259.479796417167</v>
      </c>
      <c r="I286" s="853">
        <f t="shared" si="63"/>
        <v>18989.858988273856</v>
      </c>
      <c r="J286" s="853">
        <f t="shared" si="63"/>
        <v>19749.453347804811</v>
      </c>
      <c r="K286" s="853">
        <f t="shared" si="63"/>
        <v>20539.431481717005</v>
      </c>
      <c r="L286" s="853">
        <f t="shared" si="63"/>
        <v>21361.008740985686</v>
      </c>
      <c r="M286" s="853">
        <f t="shared" si="63"/>
        <v>22215.449090625116</v>
      </c>
      <c r="N286" s="853">
        <f t="shared" si="63"/>
        <v>23104.067054250121</v>
      </c>
      <c r="O286" s="853">
        <f t="shared" si="63"/>
        <v>24028.229736420126</v>
      </c>
      <c r="P286" s="853">
        <f t="shared" si="63"/>
        <v>24989.358925876935</v>
      </c>
    </row>
    <row r="287" spans="1:17" x14ac:dyDescent="0.2">
      <c r="A287" s="767" t="s">
        <v>291</v>
      </c>
      <c r="B287" s="766" t="s">
        <v>89</v>
      </c>
      <c r="C287" s="841">
        <f t="shared" ref="C287:P287" si="64">+C285+C286</f>
        <v>199282.83684919661</v>
      </c>
      <c r="D287" s="841">
        <f t="shared" si="64"/>
        <v>203651.56898715551</v>
      </c>
      <c r="E287" s="841">
        <f t="shared" si="64"/>
        <v>211912.92094817595</v>
      </c>
      <c r="F287" s="841">
        <f t="shared" si="64"/>
        <v>196182.77774185079</v>
      </c>
      <c r="G287" s="841">
        <f t="shared" si="64"/>
        <v>169196.682569606</v>
      </c>
      <c r="H287" s="841">
        <f t="shared" si="64"/>
        <v>140400.63759926794</v>
      </c>
      <c r="I287" s="841">
        <f t="shared" si="64"/>
        <v>117821.57069066819</v>
      </c>
      <c r="J287" s="841">
        <f t="shared" si="64"/>
        <v>87253.923405984591</v>
      </c>
      <c r="K287" s="841">
        <f t="shared" si="64"/>
        <v>90573.797784976792</v>
      </c>
      <c r="L287" s="841">
        <f t="shared" si="64"/>
        <v>94027.352035609772</v>
      </c>
      <c r="M287" s="841">
        <f t="shared" si="64"/>
        <v>97619.048456268094</v>
      </c>
      <c r="N287" s="841">
        <f t="shared" si="64"/>
        <v>101354.41273375273</v>
      </c>
      <c r="O287" s="841">
        <f t="shared" si="64"/>
        <v>105281.54099752828</v>
      </c>
      <c r="P287" s="841">
        <f t="shared" si="64"/>
        <v>109407.25681874255</v>
      </c>
      <c r="Q287" s="813"/>
    </row>
    <row r="288" spans="1:17" x14ac:dyDescent="0.2">
      <c r="A288" s="762"/>
      <c r="B288" s="762"/>
      <c r="C288" s="815"/>
      <c r="D288" s="815"/>
      <c r="E288" s="815"/>
      <c r="F288" s="815"/>
      <c r="G288" s="815"/>
      <c r="H288" s="815"/>
      <c r="I288" s="815"/>
      <c r="J288" s="815"/>
      <c r="K288" s="815"/>
      <c r="L288" s="815"/>
      <c r="M288" s="815"/>
      <c r="N288" s="815"/>
      <c r="O288" s="815"/>
      <c r="P288" s="815"/>
      <c r="Q288" s="813"/>
    </row>
    <row r="289" spans="1:17" s="744" customFormat="1" ht="22.5" x14ac:dyDescent="0.2">
      <c r="A289" s="785" t="s">
        <v>432</v>
      </c>
      <c r="B289" s="766" t="s">
        <v>89</v>
      </c>
      <c r="C289" s="841">
        <f t="shared" ref="C289:P289" si="65">+C265+C244+C287</f>
        <v>4939892.1451212103</v>
      </c>
      <c r="D289" s="841">
        <f t="shared" si="65"/>
        <v>5519292.1069010682</v>
      </c>
      <c r="E289" s="841">
        <f t="shared" si="65"/>
        <v>5878946.9201042634</v>
      </c>
      <c r="F289" s="841">
        <f t="shared" si="65"/>
        <v>6084947.8467043778</v>
      </c>
      <c r="G289" s="841">
        <f t="shared" si="65"/>
        <v>6315478.5681058206</v>
      </c>
      <c r="H289" s="841">
        <f t="shared" si="65"/>
        <v>6560813.2594690667</v>
      </c>
      <c r="I289" s="841">
        <f t="shared" si="65"/>
        <v>6888697.5524720773</v>
      </c>
      <c r="J289" s="841">
        <f t="shared" si="65"/>
        <v>6850715.5216081236</v>
      </c>
      <c r="K289" s="841">
        <f t="shared" si="65"/>
        <v>6986489.0349415541</v>
      </c>
      <c r="L289" s="841">
        <f t="shared" si="65"/>
        <v>7124825.2823499367</v>
      </c>
      <c r="M289" s="841">
        <f t="shared" si="65"/>
        <v>7204204.1737206168</v>
      </c>
      <c r="N289" s="841">
        <f t="shared" si="65"/>
        <v>7284516.720936981</v>
      </c>
      <c r="O289" s="841">
        <f t="shared" si="65"/>
        <v>7417770.4243761962</v>
      </c>
      <c r="P289" s="841">
        <f t="shared" si="65"/>
        <v>7606465.6719905967</v>
      </c>
      <c r="Q289" s="862"/>
    </row>
    <row r="290" spans="1:17" x14ac:dyDescent="0.2">
      <c r="A290" s="762"/>
      <c r="B290" s="762"/>
      <c r="C290" s="815"/>
      <c r="D290" s="815"/>
      <c r="E290" s="815"/>
      <c r="F290" s="815"/>
      <c r="G290" s="815"/>
      <c r="H290" s="815"/>
      <c r="I290" s="815"/>
      <c r="J290" s="815"/>
      <c r="K290" s="815"/>
      <c r="L290" s="815"/>
      <c r="M290" s="815"/>
      <c r="N290" s="815"/>
      <c r="O290" s="815"/>
      <c r="P290" s="815"/>
    </row>
    <row r="291" spans="1:17" s="744" customFormat="1" x14ac:dyDescent="0.2">
      <c r="A291" s="767" t="s">
        <v>289</v>
      </c>
      <c r="B291" s="766" t="s">
        <v>89</v>
      </c>
      <c r="C291" s="841">
        <f>C249+C229++C270</f>
        <v>314380.34920906881</v>
      </c>
      <c r="D291" s="841">
        <f t="shared" ref="D291:P291" si="66">D249+D229++D270</f>
        <v>373843.56761762506</v>
      </c>
      <c r="E291" s="841">
        <f t="shared" si="66"/>
        <v>401136.79141697747</v>
      </c>
      <c r="F291" s="841">
        <f t="shared" si="66"/>
        <v>419059.4255103707</v>
      </c>
      <c r="G291" s="841">
        <f t="shared" si="66"/>
        <v>447442.8466456873</v>
      </c>
      <c r="H291" s="841">
        <f t="shared" si="66"/>
        <v>474375.41442277515</v>
      </c>
      <c r="I291" s="841">
        <f t="shared" si="66"/>
        <v>505603.29262897774</v>
      </c>
      <c r="J291" s="841">
        <f t="shared" si="66"/>
        <v>503244.67376535124</v>
      </c>
      <c r="K291" s="841">
        <f t="shared" si="66"/>
        <v>515583.6623376768</v>
      </c>
      <c r="L291" s="841">
        <f t="shared" si="66"/>
        <v>527947.24938139541</v>
      </c>
      <c r="M291" s="841">
        <f t="shared" si="66"/>
        <v>529851.20699721552</v>
      </c>
      <c r="N291" s="841">
        <f t="shared" si="66"/>
        <v>531781.44914306526</v>
      </c>
      <c r="O291" s="841">
        <f t="shared" si="66"/>
        <v>538553.02235477977</v>
      </c>
      <c r="P291" s="841">
        <f t="shared" si="66"/>
        <v>550291.21756283729</v>
      </c>
    </row>
    <row r="292" spans="1:17" s="750" customFormat="1" x14ac:dyDescent="0.2">
      <c r="A292" s="786" t="s">
        <v>295</v>
      </c>
      <c r="B292" s="786"/>
      <c r="C292" s="856">
        <f>C291/C$289</f>
        <v>6.3641136278564409E-2</v>
      </c>
      <c r="D292" s="856">
        <f t="shared" ref="D292:P292" si="67">D291/D$289</f>
        <v>6.7733970294884066E-2</v>
      </c>
      <c r="E292" s="856">
        <f t="shared" si="67"/>
        <v>6.8232762919700471E-2</v>
      </c>
      <c r="F292" s="856">
        <f t="shared" si="67"/>
        <v>6.8868203321961793E-2</v>
      </c>
      <c r="G292" s="856">
        <f t="shared" si="67"/>
        <v>7.0848605029766934E-2</v>
      </c>
      <c r="H292" s="856">
        <f t="shared" si="67"/>
        <v>7.2304361618297897E-2</v>
      </c>
      <c r="I292" s="856">
        <f t="shared" si="67"/>
        <v>7.3396064898732127E-2</v>
      </c>
      <c r="J292" s="856">
        <f t="shared" si="67"/>
        <v>7.3458702551295052E-2</v>
      </c>
      <c r="K292" s="856">
        <f t="shared" si="67"/>
        <v>7.3797247767667884E-2</v>
      </c>
      <c r="L292" s="856">
        <f t="shared" si="67"/>
        <v>7.4099676617931862E-2</v>
      </c>
      <c r="M292" s="856">
        <f t="shared" si="67"/>
        <v>7.3547500073637348E-2</v>
      </c>
      <c r="N292" s="856">
        <f t="shared" si="67"/>
        <v>7.3001610060778904E-2</v>
      </c>
      <c r="O292" s="856">
        <f t="shared" si="67"/>
        <v>7.2603085771567252E-2</v>
      </c>
      <c r="P292" s="856">
        <f t="shared" si="67"/>
        <v>7.2345191747749935E-2</v>
      </c>
    </row>
    <row r="293" spans="1:17" s="744" customFormat="1" x14ac:dyDescent="0.2">
      <c r="A293" s="767" t="s">
        <v>292</v>
      </c>
      <c r="B293" s="766" t="s">
        <v>89</v>
      </c>
      <c r="C293" s="841">
        <f t="shared" ref="C293:P293" si="68">SUM(C234,C273:C274,C253)</f>
        <v>2268453.5260198526</v>
      </c>
      <c r="D293" s="841">
        <f t="shared" si="68"/>
        <v>2500755.4371468062</v>
      </c>
      <c r="E293" s="841">
        <f t="shared" si="68"/>
        <v>2646877.9463626053</v>
      </c>
      <c r="F293" s="841">
        <f t="shared" si="68"/>
        <v>2730217.711015936</v>
      </c>
      <c r="G293" s="841">
        <f t="shared" si="68"/>
        <v>2828612.1013466874</v>
      </c>
      <c r="H293" s="841">
        <f t="shared" si="68"/>
        <v>2916424.138297813</v>
      </c>
      <c r="I293" s="841">
        <f t="shared" si="68"/>
        <v>3050047.9345629625</v>
      </c>
      <c r="J293" s="841">
        <f t="shared" si="68"/>
        <v>3045761.2343419697</v>
      </c>
      <c r="K293" s="841">
        <f t="shared" si="68"/>
        <v>3101423.3256979622</v>
      </c>
      <c r="L293" s="841">
        <f t="shared" si="68"/>
        <v>3164807.8533712053</v>
      </c>
      <c r="M293" s="841">
        <f t="shared" si="68"/>
        <v>3220272.2701840466</v>
      </c>
      <c r="N293" s="841">
        <f t="shared" si="68"/>
        <v>3276297.4305023849</v>
      </c>
      <c r="O293" s="841">
        <f t="shared" si="68"/>
        <v>3352484.2842282988</v>
      </c>
      <c r="P293" s="841">
        <f t="shared" si="68"/>
        <v>3450311.8983442346</v>
      </c>
    </row>
    <row r="294" spans="1:17" s="750" customFormat="1" x14ac:dyDescent="0.2">
      <c r="A294" s="786" t="s">
        <v>295</v>
      </c>
      <c r="B294" s="786"/>
      <c r="C294" s="856">
        <f>C293/C$289</f>
        <v>0.45921114457129336</v>
      </c>
      <c r="D294" s="856">
        <f t="shared" ref="D294" si="69">D293/D$289</f>
        <v>0.45309351067322146</v>
      </c>
      <c r="E294" s="856">
        <f t="shared" ref="E294" si="70">E293/E$289</f>
        <v>0.4502299446370342</v>
      </c>
      <c r="F294" s="856">
        <f t="shared" ref="F294" si="71">F293/F$289</f>
        <v>0.44868383095421738</v>
      </c>
      <c r="G294" s="856">
        <f t="shared" ref="G294" si="72">G293/G$289</f>
        <v>0.44788563065222514</v>
      </c>
      <c r="H294" s="856">
        <f t="shared" ref="H294" si="73">H293/H$289</f>
        <v>0.4445217418875026</v>
      </c>
      <c r="I294" s="856">
        <f t="shared" ref="I294" si="74">I293/I$289</f>
        <v>0.44276119126008406</v>
      </c>
      <c r="J294" s="856">
        <f t="shared" ref="J294" si="75">J293/J$289</f>
        <v>0.44459023655780316</v>
      </c>
      <c r="K294" s="856">
        <f t="shared" ref="K294" si="76">K293/K$289</f>
        <v>0.44391729668318408</v>
      </c>
      <c r="L294" s="856">
        <f t="shared" ref="L294" si="77">L293/L$289</f>
        <v>0.44419445080446612</v>
      </c>
      <c r="M294" s="856">
        <f t="shared" ref="M294" si="78">M293/M$289</f>
        <v>0.4469990289740684</v>
      </c>
      <c r="N294" s="856">
        <f t="shared" ref="N294" si="79">N293/N$289</f>
        <v>0.4497618107026552</v>
      </c>
      <c r="O294" s="856">
        <f t="shared" ref="O294" si="80">O293/O$289</f>
        <v>0.45195309269904088</v>
      </c>
      <c r="P294" s="856">
        <f t="shared" ref="P294" si="81">P293/P$289</f>
        <v>0.45360250701575766</v>
      </c>
    </row>
    <row r="295" spans="1:17" s="744" customFormat="1" x14ac:dyDescent="0.2">
      <c r="A295" s="767" t="s">
        <v>293</v>
      </c>
      <c r="B295" s="766" t="s">
        <v>89</v>
      </c>
      <c r="C295" s="841">
        <f t="shared" ref="C295:P295" si="82">SUM(C239,C277:C278,C257)</f>
        <v>1724220.9137030365</v>
      </c>
      <c r="D295" s="841">
        <f t="shared" si="82"/>
        <v>1723028.9694466263</v>
      </c>
      <c r="E295" s="841">
        <f t="shared" si="82"/>
        <v>1879668.6695825041</v>
      </c>
      <c r="F295" s="841">
        <f t="shared" si="82"/>
        <v>1929846.1222111648</v>
      </c>
      <c r="G295" s="841">
        <f t="shared" si="82"/>
        <v>1969357.8509695996</v>
      </c>
      <c r="H295" s="841">
        <f t="shared" si="82"/>
        <v>2039727.3249180461</v>
      </c>
      <c r="I295" s="841">
        <f t="shared" si="82"/>
        <v>2137120.6087414953</v>
      </c>
      <c r="J295" s="841">
        <f t="shared" si="82"/>
        <v>2129210.0288322861</v>
      </c>
      <c r="K295" s="841">
        <f t="shared" si="82"/>
        <v>2192579.1765307509</v>
      </c>
      <c r="L295" s="841">
        <f t="shared" si="82"/>
        <v>2249103.3029301362</v>
      </c>
      <c r="M295" s="841">
        <f t="shared" si="82"/>
        <v>2265285.7308400301</v>
      </c>
      <c r="N295" s="841">
        <f t="shared" si="82"/>
        <v>2281851.3890739493</v>
      </c>
      <c r="O295" s="841">
        <f t="shared" si="82"/>
        <v>2314387.3267815108</v>
      </c>
      <c r="P295" s="841">
        <f t="shared" si="82"/>
        <v>2363375.7297418057</v>
      </c>
    </row>
    <row r="296" spans="1:17" s="750" customFormat="1" x14ac:dyDescent="0.2">
      <c r="A296" s="786" t="s">
        <v>295</v>
      </c>
      <c r="B296" s="786"/>
      <c r="C296" s="856">
        <f>C295/C$289</f>
        <v>0.34904019420867927</v>
      </c>
      <c r="D296" s="856">
        <f t="shared" ref="D296" si="83">D295/D$289</f>
        <v>0.31218296406023344</v>
      </c>
      <c r="E296" s="856">
        <f t="shared" ref="E296" si="84">E295/E$289</f>
        <v>0.31972880434667506</v>
      </c>
      <c r="F296" s="856">
        <f t="shared" ref="F296" si="85">F295/F$289</f>
        <v>0.31715080734116302</v>
      </c>
      <c r="G296" s="856">
        <f t="shared" ref="G296" si="86">G295/G$289</f>
        <v>0.31183034345412436</v>
      </c>
      <c r="H296" s="856">
        <f t="shared" ref="H296" si="87">H295/H$289</f>
        <v>0.31089550094634316</v>
      </c>
      <c r="I296" s="856">
        <f t="shared" ref="I296" si="88">I295/I$289</f>
        <v>0.31023580182796218</v>
      </c>
      <c r="J296" s="856">
        <f t="shared" ref="J296" si="89">J295/J$289</f>
        <v>0.3108011159004424</v>
      </c>
      <c r="K296" s="856">
        <f t="shared" ref="K296" si="90">K295/K$289</f>
        <v>0.31383133438913258</v>
      </c>
      <c r="L296" s="856">
        <f t="shared" ref="L296" si="91">L295/L$289</f>
        <v>0.31567136228613996</v>
      </c>
      <c r="M296" s="856">
        <f t="shared" ref="M296" si="92">M295/M$289</f>
        <v>0.3144394129060506</v>
      </c>
      <c r="N296" s="856">
        <f t="shared" ref="N296" si="93">N295/N$289</f>
        <v>0.31324677758175878</v>
      </c>
      <c r="O296" s="856">
        <f t="shared" ref="O296" si="94">O295/O$289</f>
        <v>0.31200579073949181</v>
      </c>
      <c r="P296" s="856">
        <f t="shared" ref="P296" si="95">P295/P$289</f>
        <v>0.31070615863613238</v>
      </c>
    </row>
    <row r="297" spans="1:17" s="744" customFormat="1" x14ac:dyDescent="0.2">
      <c r="A297" s="767" t="s">
        <v>294</v>
      </c>
      <c r="B297" s="766" t="s">
        <v>89</v>
      </c>
      <c r="C297" s="841">
        <f t="shared" ref="C297:P297" si="96">+C261+C281</f>
        <v>632837.35618925199</v>
      </c>
      <c r="D297" s="841">
        <f t="shared" si="96"/>
        <v>921664.13269001071</v>
      </c>
      <c r="E297" s="841">
        <f t="shared" si="96"/>
        <v>951263.51274217619</v>
      </c>
      <c r="F297" s="841">
        <f t="shared" si="96"/>
        <v>1005824.5879669074</v>
      </c>
      <c r="G297" s="841">
        <f t="shared" si="96"/>
        <v>1070065.7691438471</v>
      </c>
      <c r="H297" s="841">
        <f t="shared" si="96"/>
        <v>1130286.381830432</v>
      </c>
      <c r="I297" s="841">
        <f t="shared" si="96"/>
        <v>1195925.7165386414</v>
      </c>
      <c r="J297" s="841">
        <f t="shared" si="96"/>
        <v>1172499.5846685169</v>
      </c>
      <c r="K297" s="841">
        <f t="shared" si="96"/>
        <v>1176902.8703751646</v>
      </c>
      <c r="L297" s="841">
        <f t="shared" si="96"/>
        <v>1182966.8766671992</v>
      </c>
      <c r="M297" s="841">
        <f t="shared" si="96"/>
        <v>1188794.965699323</v>
      </c>
      <c r="N297" s="841">
        <f t="shared" si="96"/>
        <v>1194586.4522175821</v>
      </c>
      <c r="O297" s="841">
        <f t="shared" si="96"/>
        <v>1212345.7910116068</v>
      </c>
      <c r="P297" s="841">
        <f t="shared" si="96"/>
        <v>1242486.8263417184</v>
      </c>
    </row>
    <row r="298" spans="1:17" s="752" customFormat="1" x14ac:dyDescent="0.2">
      <c r="A298" s="786" t="s">
        <v>295</v>
      </c>
      <c r="B298" s="787"/>
      <c r="C298" s="856">
        <f>C297/C$289</f>
        <v>0.12810752494146288</v>
      </c>
      <c r="D298" s="856">
        <f t="shared" ref="D298" si="97">D297/D$289</f>
        <v>0.16698955497166101</v>
      </c>
      <c r="E298" s="856">
        <f t="shared" ref="E298" si="98">E297/E$289</f>
        <v>0.16180848809659018</v>
      </c>
      <c r="F298" s="856">
        <f t="shared" ref="F298" si="99">F297/F$289</f>
        <v>0.16529715838265802</v>
      </c>
      <c r="G298" s="856">
        <f t="shared" ref="G298" si="100">G297/G$289</f>
        <v>0.16943542086388366</v>
      </c>
      <c r="H298" s="856">
        <f t="shared" ref="H298" si="101">H297/H$289</f>
        <v>0.17227839554785626</v>
      </c>
      <c r="I298" s="856">
        <f t="shared" ref="I298" si="102">I297/I$289</f>
        <v>0.17360694201322158</v>
      </c>
      <c r="J298" s="856">
        <f t="shared" ref="J298" si="103">J297/J$289</f>
        <v>0.17114994499045943</v>
      </c>
      <c r="K298" s="856">
        <f t="shared" ref="K298" si="104">K297/K$289</f>
        <v>0.16845412116001554</v>
      </c>
      <c r="L298" s="856">
        <f t="shared" ref="L298" si="105">L297/L$289</f>
        <v>0.16603451029146199</v>
      </c>
      <c r="M298" s="856">
        <f t="shared" ref="M298" si="106">M297/M$289</f>
        <v>0.16501405804624342</v>
      </c>
      <c r="N298" s="856">
        <f t="shared" ref="N298" si="107">N297/N$289</f>
        <v>0.16398980165480723</v>
      </c>
      <c r="O298" s="856">
        <f t="shared" ref="O298" si="108">O297/O$289</f>
        <v>0.16343803078990007</v>
      </c>
      <c r="P298" s="856">
        <f t="shared" ref="P298" si="109">P297/P$289</f>
        <v>0.1633461426003599</v>
      </c>
    </row>
    <row r="299" spans="1:17" x14ac:dyDescent="0.2">
      <c r="A299" s="762"/>
      <c r="B299" s="762"/>
      <c r="C299" s="815"/>
      <c r="D299" s="815"/>
      <c r="E299" s="815"/>
      <c r="F299" s="815"/>
      <c r="G299" s="815"/>
      <c r="H299" s="815"/>
      <c r="I299" s="815"/>
      <c r="J299" s="815"/>
      <c r="K299" s="815"/>
      <c r="L299" s="815"/>
      <c r="M299" s="815"/>
      <c r="N299" s="815"/>
      <c r="O299" s="815"/>
      <c r="P299" s="815"/>
    </row>
    <row r="300" spans="1:17" ht="12" x14ac:dyDescent="0.2">
      <c r="A300" s="858" t="s">
        <v>312</v>
      </c>
      <c r="B300" s="762"/>
      <c r="C300" s="815"/>
      <c r="D300" s="815"/>
      <c r="E300" s="815"/>
      <c r="F300" s="815"/>
      <c r="G300" s="815"/>
      <c r="H300" s="815"/>
      <c r="I300" s="815"/>
      <c r="J300" s="815"/>
      <c r="K300" s="815"/>
      <c r="L300" s="815"/>
      <c r="M300" s="815"/>
      <c r="N300" s="815"/>
      <c r="O300" s="815"/>
      <c r="P300" s="815"/>
    </row>
    <row r="301" spans="1:17" x14ac:dyDescent="0.2">
      <c r="A301" s="782" t="s">
        <v>688</v>
      </c>
      <c r="B301" s="766" t="s">
        <v>16</v>
      </c>
      <c r="C301" s="840">
        <f>+Сети!C33</f>
        <v>2381.4802267304021</v>
      </c>
      <c r="D301" s="840">
        <f>+Сети!D33</f>
        <v>2545.2078692593705</v>
      </c>
      <c r="E301" s="840">
        <f>+Сети!E33</f>
        <v>2588.7117466217551</v>
      </c>
      <c r="F301" s="840">
        <f>+Сети!F33</f>
        <v>2640.5440629343066</v>
      </c>
      <c r="G301" s="840">
        <f>+Сети!G33</f>
        <v>2731.4453360950329</v>
      </c>
      <c r="H301" s="840">
        <f>+Сети!H33</f>
        <v>2805.1840613049576</v>
      </c>
      <c r="I301" s="840">
        <f>+Сети!I33</f>
        <v>2878.9368466784404</v>
      </c>
      <c r="J301" s="840">
        <f>+Сети!J33</f>
        <v>2952.6588556865095</v>
      </c>
      <c r="K301" s="840">
        <f>+Сети!K33</f>
        <v>3026.0527965720316</v>
      </c>
      <c r="L301" s="840">
        <f>+Сети!L33</f>
        <v>3100.6029121616789</v>
      </c>
      <c r="M301" s="840">
        <f>+Сети!M33</f>
        <v>3133.4566253022563</v>
      </c>
      <c r="N301" s="840">
        <f>+Сети!N33</f>
        <v>3166.2848561907263</v>
      </c>
      <c r="O301" s="840">
        <f>+Сети!O33</f>
        <v>3199.0883226784431</v>
      </c>
      <c r="P301" s="840">
        <f>+Сети!P33</f>
        <v>3231.867715011459</v>
      </c>
    </row>
    <row r="302" spans="1:17" x14ac:dyDescent="0.2">
      <c r="A302" s="783" t="s">
        <v>113</v>
      </c>
      <c r="B302" s="766" t="s">
        <v>15</v>
      </c>
      <c r="C302" s="859">
        <f>+Сети!C109</f>
        <v>279983.72387274716</v>
      </c>
      <c r="D302" s="859">
        <f>+Сети!D109</f>
        <v>279408.40569376457</v>
      </c>
      <c r="E302" s="859">
        <f>+Сети!E109</f>
        <v>326040.13577712246</v>
      </c>
      <c r="F302" s="859">
        <f>+Сети!F109</f>
        <v>553067.53878680069</v>
      </c>
      <c r="G302" s="859">
        <f>+Сети!G109</f>
        <v>859712.25768135511</v>
      </c>
      <c r="H302" s="859">
        <f>+Сети!H109</f>
        <v>1137471.921852031</v>
      </c>
      <c r="I302" s="859">
        <f>+Сети!I109</f>
        <v>1440054.7298798659</v>
      </c>
      <c r="J302" s="859">
        <f>+Сети!J109</f>
        <v>1644274.2965731127</v>
      </c>
      <c r="K302" s="859">
        <f>+Сети!K109</f>
        <v>1700000.4529958377</v>
      </c>
      <c r="L302" s="859">
        <f>+Сети!L109</f>
        <v>1756604.4635252713</v>
      </c>
      <c r="M302" s="859">
        <f>+Сети!M109</f>
        <v>1781549.4540169893</v>
      </c>
      <c r="N302" s="859">
        <f>+Сети!N109</f>
        <v>1806475.0964814762</v>
      </c>
      <c r="O302" s="859">
        <f>+Сети!O109</f>
        <v>1849695.7553246927</v>
      </c>
      <c r="P302" s="859">
        <f>+Сети!P109</f>
        <v>1912329.8655499269</v>
      </c>
    </row>
    <row r="303" spans="1:17" ht="22.5" x14ac:dyDescent="0.2">
      <c r="A303" s="780" t="str">
        <f>+Сети!B110</f>
        <v>Выручка от продажи воды и теплоносителя в рамках услуги ГВС по закрытой схеме</v>
      </c>
      <c r="B303" s="766" t="s">
        <v>15</v>
      </c>
      <c r="C303" s="857">
        <f>+Сети!C110</f>
        <v>104252.98781999998</v>
      </c>
      <c r="D303" s="857">
        <f>+Сети!D110</f>
        <v>105376.00253403702</v>
      </c>
      <c r="E303" s="857">
        <f>+Сети!E110</f>
        <v>109591.04263539851</v>
      </c>
      <c r="F303" s="857">
        <f>+Сети!F110</f>
        <v>113974.68434081445</v>
      </c>
      <c r="G303" s="857">
        <f>+Сети!G110</f>
        <v>115552.79918988256</v>
      </c>
      <c r="H303" s="857">
        <f>+Сети!H110</f>
        <v>115524.69808222383</v>
      </c>
      <c r="I303" s="857">
        <f>+Сети!I110</f>
        <v>120145.68600551278</v>
      </c>
      <c r="J303" s="857">
        <f>+Сети!J110</f>
        <v>124951.51344573328</v>
      </c>
      <c r="K303" s="857">
        <f>+Сети!K110</f>
        <v>129948.6890870815</v>
      </c>
      <c r="L303" s="857">
        <f>+Сети!L110</f>
        <v>135146.63665056473</v>
      </c>
      <c r="M303" s="857">
        <f>+Сети!M110</f>
        <v>140552.50211658736</v>
      </c>
      <c r="N303" s="857">
        <f>+Сети!N110</f>
        <v>146174.60220125085</v>
      </c>
      <c r="O303" s="857">
        <f>+Сети!O110</f>
        <v>152021.58628930087</v>
      </c>
      <c r="P303" s="857">
        <f>+Сети!P110</f>
        <v>158102.44974087292</v>
      </c>
    </row>
    <row r="304" spans="1:17" x14ac:dyDescent="0.2">
      <c r="A304" s="762"/>
      <c r="B304" s="762"/>
      <c r="C304" s="815"/>
      <c r="D304" s="815"/>
      <c r="E304" s="815"/>
      <c r="F304" s="815"/>
      <c r="G304" s="815"/>
      <c r="H304" s="815"/>
      <c r="I304" s="815"/>
      <c r="J304" s="815"/>
      <c r="K304" s="815"/>
      <c r="L304" s="815"/>
      <c r="M304" s="815"/>
      <c r="N304" s="815"/>
      <c r="O304" s="815"/>
      <c r="P304" s="815"/>
    </row>
    <row r="305" spans="1:17" x14ac:dyDescent="0.2">
      <c r="A305" s="785" t="s">
        <v>426</v>
      </c>
      <c r="B305" s="766" t="s">
        <v>15</v>
      </c>
      <c r="C305" s="841">
        <f t="shared" ref="C305:P305" si="110">SUM(C302,C289)+C303</f>
        <v>5324128.8568139579</v>
      </c>
      <c r="D305" s="841">
        <f t="shared" si="110"/>
        <v>5904076.5151288705</v>
      </c>
      <c r="E305" s="841">
        <f t="shared" si="110"/>
        <v>6314578.0985167846</v>
      </c>
      <c r="F305" s="841">
        <f t="shared" si="110"/>
        <v>6751990.0698319925</v>
      </c>
      <c r="G305" s="841">
        <f t="shared" si="110"/>
        <v>7290743.6249770578</v>
      </c>
      <c r="H305" s="841">
        <f t="shared" si="110"/>
        <v>7813809.8794033211</v>
      </c>
      <c r="I305" s="841">
        <f t="shared" si="110"/>
        <v>8448897.968357455</v>
      </c>
      <c r="J305" s="841">
        <f t="shared" si="110"/>
        <v>8619941.3316269685</v>
      </c>
      <c r="K305" s="841">
        <f t="shared" si="110"/>
        <v>8816438.1770244725</v>
      </c>
      <c r="L305" s="841">
        <f t="shared" si="110"/>
        <v>9016576.3825257719</v>
      </c>
      <c r="M305" s="841">
        <f t="shared" si="110"/>
        <v>9126306.129854193</v>
      </c>
      <c r="N305" s="841">
        <f t="shared" si="110"/>
        <v>9237166.4196197093</v>
      </c>
      <c r="O305" s="841">
        <f t="shared" si="110"/>
        <v>9419487.7659901902</v>
      </c>
      <c r="P305" s="841">
        <f t="shared" si="110"/>
        <v>9676897.987281397</v>
      </c>
    </row>
    <row r="306" spans="1:17" x14ac:dyDescent="0.2">
      <c r="A306" s="757" t="s">
        <v>427</v>
      </c>
      <c r="B306" s="762"/>
      <c r="C306" s="815"/>
      <c r="D306" s="855">
        <f>D305/C305-1</f>
        <v>0.10892817847048919</v>
      </c>
      <c r="E306" s="855">
        <f t="shared" ref="E306:P306" si="111">E305/D305-1</f>
        <v>6.9528499899353724E-2</v>
      </c>
      <c r="F306" s="855">
        <f t="shared" si="111"/>
        <v>6.9270181553055865E-2</v>
      </c>
      <c r="G306" s="855">
        <f t="shared" si="111"/>
        <v>7.9791816867774257E-2</v>
      </c>
      <c r="H306" s="855">
        <f t="shared" si="111"/>
        <v>7.1743882562858463E-2</v>
      </c>
      <c r="I306" s="855">
        <f t="shared" si="111"/>
        <v>8.1277648004743908E-2</v>
      </c>
      <c r="J306" s="855">
        <f t="shared" si="111"/>
        <v>2.0244458379080843E-2</v>
      </c>
      <c r="K306" s="855">
        <f t="shared" si="111"/>
        <v>2.2795612851394642E-2</v>
      </c>
      <c r="L306" s="855">
        <f t="shared" si="111"/>
        <v>2.2700573801204271E-2</v>
      </c>
      <c r="M306" s="855">
        <f t="shared" si="111"/>
        <v>1.2169779600722741E-2</v>
      </c>
      <c r="N306" s="855">
        <f t="shared" si="111"/>
        <v>1.2147334111757058E-2</v>
      </c>
      <c r="O306" s="855">
        <f t="shared" si="111"/>
        <v>1.973780032621586E-2</v>
      </c>
      <c r="P306" s="855">
        <f t="shared" si="111"/>
        <v>2.7327411817509528E-2</v>
      </c>
    </row>
    <row r="307" spans="1:17" x14ac:dyDescent="0.2">
      <c r="A307" s="785" t="s">
        <v>428</v>
      </c>
      <c r="B307" s="766" t="s">
        <v>15</v>
      </c>
      <c r="C307" s="841">
        <f t="shared" ref="C307:P307" si="112">+C244</f>
        <v>1597244.1134754077</v>
      </c>
      <c r="D307" s="841">
        <f t="shared" si="112"/>
        <v>1791658.0463581537</v>
      </c>
      <c r="E307" s="841">
        <f t="shared" si="112"/>
        <v>1815201.8925317738</v>
      </c>
      <c r="F307" s="841">
        <f t="shared" si="112"/>
        <v>1839387.3101803618</v>
      </c>
      <c r="G307" s="841">
        <f t="shared" si="112"/>
        <v>1864237.8844699082</v>
      </c>
      <c r="H307" s="841">
        <f t="shared" si="112"/>
        <v>1854875.1096189558</v>
      </c>
      <c r="I307" s="841">
        <f t="shared" si="112"/>
        <v>1889743.9627646164</v>
      </c>
      <c r="J307" s="841">
        <f t="shared" si="112"/>
        <v>1924680.1604642377</v>
      </c>
      <c r="K307" s="841">
        <f t="shared" si="112"/>
        <v>1951711.2987910958</v>
      </c>
      <c r="L307" s="841">
        <f t="shared" si="112"/>
        <v>1979510.770735878</v>
      </c>
      <c r="M307" s="841">
        <f t="shared" si="112"/>
        <v>2008107.1410429874</v>
      </c>
      <c r="N307" s="841">
        <f t="shared" si="112"/>
        <v>2037530.1018528212</v>
      </c>
      <c r="O307" s="841">
        <f t="shared" si="112"/>
        <v>2067810.5177260113</v>
      </c>
      <c r="P307" s="841">
        <f t="shared" si="112"/>
        <v>2098980.4724700311</v>
      </c>
    </row>
    <row r="308" spans="1:17" x14ac:dyDescent="0.2">
      <c r="A308" s="762"/>
      <c r="B308" s="762"/>
      <c r="C308" s="815"/>
      <c r="D308" s="855">
        <f>D307/C307-1</f>
        <v>0.12171835929307329</v>
      </c>
      <c r="E308" s="855">
        <f t="shared" ref="E308" si="113">E307/D307-1</f>
        <v>1.3140814577579096E-2</v>
      </c>
      <c r="F308" s="855">
        <f t="shared" ref="F308" si="114">F307/E307-1</f>
        <v>1.3323816897774954E-2</v>
      </c>
      <c r="G308" s="855">
        <f t="shared" ref="G308" si="115">G307/F307-1</f>
        <v>1.3510245586672909E-2</v>
      </c>
      <c r="H308" s="855">
        <f t="shared" ref="H308" si="116">H307/G307-1</f>
        <v>-5.0223069324731862E-3</v>
      </c>
      <c r="I308" s="855">
        <f t="shared" ref="I308" si="117">I307/H307-1</f>
        <v>1.8798491049256461E-2</v>
      </c>
      <c r="J308" s="855">
        <f t="shared" ref="J308" si="118">J307/I307-1</f>
        <v>1.8487265147026033E-2</v>
      </c>
      <c r="K308" s="855">
        <f t="shared" ref="K308" si="119">K307/J307-1</f>
        <v>1.40444832768154E-2</v>
      </c>
      <c r="L308" s="855">
        <f t="shared" ref="L308" si="120">L307/K307-1</f>
        <v>1.4243639395847829E-2</v>
      </c>
      <c r="M308" s="855">
        <f t="shared" ref="M308" si="121">M307/L307-1</f>
        <v>1.444618070781134E-2</v>
      </c>
      <c r="N308" s="855">
        <f t="shared" ref="N308" si="122">N307/M307-1</f>
        <v>1.4652087136422409E-2</v>
      </c>
      <c r="O308" s="855">
        <f t="shared" ref="O308" si="123">O307/N307-1</f>
        <v>1.4861334242696422E-2</v>
      </c>
      <c r="P308" s="855">
        <f t="shared" ref="P308" si="124">P307/O307-1</f>
        <v>1.507389312358165E-2</v>
      </c>
    </row>
    <row r="309" spans="1:17" x14ac:dyDescent="0.2">
      <c r="A309" s="785" t="s">
        <v>429</v>
      </c>
      <c r="B309" s="766" t="s">
        <v>15</v>
      </c>
      <c r="C309" s="841">
        <f>+C265+C285</f>
        <v>3327640.0702458019</v>
      </c>
      <c r="D309" s="841">
        <f t="shared" ref="D309:P309" si="125">+D265+D285</f>
        <v>3712025.7806869145</v>
      </c>
      <c r="E309" s="841">
        <f t="shared" si="125"/>
        <v>4047512.4165222496</v>
      </c>
      <c r="F309" s="841">
        <f t="shared" si="125"/>
        <v>4228678.6210317677</v>
      </c>
      <c r="G309" s="841">
        <f t="shared" si="125"/>
        <v>4433683.4915239727</v>
      </c>
      <c r="H309" s="841">
        <f t="shared" si="125"/>
        <v>4687678.6700536935</v>
      </c>
      <c r="I309" s="841">
        <f t="shared" si="125"/>
        <v>4979963.7307191873</v>
      </c>
      <c r="J309" s="841">
        <f t="shared" si="125"/>
        <v>4906285.9077960812</v>
      </c>
      <c r="K309" s="841">
        <f t="shared" si="125"/>
        <v>5014238.3046687413</v>
      </c>
      <c r="L309" s="841">
        <f t="shared" si="125"/>
        <v>5123953.5028730733</v>
      </c>
      <c r="M309" s="841">
        <f t="shared" si="125"/>
        <v>5173881.5835870039</v>
      </c>
      <c r="N309" s="841">
        <f t="shared" si="125"/>
        <v>5223882.5520299105</v>
      </c>
      <c r="O309" s="841">
        <f t="shared" si="125"/>
        <v>5325931.6769137643</v>
      </c>
      <c r="P309" s="841">
        <f t="shared" si="125"/>
        <v>5482495.8405946884</v>
      </c>
    </row>
    <row r="310" spans="1:17" x14ac:dyDescent="0.2">
      <c r="A310" s="762"/>
      <c r="B310" s="762"/>
      <c r="C310" s="815"/>
      <c r="D310" s="855">
        <f>D309/C309-1</f>
        <v>0.11551300691385147</v>
      </c>
      <c r="E310" s="855">
        <f t="shared" ref="E310" si="126">E309/D309-1</f>
        <v>9.0378315145551946E-2</v>
      </c>
      <c r="F310" s="855">
        <f t="shared" ref="F310" si="127">F309/E309-1</f>
        <v>4.4759888510776058E-2</v>
      </c>
      <c r="G310" s="855">
        <f t="shared" ref="G310" si="128">G309/F309-1</f>
        <v>4.8479652597053002E-2</v>
      </c>
      <c r="H310" s="855">
        <f t="shared" ref="H310" si="129">H309/G309-1</f>
        <v>5.7287620781973247E-2</v>
      </c>
      <c r="I310" s="855">
        <f t="shared" ref="I310" si="130">I309/H309-1</f>
        <v>6.2351769657911671E-2</v>
      </c>
      <c r="J310" s="855">
        <f t="shared" ref="J310" si="131">J309/I309-1</f>
        <v>-1.4794851309582913E-2</v>
      </c>
      <c r="K310" s="855">
        <f t="shared" ref="K310" si="132">K309/J309-1</f>
        <v>2.2002875270909827E-2</v>
      </c>
      <c r="L310" s="855">
        <f t="shared" ref="L310" si="133">L309/K309-1</f>
        <v>2.1880730738739862E-2</v>
      </c>
      <c r="M310" s="855">
        <f t="shared" ref="M310" si="134">M309/L309-1</f>
        <v>9.7440542124231921E-3</v>
      </c>
      <c r="N310" s="855">
        <f t="shared" ref="N310" si="135">N309/M309-1</f>
        <v>9.6641114867266342E-3</v>
      </c>
      <c r="O310" s="855">
        <f t="shared" ref="O310" si="136">O309/N309-1</f>
        <v>1.9535110881120366E-2</v>
      </c>
      <c r="P310" s="855">
        <f t="shared" ref="P310" si="137">P309/O309-1</f>
        <v>2.9396577571503713E-2</v>
      </c>
    </row>
    <row r="311" spans="1:17" x14ac:dyDescent="0.2">
      <c r="A311" s="785" t="s">
        <v>430</v>
      </c>
      <c r="B311" s="766" t="s">
        <v>15</v>
      </c>
      <c r="C311" s="841">
        <f>+C302+C303</f>
        <v>384236.71169274714</v>
      </c>
      <c r="D311" s="841">
        <f t="shared" ref="D311:P311" si="138">+D302+D303</f>
        <v>384784.40822780156</v>
      </c>
      <c r="E311" s="841">
        <f t="shared" si="138"/>
        <v>435631.17841252097</v>
      </c>
      <c r="F311" s="841">
        <f t="shared" si="138"/>
        <v>667042.22312761517</v>
      </c>
      <c r="G311" s="841">
        <f t="shared" si="138"/>
        <v>975265.0568712377</v>
      </c>
      <c r="H311" s="841">
        <f t="shared" si="138"/>
        <v>1252996.6199342548</v>
      </c>
      <c r="I311" s="841">
        <f t="shared" si="138"/>
        <v>1560200.4158853786</v>
      </c>
      <c r="J311" s="841">
        <f t="shared" si="138"/>
        <v>1769225.8100188461</v>
      </c>
      <c r="K311" s="841">
        <f t="shared" si="138"/>
        <v>1829949.1420829191</v>
      </c>
      <c r="L311" s="841">
        <f t="shared" si="138"/>
        <v>1891751.1001758361</v>
      </c>
      <c r="M311" s="841">
        <f t="shared" si="138"/>
        <v>1922101.9561335766</v>
      </c>
      <c r="N311" s="841">
        <f t="shared" si="138"/>
        <v>1952649.6986827271</v>
      </c>
      <c r="O311" s="841">
        <f t="shared" si="138"/>
        <v>2001717.3416139935</v>
      </c>
      <c r="P311" s="841">
        <f t="shared" si="138"/>
        <v>2070432.3152907998</v>
      </c>
      <c r="Q311" s="753"/>
    </row>
    <row r="312" spans="1:17" x14ac:dyDescent="0.2">
      <c r="A312" s="785"/>
      <c r="B312" s="766"/>
      <c r="C312" s="775"/>
      <c r="D312" s="855">
        <f>D311/C311-1</f>
        <v>1.4254143822998167E-3</v>
      </c>
      <c r="E312" s="855">
        <f t="shared" ref="E312" si="139">E311/D311-1</f>
        <v>0.13214353050037553</v>
      </c>
      <c r="F312" s="855">
        <f t="shared" ref="F312" si="140">F311/E311-1</f>
        <v>0.5312086374496352</v>
      </c>
      <c r="G312" s="855">
        <f t="shared" ref="G312" si="141">G311/F311-1</f>
        <v>0.46207394833033666</v>
      </c>
      <c r="H312" s="855">
        <f t="shared" ref="H312" si="142">H311/G311-1</f>
        <v>0.28477546807020016</v>
      </c>
      <c r="I312" s="855">
        <f t="shared" ref="I312" si="143">I311/H311-1</f>
        <v>0.24517527905800973</v>
      </c>
      <c r="J312" s="855">
        <f t="shared" ref="J312" si="144">J311/I311-1</f>
        <v>0.13397342546845192</v>
      </c>
      <c r="K312" s="855">
        <f t="shared" ref="K312" si="145">K311/J311-1</f>
        <v>3.4321979546198422E-2</v>
      </c>
      <c r="L312" s="855">
        <f t="shared" ref="L312" si="146">L311/K311-1</f>
        <v>3.3772500378109749E-2</v>
      </c>
      <c r="M312" s="855">
        <f t="shared" ref="M312" si="147">M311/L311-1</f>
        <v>1.6043789246333429E-2</v>
      </c>
      <c r="N312" s="855">
        <f t="shared" ref="N312" si="148">N311/M311-1</f>
        <v>1.5892883544325054E-2</v>
      </c>
      <c r="O312" s="855">
        <f t="shared" ref="O312" si="149">O311/N311-1</f>
        <v>2.5128748369135367E-2</v>
      </c>
      <c r="P312" s="855">
        <f t="shared" ref="P312" si="150">P311/O311-1</f>
        <v>3.4328010378029239E-2</v>
      </c>
      <c r="Q312" s="753"/>
    </row>
    <row r="313" spans="1:17" x14ac:dyDescent="0.2">
      <c r="A313" s="785" t="s">
        <v>689</v>
      </c>
      <c r="B313" s="766" t="s">
        <v>15</v>
      </c>
      <c r="C313" s="841">
        <f>+C286</f>
        <v>15007.9614</v>
      </c>
      <c r="D313" s="841">
        <f t="shared" ref="D313:P313" si="151">+D286</f>
        <v>15608.279855999999</v>
      </c>
      <c r="E313" s="841">
        <f t="shared" si="151"/>
        <v>16232.611050240001</v>
      </c>
      <c r="F313" s="841">
        <f t="shared" si="151"/>
        <v>16881.915492249598</v>
      </c>
      <c r="G313" s="841">
        <f t="shared" si="151"/>
        <v>17557.192111939585</v>
      </c>
      <c r="H313" s="841">
        <f t="shared" si="151"/>
        <v>18259.479796417167</v>
      </c>
      <c r="I313" s="841">
        <f t="shared" si="151"/>
        <v>18989.858988273856</v>
      </c>
      <c r="J313" s="841">
        <f t="shared" si="151"/>
        <v>19749.453347804811</v>
      </c>
      <c r="K313" s="841">
        <f t="shared" si="151"/>
        <v>20539.431481717005</v>
      </c>
      <c r="L313" s="841">
        <f t="shared" si="151"/>
        <v>21361.008740985686</v>
      </c>
      <c r="M313" s="841">
        <f t="shared" si="151"/>
        <v>22215.449090625116</v>
      </c>
      <c r="N313" s="841">
        <f t="shared" si="151"/>
        <v>23104.067054250121</v>
      </c>
      <c r="O313" s="841">
        <f t="shared" si="151"/>
        <v>24028.229736420126</v>
      </c>
      <c r="P313" s="841">
        <f t="shared" si="151"/>
        <v>24989.358925876935</v>
      </c>
      <c r="Q313" s="753"/>
    </row>
    <row r="314" spans="1:17" x14ac:dyDescent="0.2">
      <c r="A314" s="762"/>
      <c r="B314" s="762"/>
      <c r="C314" s="815"/>
      <c r="D314" s="855">
        <f>D313/C313-1</f>
        <v>4.0000000000000036E-2</v>
      </c>
      <c r="E314" s="855">
        <f t="shared" ref="E314" si="152">E313/D313-1</f>
        <v>4.0000000000000036E-2</v>
      </c>
      <c r="F314" s="855">
        <f t="shared" ref="F314" si="153">F313/E313-1</f>
        <v>3.9999999999999813E-2</v>
      </c>
      <c r="G314" s="855">
        <f t="shared" ref="G314" si="154">G313/F313-1</f>
        <v>4.0000000000000258E-2</v>
      </c>
      <c r="H314" s="855">
        <f t="shared" ref="H314" si="155">H313/G313-1</f>
        <v>3.9999999999999813E-2</v>
      </c>
      <c r="I314" s="855">
        <f t="shared" ref="I314" si="156">I313/H313-1</f>
        <v>4.0000000000000258E-2</v>
      </c>
      <c r="J314" s="855">
        <f t="shared" ref="J314" si="157">J313/I313-1</f>
        <v>4.0000000000000036E-2</v>
      </c>
      <c r="K314" s="855">
        <f t="shared" ref="K314" si="158">K313/J313-1</f>
        <v>4.0000000000000036E-2</v>
      </c>
      <c r="L314" s="855">
        <f t="shared" ref="L314" si="159">L313/K313-1</f>
        <v>4.0000000000000036E-2</v>
      </c>
      <c r="M314" s="855">
        <f t="shared" ref="M314" si="160">M313/L313-1</f>
        <v>4.0000000000000036E-2</v>
      </c>
      <c r="N314" s="855">
        <f t="shared" ref="N314" si="161">N313/M313-1</f>
        <v>4.0000000000000036E-2</v>
      </c>
      <c r="O314" s="855">
        <f t="shared" ref="O314" si="162">O313/N313-1</f>
        <v>4.0000000000000036E-2</v>
      </c>
      <c r="P314" s="855">
        <f t="shared" ref="P314" si="163">P313/O313-1</f>
        <v>4.0000000000000258E-2</v>
      </c>
    </row>
    <row r="315" spans="1:17" ht="12" x14ac:dyDescent="0.2">
      <c r="A315" s="864" t="s">
        <v>114</v>
      </c>
      <c r="B315" s="757"/>
      <c r="C315" s="815"/>
      <c r="D315" s="815"/>
      <c r="E315" s="815"/>
      <c r="F315" s="815"/>
      <c r="G315" s="815"/>
      <c r="H315" s="815"/>
      <c r="I315" s="815"/>
      <c r="J315" s="815"/>
      <c r="K315" s="815"/>
      <c r="L315" s="815"/>
      <c r="M315" s="815"/>
      <c r="N315" s="815"/>
      <c r="O315" s="815"/>
      <c r="P315" s="815"/>
    </row>
    <row r="316" spans="1:17" x14ac:dyDescent="0.2">
      <c r="A316" s="762"/>
      <c r="B316" s="762"/>
      <c r="C316" s="815"/>
      <c r="D316" s="815"/>
      <c r="E316" s="815"/>
      <c r="F316" s="815"/>
      <c r="G316" s="815"/>
      <c r="H316" s="815"/>
      <c r="I316" s="815"/>
      <c r="J316" s="815"/>
      <c r="K316" s="815"/>
      <c r="L316" s="815"/>
      <c r="M316" s="815"/>
      <c r="N316" s="815"/>
      <c r="O316" s="815"/>
      <c r="P316" s="815"/>
    </row>
    <row r="317" spans="1:17" x14ac:dyDescent="0.2">
      <c r="A317" s="788" t="s">
        <v>354</v>
      </c>
      <c r="B317" s="762"/>
      <c r="C317" s="815"/>
      <c r="D317" s="815"/>
      <c r="E317" s="815"/>
      <c r="F317" s="815"/>
      <c r="G317" s="815"/>
      <c r="H317" s="815"/>
      <c r="I317" s="815"/>
      <c r="J317" s="815"/>
      <c r="K317" s="815"/>
      <c r="L317" s="815"/>
      <c r="M317" s="815"/>
      <c r="N317" s="815"/>
      <c r="O317" s="815"/>
      <c r="P317" s="815"/>
    </row>
    <row r="318" spans="1:17" x14ac:dyDescent="0.2">
      <c r="A318" s="788" t="s">
        <v>115</v>
      </c>
      <c r="B318" s="762"/>
      <c r="C318" s="815"/>
      <c r="D318" s="815"/>
      <c r="E318" s="815"/>
      <c r="F318" s="815"/>
      <c r="G318" s="815"/>
      <c r="H318" s="815"/>
      <c r="I318" s="815"/>
      <c r="J318" s="815"/>
      <c r="K318" s="815"/>
      <c r="L318" s="815"/>
      <c r="M318" s="815"/>
      <c r="N318" s="815"/>
      <c r="O318" s="815"/>
      <c r="P318" s="815"/>
    </row>
    <row r="319" spans="1:17" x14ac:dyDescent="0.2">
      <c r="A319" s="777" t="s">
        <v>116</v>
      </c>
      <c r="B319" s="766" t="s">
        <v>117</v>
      </c>
      <c r="C319" s="818">
        <f>+'ТЭЦ-1'!C69</f>
        <v>387.277988797901</v>
      </c>
      <c r="D319" s="818">
        <f>+'ТЭЦ-1'!D69</f>
        <v>336.85</v>
      </c>
      <c r="E319" s="818">
        <f>+'ТЭЦ-1'!E69</f>
        <v>260.02499999999998</v>
      </c>
      <c r="F319" s="818">
        <f>+'ТЭЦ-1'!F69</f>
        <v>183.2</v>
      </c>
      <c r="G319" s="818">
        <f>+'ТЭЦ-1'!G69</f>
        <v>183.2</v>
      </c>
      <c r="H319" s="818">
        <f>+'ТЭЦ-1'!H69</f>
        <v>183.2</v>
      </c>
      <c r="I319" s="818">
        <f>+'ТЭЦ-1'!I69</f>
        <v>165.78977547434022</v>
      </c>
      <c r="J319" s="818">
        <f>+'ТЭЦ-1'!J69</f>
        <v>165.78977547434022</v>
      </c>
      <c r="K319" s="818">
        <f>+'ТЭЦ-1'!K69</f>
        <v>165.78977547434022</v>
      </c>
      <c r="L319" s="818">
        <f>+'ТЭЦ-1'!L69</f>
        <v>165.78977547434022</v>
      </c>
      <c r="M319" s="818">
        <f>+'ТЭЦ-1'!M69</f>
        <v>165.78977547434022</v>
      </c>
      <c r="N319" s="818">
        <f>+'ТЭЦ-1'!N69</f>
        <v>165.78977547434022</v>
      </c>
      <c r="O319" s="818">
        <f>+'ТЭЦ-1'!O69</f>
        <v>165.78977547434022</v>
      </c>
      <c r="P319" s="818">
        <f>+'ТЭЦ-1'!P69</f>
        <v>165.78977547434022</v>
      </c>
    </row>
    <row r="320" spans="1:17" x14ac:dyDescent="0.2">
      <c r="A320" s="777" t="s">
        <v>118</v>
      </c>
      <c r="B320" s="766" t="s">
        <v>119</v>
      </c>
      <c r="C320" s="818">
        <f>+'ТЭЦ-1'!C71</f>
        <v>152.56357381952233</v>
      </c>
      <c r="D320" s="818">
        <f>+'ТЭЦ-1'!D71</f>
        <v>158.69999999999999</v>
      </c>
      <c r="E320" s="818">
        <f>+'ТЭЦ-1'!E71</f>
        <v>165.65</v>
      </c>
      <c r="F320" s="818">
        <f>+'ТЭЦ-1'!F71</f>
        <v>172.6</v>
      </c>
      <c r="G320" s="818">
        <f>+'ТЭЦ-1'!G71</f>
        <v>171.78326699930074</v>
      </c>
      <c r="H320" s="818">
        <f>+'ТЭЦ-1'!H71</f>
        <v>171.78326699930074</v>
      </c>
      <c r="I320" s="818">
        <f>+'ТЭЦ-1'!I71</f>
        <v>171.78326699930074</v>
      </c>
      <c r="J320" s="818">
        <f>+'ТЭЦ-1'!J71</f>
        <v>171.78326699930074</v>
      </c>
      <c r="K320" s="818">
        <f>+'ТЭЦ-1'!K71</f>
        <v>171.78326699930074</v>
      </c>
      <c r="L320" s="818">
        <f>+'ТЭЦ-1'!L71</f>
        <v>171.78326699930074</v>
      </c>
      <c r="M320" s="818">
        <f>+'ТЭЦ-1'!M71</f>
        <v>171.78326699930074</v>
      </c>
      <c r="N320" s="818">
        <f>+'ТЭЦ-1'!N71</f>
        <v>171.78326699930074</v>
      </c>
      <c r="O320" s="818">
        <f>+'ТЭЦ-1'!O71</f>
        <v>171.78326699930074</v>
      </c>
      <c r="P320" s="818">
        <f>+'ТЭЦ-1'!P71</f>
        <v>171.78326699930074</v>
      </c>
    </row>
    <row r="321" spans="1:16" x14ac:dyDescent="0.2">
      <c r="A321" s="777" t="s">
        <v>146</v>
      </c>
      <c r="B321" s="766" t="s">
        <v>37</v>
      </c>
      <c r="C321" s="818">
        <f>+'ТЭЦ-1'!C66</f>
        <v>47063.201911145006</v>
      </c>
      <c r="D321" s="818">
        <f>+'ТЭЦ-1'!D66</f>
        <v>51962.080863644973</v>
      </c>
      <c r="E321" s="818">
        <f>+'ТЭЦ-1'!E66</f>
        <v>52044.416406041506</v>
      </c>
      <c r="F321" s="818">
        <f>+'ТЭЦ-1'!F66</f>
        <v>50663.373382016638</v>
      </c>
      <c r="G321" s="818">
        <f>+'ТЭЦ-1'!G66</f>
        <v>50207.06160058362</v>
      </c>
      <c r="H321" s="818">
        <f>+'ТЭЦ-1'!H66</f>
        <v>49636.904944113179</v>
      </c>
      <c r="I321" s="818">
        <f>+'ТЭЦ-1'!I66</f>
        <v>49179.653811439377</v>
      </c>
      <c r="J321" s="818">
        <f>+'ТЭЦ-1'!J66</f>
        <v>48824.986439021515</v>
      </c>
      <c r="K321" s="818">
        <f>+'ТЭЦ-1'!K66</f>
        <v>49958.278592240495</v>
      </c>
      <c r="L321" s="818">
        <f>+'ТЭЦ-1'!L66</f>
        <v>51091.570745459474</v>
      </c>
      <c r="M321" s="818">
        <f>+'ТЭЦ-1'!M66</f>
        <v>51183.893246725245</v>
      </c>
      <c r="N321" s="818">
        <f>+'ТЭЦ-1'!N66</f>
        <v>51276.215747991017</v>
      </c>
      <c r="O321" s="818">
        <f>+'ТЭЦ-1'!O66</f>
        <v>51368.538249256788</v>
      </c>
      <c r="P321" s="818">
        <f>+'ТЭЦ-1'!P66</f>
        <v>51460.860750522559</v>
      </c>
    </row>
    <row r="322" spans="1:16" x14ac:dyDescent="0.2">
      <c r="A322" s="767" t="s">
        <v>120</v>
      </c>
      <c r="B322" s="766" t="s">
        <v>15</v>
      </c>
      <c r="C322" s="775">
        <f>+'ТЭЦ-1'!C164</f>
        <v>244511.01966972728</v>
      </c>
      <c r="D322" s="775">
        <f>+'ТЭЦ-1'!D164</f>
        <v>280170.5294088822</v>
      </c>
      <c r="E322" s="775">
        <f>+'ТЭЦ-1'!E164</f>
        <v>289561.00129189162</v>
      </c>
      <c r="F322" s="775">
        <f>+'ТЭЦ-1'!F164</f>
        <v>290333.57048706012</v>
      </c>
      <c r="G322" s="775">
        <f>+'ТЭЦ-1'!G164</f>
        <v>296350.17014550843</v>
      </c>
      <c r="H322" s="775">
        <f>+'ТЭЦ-1'!H164</f>
        <v>301774.33013285085</v>
      </c>
      <c r="I322" s="775">
        <f>+'ТЭЦ-1'!I164</f>
        <v>307964.24182525364</v>
      </c>
      <c r="J322" s="775">
        <f>+'ТЭЦ-1'!J164</f>
        <v>314915.60489886493</v>
      </c>
      <c r="K322" s="775">
        <f>+'ТЭЦ-1'!K164</f>
        <v>331891.96659577452</v>
      </c>
      <c r="L322" s="775">
        <f>+'ТЭЦ-1'!L164</f>
        <v>349603.4859500897</v>
      </c>
      <c r="M322" s="775">
        <f>+'ТЭЦ-1'!M164</f>
        <v>360742.27626475802</v>
      </c>
      <c r="N322" s="775">
        <f>+'ТЭЦ-1'!N164</f>
        <v>372234.75086095143</v>
      </c>
      <c r="O322" s="775">
        <f>+'ТЭЦ-1'!O164</f>
        <v>384092.10588427813</v>
      </c>
      <c r="P322" s="775">
        <f>+'ТЭЦ-1'!P164</f>
        <v>396325.89093322959</v>
      </c>
    </row>
    <row r="323" spans="1:16" x14ac:dyDescent="0.2">
      <c r="A323" s="776" t="s">
        <v>271</v>
      </c>
      <c r="B323" s="766" t="s">
        <v>29</v>
      </c>
      <c r="C323" s="865">
        <f t="shared" ref="C323:P323" si="164">C322/C431</f>
        <v>0.59499218350753769</v>
      </c>
      <c r="D323" s="865">
        <f t="shared" si="164"/>
        <v>0.61556774174136131</v>
      </c>
      <c r="E323" s="865">
        <f t="shared" si="164"/>
        <v>0.61518146374368476</v>
      </c>
      <c r="F323" s="865">
        <f t="shared" si="164"/>
        <v>0.60629193966670258</v>
      </c>
      <c r="G323" s="865">
        <f t="shared" si="164"/>
        <v>0.60082506297008931</v>
      </c>
      <c r="H323" s="865">
        <f t="shared" si="164"/>
        <v>0.59350160430720555</v>
      </c>
      <c r="I323" s="865">
        <f t="shared" si="164"/>
        <v>0.59020685952693086</v>
      </c>
      <c r="J323" s="865">
        <f t="shared" si="164"/>
        <v>0.58682665430129932</v>
      </c>
      <c r="K323" s="865">
        <f t="shared" si="164"/>
        <v>0.59120102958968312</v>
      </c>
      <c r="L323" s="865">
        <f t="shared" si="164"/>
        <v>0.5953926443275156</v>
      </c>
      <c r="M323" s="865">
        <f t="shared" si="164"/>
        <v>0.59457855220441869</v>
      </c>
      <c r="N323" s="865">
        <f t="shared" si="164"/>
        <v>0.59373368839209795</v>
      </c>
      <c r="O323" s="865">
        <f t="shared" si="164"/>
        <v>0.5928587715376854</v>
      </c>
      <c r="P323" s="865">
        <f t="shared" si="164"/>
        <v>0.60198985975430352</v>
      </c>
    </row>
    <row r="324" spans="1:16" x14ac:dyDescent="0.2">
      <c r="A324" s="762"/>
      <c r="B324" s="762"/>
      <c r="C324" s="815"/>
      <c r="D324" s="815"/>
      <c r="E324" s="815"/>
      <c r="F324" s="815"/>
      <c r="G324" s="815"/>
      <c r="H324" s="815"/>
      <c r="I324" s="815"/>
      <c r="J324" s="815"/>
      <c r="K324" s="815"/>
      <c r="L324" s="815"/>
      <c r="M324" s="815"/>
      <c r="N324" s="815"/>
      <c r="O324" s="815"/>
      <c r="P324" s="815"/>
    </row>
    <row r="325" spans="1:16" x14ac:dyDescent="0.2">
      <c r="A325" s="788" t="s">
        <v>297</v>
      </c>
      <c r="B325" s="762"/>
      <c r="C325" s="815"/>
      <c r="D325" s="815"/>
      <c r="E325" s="815"/>
      <c r="F325" s="815"/>
      <c r="G325" s="815"/>
      <c r="H325" s="815"/>
      <c r="I325" s="815"/>
      <c r="J325" s="815"/>
      <c r="K325" s="815"/>
      <c r="L325" s="815"/>
      <c r="M325" s="815"/>
      <c r="N325" s="815"/>
      <c r="O325" s="815"/>
      <c r="P325" s="815"/>
    </row>
    <row r="326" spans="1:16" x14ac:dyDescent="0.2">
      <c r="A326" s="777" t="s">
        <v>116</v>
      </c>
      <c r="B326" s="766" t="s">
        <v>117</v>
      </c>
      <c r="C326" s="818">
        <f>+'ТЭЦ-3'!C62</f>
        <v>316.50492347461909</v>
      </c>
      <c r="D326" s="818">
        <f>+'ТЭЦ-3'!D62</f>
        <v>309.50475451523744</v>
      </c>
      <c r="E326" s="818">
        <f>+'ТЭЦ-3'!E62</f>
        <v>308.57</v>
      </c>
      <c r="F326" s="818">
        <f>+'ТЭЦ-3'!F62</f>
        <v>307.66864177050394</v>
      </c>
      <c r="G326" s="818">
        <f>+'ТЭЦ-3'!G62</f>
        <v>307.66864177050394</v>
      </c>
      <c r="H326" s="818">
        <f>+'ТЭЦ-3'!H62</f>
        <v>305.21863705110445</v>
      </c>
      <c r="I326" s="818">
        <f>+'ТЭЦ-3'!I62</f>
        <v>305.21863705110445</v>
      </c>
      <c r="J326" s="818">
        <f>+'ТЭЦ-3'!J62</f>
        <v>305.21863705110445</v>
      </c>
      <c r="K326" s="818">
        <f>+'ТЭЦ-3'!K62</f>
        <v>305.21863705110445</v>
      </c>
      <c r="L326" s="818">
        <f>+'ТЭЦ-3'!L62</f>
        <v>305.21863705110445</v>
      </c>
      <c r="M326" s="818">
        <f>+'ТЭЦ-3'!M62</f>
        <v>305.21863705110445</v>
      </c>
      <c r="N326" s="818">
        <f>+'ТЭЦ-3'!N62</f>
        <v>305.21863705110445</v>
      </c>
      <c r="O326" s="818">
        <f>+'ТЭЦ-3'!O62</f>
        <v>305.21863705110445</v>
      </c>
      <c r="P326" s="818">
        <f>+'ТЭЦ-3'!P62</f>
        <v>305.21863705110445</v>
      </c>
    </row>
    <row r="327" spans="1:16" x14ac:dyDescent="0.2">
      <c r="A327" s="777" t="s">
        <v>118</v>
      </c>
      <c r="B327" s="766" t="s">
        <v>119</v>
      </c>
      <c r="C327" s="818">
        <f>+'ТЭЦ-3'!C64</f>
        <v>136.47914490681825</v>
      </c>
      <c r="D327" s="818">
        <f>+'ТЭЦ-3'!D64</f>
        <v>135.03630366350041</v>
      </c>
      <c r="E327" s="818">
        <f>+'ТЭЦ-3'!E64</f>
        <v>135.49</v>
      </c>
      <c r="F327" s="818">
        <f>+'ТЭЦ-3'!F64</f>
        <v>135.27888166786261</v>
      </c>
      <c r="G327" s="818">
        <f>+'ТЭЦ-3'!G64</f>
        <v>135.27888166786261</v>
      </c>
      <c r="H327" s="818">
        <f>+'ТЭЦ-3'!H64</f>
        <v>135.27888166786261</v>
      </c>
      <c r="I327" s="818">
        <f>+'ТЭЦ-3'!I64</f>
        <v>135.27888166786261</v>
      </c>
      <c r="J327" s="818">
        <f>+'ТЭЦ-3'!J64</f>
        <v>135.27888166786261</v>
      </c>
      <c r="K327" s="818">
        <f>+'ТЭЦ-3'!K64</f>
        <v>135.27888166786261</v>
      </c>
      <c r="L327" s="818">
        <f>+'ТЭЦ-3'!L64</f>
        <v>135.27888166786261</v>
      </c>
      <c r="M327" s="818">
        <f>+'ТЭЦ-3'!M64</f>
        <v>135.27888166786261</v>
      </c>
      <c r="N327" s="818">
        <f>+'ТЭЦ-3'!N64</f>
        <v>135.27888166786261</v>
      </c>
      <c r="O327" s="818">
        <f>+'ТЭЦ-3'!O64</f>
        <v>135.27888166786261</v>
      </c>
      <c r="P327" s="818">
        <f>+'ТЭЦ-3'!P64</f>
        <v>135.27888166786261</v>
      </c>
    </row>
    <row r="328" spans="1:16" x14ac:dyDescent="0.2">
      <c r="A328" s="777" t="s">
        <v>146</v>
      </c>
      <c r="B328" s="766" t="s">
        <v>37</v>
      </c>
      <c r="C328" s="818">
        <f>+'ТЭЦ-3'!C59</f>
        <v>313937.93037928909</v>
      </c>
      <c r="D328" s="818">
        <f>+'ТЭЦ-3'!D59</f>
        <v>328457.14977868728</v>
      </c>
      <c r="E328" s="818">
        <f>+'ТЭЦ-3'!E59</f>
        <v>331286.83753838134</v>
      </c>
      <c r="F328" s="818">
        <f>+'ТЭЦ-3'!F59</f>
        <v>326913.85292587429</v>
      </c>
      <c r="G328" s="818">
        <f>+'ТЭЦ-3'!G59</f>
        <v>324773.69338607334</v>
      </c>
      <c r="H328" s="818">
        <f>+'ТЭЦ-3'!H59</f>
        <v>323013.03085206292</v>
      </c>
      <c r="I328" s="818">
        <f>+'ТЭЦ-3'!I59</f>
        <v>321906.39747628249</v>
      </c>
      <c r="J328" s="818">
        <f>+'ТЭЦ-3'!J59</f>
        <v>321197.53643919504</v>
      </c>
      <c r="K328" s="818">
        <f>+'ТЭЦ-3'!K59</f>
        <v>324912.61111399496</v>
      </c>
      <c r="L328" s="818">
        <f>+'ТЭЦ-3'!L59</f>
        <v>328461.19150715182</v>
      </c>
      <c r="M328" s="818">
        <f>+'ТЭЦ-3'!M59</f>
        <v>331323.67099082575</v>
      </c>
      <c r="N328" s="818">
        <f>+'ТЭЦ-3'!N59</f>
        <v>334186.15047449968</v>
      </c>
      <c r="O328" s="818">
        <f>+'ТЭЦ-3'!O59</f>
        <v>337048.62995817361</v>
      </c>
      <c r="P328" s="818">
        <f>+'ТЭЦ-3'!P59</f>
        <v>339911.10944184754</v>
      </c>
    </row>
    <row r="329" spans="1:16" x14ac:dyDescent="0.2">
      <c r="A329" s="767" t="s">
        <v>120</v>
      </c>
      <c r="B329" s="766" t="s">
        <v>15</v>
      </c>
      <c r="C329" s="775">
        <f>+'ТЭЦ-3'!C162</f>
        <v>1553575.1361030394</v>
      </c>
      <c r="D329" s="775">
        <f>+'ТЭЦ-3'!D162</f>
        <v>1684508.6361866896</v>
      </c>
      <c r="E329" s="775">
        <f>+'ТЭЦ-3'!E162</f>
        <v>1756659.9529051222</v>
      </c>
      <c r="F329" s="775">
        <f>+'ТЭЦ-3'!F162</f>
        <v>1785476.2117460021</v>
      </c>
      <c r="G329" s="775">
        <f>+'ТЭЦ-3'!G162</f>
        <v>1827001.1182101951</v>
      </c>
      <c r="H329" s="775">
        <f>+'ТЭЦ-3'!H162</f>
        <v>1871609.4806899899</v>
      </c>
      <c r="I329" s="775">
        <f>+'ТЭЦ-3'!I162</f>
        <v>1921153.3223188184</v>
      </c>
      <c r="J329" s="775">
        <f>+'ТЭЦ-3'!J162</f>
        <v>1974430.4886799627</v>
      </c>
      <c r="K329" s="775">
        <f>+'ТЭЦ-3'!K162</f>
        <v>2057185.4125393564</v>
      </c>
      <c r="L329" s="775">
        <f>+'ТЭЦ-3'!L162</f>
        <v>2142042.8604485309</v>
      </c>
      <c r="M329" s="775">
        <f>+'ТЭЦ-3'!M162</f>
        <v>2225531.685212451</v>
      </c>
      <c r="N329" s="775">
        <f>+'ТЭЦ-3'!N162</f>
        <v>2312102.0008878033</v>
      </c>
      <c r="O329" s="775">
        <f>+'ТЭЦ-3'!O162</f>
        <v>2401863.5569869848</v>
      </c>
      <c r="P329" s="775">
        <f>+'ТЭЦ-3'!P162</f>
        <v>2494929.9146513185</v>
      </c>
    </row>
    <row r="330" spans="1:16" x14ac:dyDescent="0.2">
      <c r="A330" s="767" t="s">
        <v>271</v>
      </c>
      <c r="B330" s="766" t="s">
        <v>29</v>
      </c>
      <c r="C330" s="865">
        <f t="shared" ref="C330:P330" si="165">+C329/C434</f>
        <v>0.71118677867109659</v>
      </c>
      <c r="D330" s="865">
        <f t="shared" si="165"/>
        <v>0.70376454424163293</v>
      </c>
      <c r="E330" s="865">
        <f t="shared" si="165"/>
        <v>0.70536741681506743</v>
      </c>
      <c r="F330" s="865">
        <f t="shared" si="165"/>
        <v>0.7061092692436215</v>
      </c>
      <c r="G330" s="865">
        <f t="shared" si="165"/>
        <v>0.710069102094528</v>
      </c>
      <c r="H330" s="865">
        <f t="shared" si="165"/>
        <v>0.7161026293949494</v>
      </c>
      <c r="I330" s="865">
        <f t="shared" si="165"/>
        <v>0.71860015247098763</v>
      </c>
      <c r="J330" s="865">
        <f t="shared" si="165"/>
        <v>0.72465216627793982</v>
      </c>
      <c r="K330" s="865">
        <f t="shared" si="165"/>
        <v>0.73074379993106808</v>
      </c>
      <c r="L330" s="865">
        <f t="shared" si="165"/>
        <v>0.73177176693118129</v>
      </c>
      <c r="M330" s="865">
        <f t="shared" si="165"/>
        <v>0.73241265643702047</v>
      </c>
      <c r="N330" s="865">
        <f t="shared" si="165"/>
        <v>0.73301137672928274</v>
      </c>
      <c r="O330" s="865">
        <f t="shared" si="165"/>
        <v>0.7335689772341899</v>
      </c>
      <c r="P330" s="865">
        <f t="shared" si="165"/>
        <v>0.73408647829724771</v>
      </c>
    </row>
    <row r="331" spans="1:16" x14ac:dyDescent="0.2">
      <c r="A331" s="762"/>
      <c r="B331" s="762"/>
      <c r="C331" s="815"/>
      <c r="D331" s="815"/>
      <c r="E331" s="815"/>
      <c r="F331" s="815"/>
      <c r="G331" s="815"/>
      <c r="H331" s="815"/>
      <c r="I331" s="815"/>
      <c r="J331" s="815"/>
      <c r="K331" s="815"/>
      <c r="L331" s="815"/>
      <c r="M331" s="815"/>
      <c r="N331" s="815"/>
      <c r="O331" s="815"/>
      <c r="P331" s="815"/>
    </row>
    <row r="332" spans="1:16" x14ac:dyDescent="0.2">
      <c r="A332" s="788" t="s">
        <v>313</v>
      </c>
      <c r="B332" s="762"/>
      <c r="C332" s="815"/>
      <c r="D332" s="815"/>
      <c r="E332" s="815"/>
      <c r="F332" s="815"/>
      <c r="G332" s="815"/>
      <c r="H332" s="815"/>
      <c r="I332" s="815"/>
      <c r="J332" s="815"/>
      <c r="K332" s="815"/>
      <c r="L332" s="815"/>
      <c r="M332" s="815"/>
      <c r="N332" s="815"/>
      <c r="O332" s="815"/>
      <c r="P332" s="815"/>
    </row>
    <row r="333" spans="1:16" x14ac:dyDescent="0.2">
      <c r="A333" s="777" t="s">
        <v>116</v>
      </c>
      <c r="B333" s="766" t="s">
        <v>117</v>
      </c>
      <c r="C333" s="818">
        <f>+'ТЭЦ-4'!C63</f>
        <v>365.7326907941013</v>
      </c>
      <c r="D333" s="818">
        <f>+'ТЭЦ-4'!D63</f>
        <v>365.7326907941013</v>
      </c>
      <c r="E333" s="818">
        <f>+'ТЭЦ-4'!E63</f>
        <v>343.19623257259053</v>
      </c>
      <c r="F333" s="818">
        <f>+'ТЭЦ-4'!F63</f>
        <v>320.65977435107976</v>
      </c>
      <c r="G333" s="818">
        <f>+'ТЭЦ-4'!G63</f>
        <v>298.12331612956899</v>
      </c>
      <c r="H333" s="818">
        <f>+'ТЭЦ-4'!H63</f>
        <v>275.58685790805822</v>
      </c>
      <c r="I333" s="818">
        <f>+'ТЭЦ-4'!I63</f>
        <v>269.0616500505551</v>
      </c>
      <c r="J333" s="818">
        <f>+'ТЭЦ-4'!J63</f>
        <v>268.9598003314768</v>
      </c>
      <c r="K333" s="818">
        <f>+'ТЭЦ-4'!K63</f>
        <v>268.9598003314768</v>
      </c>
      <c r="L333" s="818">
        <f>+'ТЭЦ-4'!L63</f>
        <v>268.9598003314768</v>
      </c>
      <c r="M333" s="818">
        <f>+'ТЭЦ-4'!M63</f>
        <v>268.9598003314768</v>
      </c>
      <c r="N333" s="818">
        <f>+'ТЭЦ-4'!N63</f>
        <v>268.9598003314768</v>
      </c>
      <c r="O333" s="818">
        <f>+'ТЭЦ-4'!O63</f>
        <v>268.9598003314768</v>
      </c>
      <c r="P333" s="818">
        <f>+'ТЭЦ-4'!P63</f>
        <v>268.9598003314768</v>
      </c>
    </row>
    <row r="334" spans="1:16" x14ac:dyDescent="0.2">
      <c r="A334" s="777" t="s">
        <v>118</v>
      </c>
      <c r="B334" s="766" t="s">
        <v>119</v>
      </c>
      <c r="C334" s="818">
        <f>+'ТЭЦ-4'!C65</f>
        <v>140.7779363565912</v>
      </c>
      <c r="D334" s="818">
        <f>+'ТЭЦ-4'!D65</f>
        <v>141.69999999999999</v>
      </c>
      <c r="E334" s="818">
        <f>+'ТЭЦ-4'!E65</f>
        <v>148.05513622809971</v>
      </c>
      <c r="F334" s="818">
        <f>+'ТЭЦ-4'!F65</f>
        <v>154.41027245619944</v>
      </c>
      <c r="G334" s="818">
        <f>+'ТЭЦ-4'!G65</f>
        <v>160.76540868429916</v>
      </c>
      <c r="H334" s="818">
        <f>+'ТЭЦ-4'!H65</f>
        <v>167.12054491239888</v>
      </c>
      <c r="I334" s="818">
        <f>+'ТЭЦ-4'!I65</f>
        <v>166.68604937259565</v>
      </c>
      <c r="J334" s="818">
        <f>+'ТЭЦ-4'!J65</f>
        <v>166.68604937259565</v>
      </c>
      <c r="K334" s="818">
        <f>+'ТЭЦ-4'!K65</f>
        <v>166.68604937259565</v>
      </c>
      <c r="L334" s="818">
        <f>+'ТЭЦ-4'!L65</f>
        <v>166.68604937259565</v>
      </c>
      <c r="M334" s="818">
        <f>+'ТЭЦ-4'!M65</f>
        <v>166.68604937259565</v>
      </c>
      <c r="N334" s="818">
        <f>+'ТЭЦ-4'!N65</f>
        <v>166.68604937259565</v>
      </c>
      <c r="O334" s="818">
        <f>+'ТЭЦ-4'!O65</f>
        <v>166.68604937259565</v>
      </c>
      <c r="P334" s="818">
        <f>+'ТЭЦ-4'!P65</f>
        <v>166.68604937259565</v>
      </c>
    </row>
    <row r="335" spans="1:16" x14ac:dyDescent="0.2">
      <c r="A335" s="777" t="s">
        <v>146</v>
      </c>
      <c r="B335" s="766" t="s">
        <v>37</v>
      </c>
      <c r="C335" s="818">
        <f>+'ТЭЦ-4'!C60</f>
        <v>229558.28875033691</v>
      </c>
      <c r="D335" s="818">
        <f>+'ТЭЦ-4'!D60</f>
        <v>218467.63090490736</v>
      </c>
      <c r="E335" s="818">
        <f>+'ТЭЦ-4'!E60</f>
        <v>226264.14689861942</v>
      </c>
      <c r="F335" s="818">
        <f>+'ТЭЦ-4'!F60</f>
        <v>222270.49622549192</v>
      </c>
      <c r="G335" s="818">
        <f>+'ТЭЦ-4'!G60</f>
        <v>217290.47152050814</v>
      </c>
      <c r="H335" s="818">
        <f>+'ТЭЦ-4'!H60</f>
        <v>216322.79000413162</v>
      </c>
      <c r="I335" s="818">
        <f>+'ТЭЦ-4'!I60</f>
        <v>215819.28104770218</v>
      </c>
      <c r="J335" s="818">
        <f>+'ТЭЦ-4'!J60</f>
        <v>215603.93559881754</v>
      </c>
      <c r="K335" s="818">
        <f>+'ТЭЦ-4'!K60</f>
        <v>220200.69308052311</v>
      </c>
      <c r="L335" s="818">
        <f>+'ТЭЦ-4'!L60</f>
        <v>224797.45056222868</v>
      </c>
      <c r="M335" s="818">
        <f>+'ТЭЦ-4'!M60</f>
        <v>225312.09590423849</v>
      </c>
      <c r="N335" s="818">
        <f>+'ТЭЦ-4'!N60</f>
        <v>225826.74124624833</v>
      </c>
      <c r="O335" s="818">
        <f>+'ТЭЦ-4'!O60</f>
        <v>226341.38658825814</v>
      </c>
      <c r="P335" s="818">
        <f>+'ТЭЦ-4'!P60</f>
        <v>226856.03193026796</v>
      </c>
    </row>
    <row r="336" spans="1:16" x14ac:dyDescent="0.2">
      <c r="A336" s="767" t="s">
        <v>120</v>
      </c>
      <c r="B336" s="766" t="s">
        <v>15</v>
      </c>
      <c r="C336" s="775">
        <f>+'ТЭЦ-4'!C168</f>
        <v>1136467.5690499998</v>
      </c>
      <c r="D336" s="775">
        <f>+'ТЭЦ-4'!D168</f>
        <v>1120421.982698584</v>
      </c>
      <c r="E336" s="775">
        <f>+'ТЭЦ-4'!E168</f>
        <v>1199626.6063923356</v>
      </c>
      <c r="F336" s="775">
        <f>+'ТЭЦ-4'!F168</f>
        <v>1213806.3095070361</v>
      </c>
      <c r="G336" s="775">
        <f>+'ТЭЦ-4'!G168</f>
        <v>1222209.0034458465</v>
      </c>
      <c r="H336" s="775">
        <f>+'ТЭЦ-4'!H168</f>
        <v>1253268.9976499034</v>
      </c>
      <c r="I336" s="775">
        <f>+'ТЭЦ-4'!I168</f>
        <v>1287862.4690806773</v>
      </c>
      <c r="J336" s="775">
        <f>+'ТЭЦ-4'!J168</f>
        <v>1325174.7571427822</v>
      </c>
      <c r="K336" s="775">
        <f>+'ТЭЦ-4'!K168</f>
        <v>1394030.8238815495</v>
      </c>
      <c r="L336" s="775">
        <f>+'ТЭЦ-4'!L168</f>
        <v>1465825.5973432148</v>
      </c>
      <c r="M336" s="775">
        <f>+'ТЭЦ-4'!M168</f>
        <v>1513256.8623163211</v>
      </c>
      <c r="N336" s="775">
        <f>+'ТЭЦ-4'!N168</f>
        <v>1562214.7601502056</v>
      </c>
      <c r="O336" s="775">
        <f>+'ТЭЦ-4'!O168</f>
        <v>1612748.2006780382</v>
      </c>
      <c r="P336" s="775">
        <f>+'ТЭЦ-4'!P168</f>
        <v>1664907.6543534053</v>
      </c>
    </row>
    <row r="337" spans="1:16" x14ac:dyDescent="0.2">
      <c r="A337" s="785" t="s">
        <v>271</v>
      </c>
      <c r="B337" s="766" t="s">
        <v>29</v>
      </c>
      <c r="C337" s="866">
        <f t="shared" ref="C337:P337" si="166">+C336/C437</f>
        <v>0.70982052275153706</v>
      </c>
      <c r="D337" s="866">
        <f t="shared" si="166"/>
        <v>0.68733341860687924</v>
      </c>
      <c r="E337" s="866">
        <f t="shared" si="166"/>
        <v>0.69555614057121773</v>
      </c>
      <c r="F337" s="866">
        <f t="shared" si="166"/>
        <v>0.68948346962576723</v>
      </c>
      <c r="G337" s="866">
        <f t="shared" si="166"/>
        <v>0.68328744472834835</v>
      </c>
      <c r="H337" s="866">
        <f t="shared" si="166"/>
        <v>0.68044505729830218</v>
      </c>
      <c r="I337" s="866">
        <f t="shared" si="166"/>
        <v>0.68228099991982127</v>
      </c>
      <c r="J337" s="866">
        <f t="shared" si="166"/>
        <v>0.67851863109801991</v>
      </c>
      <c r="K337" s="866">
        <f t="shared" si="166"/>
        <v>0.68305259992547707</v>
      </c>
      <c r="L337" s="866">
        <f t="shared" si="166"/>
        <v>0.68730727609880027</v>
      </c>
      <c r="M337" s="866">
        <f t="shared" si="166"/>
        <v>0.68755007246017863</v>
      </c>
      <c r="N337" s="866">
        <f t="shared" si="166"/>
        <v>0.6877423263614072</v>
      </c>
      <c r="O337" s="866">
        <f t="shared" si="166"/>
        <v>0.68788517923365233</v>
      </c>
      <c r="P337" s="866">
        <f t="shared" si="166"/>
        <v>0.68797967400859228</v>
      </c>
    </row>
    <row r="338" spans="1:16" x14ac:dyDescent="0.2">
      <c r="A338" s="762"/>
      <c r="B338" s="762"/>
      <c r="C338" s="815"/>
      <c r="D338" s="815"/>
      <c r="E338" s="815"/>
      <c r="F338" s="815"/>
      <c r="G338" s="815"/>
      <c r="H338" s="815"/>
      <c r="I338" s="815"/>
      <c r="J338" s="815"/>
      <c r="K338" s="815"/>
      <c r="L338" s="815"/>
      <c r="M338" s="815"/>
      <c r="N338" s="815"/>
      <c r="O338" s="815"/>
      <c r="P338" s="815"/>
    </row>
    <row r="339" spans="1:16" x14ac:dyDescent="0.2">
      <c r="A339" s="788" t="s">
        <v>314</v>
      </c>
      <c r="B339" s="762"/>
      <c r="C339" s="815"/>
      <c r="D339" s="815"/>
      <c r="E339" s="815"/>
      <c r="F339" s="815"/>
      <c r="G339" s="815"/>
      <c r="H339" s="815"/>
      <c r="I339" s="815"/>
      <c r="J339" s="815"/>
      <c r="K339" s="815"/>
      <c r="L339" s="815"/>
      <c r="M339" s="815"/>
      <c r="N339" s="815"/>
      <c r="O339" s="815"/>
      <c r="P339" s="815"/>
    </row>
    <row r="340" spans="1:16" x14ac:dyDescent="0.2">
      <c r="A340" s="777" t="s">
        <v>118</v>
      </c>
      <c r="B340" s="766" t="s">
        <v>119</v>
      </c>
      <c r="C340" s="818">
        <f>+Кот.!C126</f>
        <v>155.56238608328283</v>
      </c>
      <c r="D340" s="818">
        <f>+Кот.!D126</f>
        <v>156.90739873326783</v>
      </c>
      <c r="E340" s="818">
        <f>+Кот.!E126</f>
        <v>156.95553585706867</v>
      </c>
      <c r="F340" s="818">
        <f>+Кот.!F126</f>
        <v>156.96020538526346</v>
      </c>
      <c r="G340" s="818">
        <f>+Кот.!G126</f>
        <v>156.96113510301771</v>
      </c>
      <c r="H340" s="818">
        <f>+Кот.!H126</f>
        <v>156.969512475637</v>
      </c>
      <c r="I340" s="818">
        <f>+Кот.!I126</f>
        <v>156.90738563307639</v>
      </c>
      <c r="J340" s="818">
        <f>+Кот.!J126</f>
        <v>156.91667031951189</v>
      </c>
      <c r="K340" s="818">
        <f>+Кот.!K126</f>
        <v>156.91942008042963</v>
      </c>
      <c r="L340" s="818">
        <f>+Кот.!L126</f>
        <v>156.92884680183502</v>
      </c>
      <c r="M340" s="818">
        <f>+Кот.!M126</f>
        <v>156.93646610364962</v>
      </c>
      <c r="N340" s="818">
        <f>+Кот.!N126</f>
        <v>156.94401843938851</v>
      </c>
      <c r="O340" s="818">
        <f>+Кот.!O126</f>
        <v>156.95150518215587</v>
      </c>
      <c r="P340" s="818">
        <f>+Кот.!P126</f>
        <v>156.9589276529031</v>
      </c>
    </row>
    <row r="341" spans="1:16" x14ac:dyDescent="0.2">
      <c r="A341" s="777" t="s">
        <v>146</v>
      </c>
      <c r="B341" s="766" t="s">
        <v>37</v>
      </c>
      <c r="C341" s="818">
        <f>+Кот.!C105</f>
        <v>76144.628848276683</v>
      </c>
      <c r="D341" s="818">
        <f>+Кот.!D105</f>
        <v>118905.20382665782</v>
      </c>
      <c r="E341" s="818">
        <f>+Кот.!E105</f>
        <v>113616.72327548829</v>
      </c>
      <c r="F341" s="818">
        <f>+Кот.!F105</f>
        <v>111074.36294170211</v>
      </c>
      <c r="G341" s="818">
        <f>+Кот.!G105</f>
        <v>109299.49866343522</v>
      </c>
      <c r="H341" s="818">
        <f>+Кот.!H105</f>
        <v>106733.0553304995</v>
      </c>
      <c r="I341" s="818">
        <f>+Кот.!I105</f>
        <v>104366.39023940603</v>
      </c>
      <c r="J341" s="818">
        <f>+Кот.!J105</f>
        <v>102175.32762003165</v>
      </c>
      <c r="K341" s="818">
        <f>+Кот.!K105</f>
        <v>102590.1285710293</v>
      </c>
      <c r="L341" s="818">
        <f>+Кот.!L105</f>
        <v>103165.10506443992</v>
      </c>
      <c r="M341" s="818">
        <f>+Кот.!M105</f>
        <v>103716.82465293187</v>
      </c>
      <c r="N341" s="818">
        <f>+Кот.!N105</f>
        <v>104265.11913065052</v>
      </c>
      <c r="O341" s="818">
        <f>+Кот.!O105</f>
        <v>104810.08495769605</v>
      </c>
      <c r="P341" s="818">
        <f>+Кот.!P105</f>
        <v>105351.8148848874</v>
      </c>
    </row>
    <row r="342" spans="1:16" x14ac:dyDescent="0.2">
      <c r="A342" s="767" t="s">
        <v>120</v>
      </c>
      <c r="B342" s="766" t="s">
        <v>15</v>
      </c>
      <c r="C342" s="775">
        <f>+Кот.!C286</f>
        <v>406110.98139518098</v>
      </c>
      <c r="D342" s="775">
        <f>+Кот.!D286</f>
        <v>650568.80871831137</v>
      </c>
      <c r="E342" s="775">
        <f>+Кот.!E286</f>
        <v>641452.71261428518</v>
      </c>
      <c r="F342" s="775">
        <f>+Кот.!F286</f>
        <v>645912.13192483108</v>
      </c>
      <c r="G342" s="775">
        <f>+Кот.!G286</f>
        <v>654658.79290417663</v>
      </c>
      <c r="H342" s="775">
        <f>+Кот.!H286</f>
        <v>658465.46453268698</v>
      </c>
      <c r="I342" s="775">
        <f>+Кот.!I286</f>
        <v>663180.80486243893</v>
      </c>
      <c r="J342" s="775">
        <f>+Кот.!J286</f>
        <v>668735.76185092423</v>
      </c>
      <c r="K342" s="775">
        <f>+Кот.!K286</f>
        <v>691594.14574881899</v>
      </c>
      <c r="L342" s="775">
        <f>+Кот.!L286</f>
        <v>716334.36094674165</v>
      </c>
      <c r="M342" s="775">
        <f>+Кот.!M286</f>
        <v>741770.22374570451</v>
      </c>
      <c r="N342" s="775">
        <f>+Кот.!N286</f>
        <v>768062.30652912473</v>
      </c>
      <c r="O342" s="775">
        <f>+Кот.!O286</f>
        <v>795239.06517794123</v>
      </c>
      <c r="P342" s="775">
        <f>+Кот.!P286</f>
        <v>823329.88454501482</v>
      </c>
    </row>
    <row r="343" spans="1:16" x14ac:dyDescent="0.2">
      <c r="A343" s="785" t="s">
        <v>271</v>
      </c>
      <c r="B343" s="766" t="s">
        <v>29</v>
      </c>
      <c r="C343" s="866">
        <f t="shared" ref="C343:P343" si="167">+C342/C440</f>
        <v>0.52906122910531128</v>
      </c>
      <c r="D343" s="866">
        <f t="shared" si="167"/>
        <v>0.64769926119864574</v>
      </c>
      <c r="E343" s="866">
        <f t="shared" si="167"/>
        <v>0.63331890010389413</v>
      </c>
      <c r="F343" s="866">
        <f t="shared" si="167"/>
        <v>0.62306184432105494</v>
      </c>
      <c r="G343" s="866">
        <f t="shared" si="167"/>
        <v>0.61354819621622536</v>
      </c>
      <c r="H343" s="866">
        <f t="shared" si="167"/>
        <v>0.60083795749031876</v>
      </c>
      <c r="I343" s="866">
        <f t="shared" si="167"/>
        <v>0.58930586483799052</v>
      </c>
      <c r="J343" s="866">
        <f t="shared" si="167"/>
        <v>0.58145430327067582</v>
      </c>
      <c r="K343" s="866">
        <f t="shared" si="167"/>
        <v>0.58374183083174602</v>
      </c>
      <c r="L343" s="866">
        <f t="shared" si="167"/>
        <v>0.586334415124387</v>
      </c>
      <c r="M343" s="866">
        <f t="shared" si="167"/>
        <v>0.58879244296846367</v>
      </c>
      <c r="N343" s="866">
        <f t="shared" si="167"/>
        <v>0.59116432291935916</v>
      </c>
      <c r="O343" s="866">
        <f t="shared" si="167"/>
        <v>0.59345160493584981</v>
      </c>
      <c r="P343" s="866">
        <f t="shared" si="167"/>
        <v>0.59510441280168425</v>
      </c>
    </row>
    <row r="344" spans="1:16" x14ac:dyDescent="0.2">
      <c r="A344" s="762"/>
      <c r="B344" s="762"/>
      <c r="C344" s="815"/>
      <c r="D344" s="815"/>
      <c r="E344" s="815"/>
      <c r="F344" s="815"/>
      <c r="G344" s="815"/>
      <c r="H344" s="815"/>
      <c r="I344" s="815"/>
      <c r="J344" s="815"/>
      <c r="K344" s="815"/>
      <c r="L344" s="815"/>
      <c r="M344" s="815"/>
      <c r="N344" s="815"/>
      <c r="O344" s="815"/>
      <c r="P344" s="815"/>
    </row>
    <row r="345" spans="1:16" x14ac:dyDescent="0.2">
      <c r="A345" s="788" t="s">
        <v>315</v>
      </c>
      <c r="B345" s="762"/>
      <c r="C345" s="815"/>
      <c r="D345" s="815"/>
      <c r="E345" s="815"/>
      <c r="F345" s="815"/>
      <c r="G345" s="815"/>
      <c r="H345" s="815"/>
      <c r="I345" s="815"/>
      <c r="J345" s="815"/>
      <c r="K345" s="815"/>
      <c r="L345" s="815"/>
      <c r="M345" s="815"/>
      <c r="N345" s="815"/>
      <c r="O345" s="815"/>
      <c r="P345" s="815"/>
    </row>
    <row r="346" spans="1:16" x14ac:dyDescent="0.2">
      <c r="A346" s="777" t="s">
        <v>116</v>
      </c>
      <c r="B346" s="766" t="s">
        <v>117</v>
      </c>
      <c r="C346" s="818">
        <f t="shared" ref="C346:P346" si="168">+(C319*(C226-C227)+C326*(C232-C233)+C333*(C237-C238))/((C226-C227)+(C232-C233)+C237-C238)</f>
        <v>333.79510675932397</v>
      </c>
      <c r="D346" s="818">
        <f t="shared" si="168"/>
        <v>326.8045148788139</v>
      </c>
      <c r="E346" s="818">
        <f t="shared" si="168"/>
        <v>318.02813950024881</v>
      </c>
      <c r="F346" s="818">
        <f t="shared" si="168"/>
        <v>309.27137436387983</v>
      </c>
      <c r="G346" s="818">
        <f t="shared" si="168"/>
        <v>302.55602332969625</v>
      </c>
      <c r="H346" s="818">
        <f t="shared" si="168"/>
        <v>294.22299214350755</v>
      </c>
      <c r="I346" s="818">
        <f t="shared" si="168"/>
        <v>291.54256197357648</v>
      </c>
      <c r="J346" s="818">
        <f t="shared" si="168"/>
        <v>291.52868485399233</v>
      </c>
      <c r="K346" s="818">
        <f t="shared" si="168"/>
        <v>291.53739871243664</v>
      </c>
      <c r="L346" s="818">
        <f t="shared" si="168"/>
        <v>291.53739871243664</v>
      </c>
      <c r="M346" s="818">
        <f t="shared" si="168"/>
        <v>291.53739871243664</v>
      </c>
      <c r="N346" s="818">
        <f t="shared" si="168"/>
        <v>291.53739871243664</v>
      </c>
      <c r="O346" s="818">
        <f t="shared" si="168"/>
        <v>291.53739871243664</v>
      </c>
      <c r="P346" s="818">
        <f t="shared" si="168"/>
        <v>291.53739871243664</v>
      </c>
    </row>
    <row r="347" spans="1:16" x14ac:dyDescent="0.2">
      <c r="A347" s="777" t="s">
        <v>118</v>
      </c>
      <c r="B347" s="766" t="s">
        <v>119</v>
      </c>
      <c r="C347" s="818">
        <f t="shared" ref="C347:P347" si="169">+(C320*C248+C252*C327+C334*C256+C260*C340)/(C248+C252+C256+C260)</f>
        <v>143.12288681091329</v>
      </c>
      <c r="D347" s="818">
        <f t="shared" si="169"/>
        <v>144.86589808270918</v>
      </c>
      <c r="E347" s="818">
        <f t="shared" si="169"/>
        <v>147.33074637840937</v>
      </c>
      <c r="F347" s="818">
        <f t="shared" si="169"/>
        <v>149.80082234073745</v>
      </c>
      <c r="G347" s="818">
        <f t="shared" si="169"/>
        <v>151.58787669705129</v>
      </c>
      <c r="H347" s="818">
        <f t="shared" si="169"/>
        <v>153.4689039900355</v>
      </c>
      <c r="I347" s="818">
        <f t="shared" si="169"/>
        <v>153.33839023213599</v>
      </c>
      <c r="J347" s="818">
        <f t="shared" si="169"/>
        <v>153.35388413140325</v>
      </c>
      <c r="K347" s="818">
        <f t="shared" si="169"/>
        <v>153.36389193452354</v>
      </c>
      <c r="L347" s="818">
        <f t="shared" si="169"/>
        <v>153.37621145584475</v>
      </c>
      <c r="M347" s="818">
        <f t="shared" si="169"/>
        <v>153.27349810873321</v>
      </c>
      <c r="N347" s="818">
        <f t="shared" si="169"/>
        <v>153.17264366665034</v>
      </c>
      <c r="O347" s="818">
        <f t="shared" si="169"/>
        <v>153.07359605851664</v>
      </c>
      <c r="P347" s="818">
        <f t="shared" si="169"/>
        <v>152.97630521176819</v>
      </c>
    </row>
    <row r="348" spans="1:16" x14ac:dyDescent="0.2">
      <c r="A348" s="777" t="s">
        <v>146</v>
      </c>
      <c r="B348" s="766" t="s">
        <v>37</v>
      </c>
      <c r="C348" s="818">
        <f t="shared" ref="C348:P348" si="170">SUM(C341,C335,C328,C321)</f>
        <v>666704.04988904775</v>
      </c>
      <c r="D348" s="818">
        <f t="shared" si="170"/>
        <v>717792.06537389744</v>
      </c>
      <c r="E348" s="818">
        <f t="shared" si="170"/>
        <v>723212.12411853054</v>
      </c>
      <c r="F348" s="818">
        <f t="shared" si="170"/>
        <v>710922.08547508495</v>
      </c>
      <c r="G348" s="818">
        <f t="shared" si="170"/>
        <v>701570.72517060034</v>
      </c>
      <c r="H348" s="818">
        <f t="shared" si="170"/>
        <v>695705.78113080724</v>
      </c>
      <c r="I348" s="818">
        <f t="shared" si="170"/>
        <v>691271.72257483006</v>
      </c>
      <c r="J348" s="818">
        <f t="shared" si="170"/>
        <v>687801.78609706578</v>
      </c>
      <c r="K348" s="818">
        <f t="shared" si="170"/>
        <v>697661.71135778795</v>
      </c>
      <c r="L348" s="818">
        <f t="shared" si="170"/>
        <v>707515.31787927996</v>
      </c>
      <c r="M348" s="818">
        <f t="shared" si="170"/>
        <v>711536.48479472124</v>
      </c>
      <c r="N348" s="818">
        <f t="shared" si="170"/>
        <v>715554.22659938957</v>
      </c>
      <c r="O348" s="818">
        <f t="shared" si="170"/>
        <v>719568.63975338452</v>
      </c>
      <c r="P348" s="818">
        <f t="shared" si="170"/>
        <v>723579.81700752547</v>
      </c>
    </row>
    <row r="349" spans="1:16" x14ac:dyDescent="0.2">
      <c r="A349" s="767" t="s">
        <v>120</v>
      </c>
      <c r="B349" s="766" t="s">
        <v>15</v>
      </c>
      <c r="C349" s="775">
        <f t="shared" ref="C349:P349" si="171">SUM(C342,C336,C329,C322)</f>
        <v>3340664.7062179474</v>
      </c>
      <c r="D349" s="775">
        <f t="shared" si="171"/>
        <v>3735669.9570124671</v>
      </c>
      <c r="E349" s="775">
        <f t="shared" si="171"/>
        <v>3887300.2732036347</v>
      </c>
      <c r="F349" s="775">
        <f t="shared" si="171"/>
        <v>3935528.2236649296</v>
      </c>
      <c r="G349" s="775">
        <f t="shared" si="171"/>
        <v>4000219.0847057267</v>
      </c>
      <c r="H349" s="775">
        <f t="shared" si="171"/>
        <v>4085118.2730054311</v>
      </c>
      <c r="I349" s="775">
        <f t="shared" si="171"/>
        <v>4180160.8380871881</v>
      </c>
      <c r="J349" s="775">
        <f t="shared" si="171"/>
        <v>4283256.612572534</v>
      </c>
      <c r="K349" s="775">
        <f t="shared" si="171"/>
        <v>4474702.3487654999</v>
      </c>
      <c r="L349" s="775">
        <f t="shared" si="171"/>
        <v>4673806.3046885775</v>
      </c>
      <c r="M349" s="775">
        <f t="shared" si="171"/>
        <v>4841301.0475392351</v>
      </c>
      <c r="N349" s="775">
        <f t="shared" si="171"/>
        <v>5014613.8184280861</v>
      </c>
      <c r="O349" s="775">
        <f t="shared" si="171"/>
        <v>5193942.9287272422</v>
      </c>
      <c r="P349" s="775">
        <f t="shared" si="171"/>
        <v>5379493.3444829686</v>
      </c>
    </row>
    <row r="350" spans="1:16" x14ac:dyDescent="0.2">
      <c r="A350" s="784" t="s">
        <v>271</v>
      </c>
      <c r="B350" s="766" t="s">
        <v>29</v>
      </c>
      <c r="C350" s="866">
        <f t="shared" ref="C350:P350" si="172">C349/C428</f>
        <v>0.55783275941293631</v>
      </c>
      <c r="D350" s="866">
        <f t="shared" si="172"/>
        <v>0.56652249336161908</v>
      </c>
      <c r="E350" s="866">
        <f t="shared" si="172"/>
        <v>0.57315755905431076</v>
      </c>
      <c r="F350" s="866">
        <f t="shared" si="172"/>
        <v>0.56194837492121641</v>
      </c>
      <c r="G350" s="866">
        <f t="shared" si="172"/>
        <v>0.55462708642039371</v>
      </c>
      <c r="H350" s="866">
        <f t="shared" si="172"/>
        <v>0.54909734083564521</v>
      </c>
      <c r="I350" s="866">
        <f t="shared" si="172"/>
        <v>0.54393897745024555</v>
      </c>
      <c r="J350" s="866">
        <f t="shared" si="172"/>
        <v>0.54101420574976922</v>
      </c>
      <c r="K350" s="866">
        <f t="shared" si="172"/>
        <v>0.54601715793193861</v>
      </c>
      <c r="L350" s="866">
        <f t="shared" si="172"/>
        <v>0.54946719507616659</v>
      </c>
      <c r="M350" s="866">
        <f t="shared" si="172"/>
        <v>0.55081881533352273</v>
      </c>
      <c r="N350" s="866">
        <f t="shared" si="172"/>
        <v>0.55210237301193177</v>
      </c>
      <c r="O350" s="866">
        <f t="shared" si="172"/>
        <v>0.55331694026230371</v>
      </c>
      <c r="P350" s="866">
        <f t="shared" si="172"/>
        <v>0.55705754795322826</v>
      </c>
    </row>
    <row r="351" spans="1:16" x14ac:dyDescent="0.2">
      <c r="A351" s="762"/>
      <c r="B351" s="762"/>
      <c r="C351" s="815"/>
      <c r="D351" s="815"/>
      <c r="E351" s="815"/>
      <c r="F351" s="815"/>
      <c r="G351" s="815"/>
      <c r="H351" s="815"/>
      <c r="I351" s="815"/>
      <c r="J351" s="815"/>
      <c r="K351" s="815"/>
      <c r="L351" s="815"/>
      <c r="M351" s="815"/>
      <c r="N351" s="815"/>
      <c r="O351" s="815"/>
      <c r="P351" s="815"/>
    </row>
    <row r="352" spans="1:16" x14ac:dyDescent="0.2">
      <c r="A352" s="788" t="s">
        <v>296</v>
      </c>
      <c r="B352" s="762"/>
      <c r="C352" s="815"/>
      <c r="D352" s="815"/>
      <c r="E352" s="815"/>
      <c r="F352" s="815"/>
      <c r="G352" s="815"/>
      <c r="H352" s="815"/>
      <c r="I352" s="815"/>
      <c r="J352" s="815"/>
      <c r="K352" s="815"/>
      <c r="L352" s="815"/>
      <c r="M352" s="815"/>
      <c r="N352" s="815"/>
      <c r="O352" s="815"/>
      <c r="P352" s="815"/>
    </row>
    <row r="353" spans="1:16" x14ac:dyDescent="0.2">
      <c r="A353" s="777" t="s">
        <v>122</v>
      </c>
      <c r="B353" s="757" t="s">
        <v>15</v>
      </c>
      <c r="C353" s="840">
        <f>+'ТЭЦ-1'!C148</f>
        <v>75564.286783897987</v>
      </c>
      <c r="D353" s="840">
        <f>+'ТЭЦ-1'!D148</f>
        <v>79405.267617175792</v>
      </c>
      <c r="E353" s="840">
        <f>+'ТЭЦ-1'!E148</f>
        <v>82581.478321862829</v>
      </c>
      <c r="F353" s="840">
        <f>+'ТЭЦ-1'!F148</f>
        <v>85884.737454737347</v>
      </c>
      <c r="G353" s="840">
        <f>+'ТЭЦ-1'!G148</f>
        <v>89320.126952926847</v>
      </c>
      <c r="H353" s="840">
        <f>+'ТЭЦ-1'!H148</f>
        <v>92892.932031043922</v>
      </c>
      <c r="I353" s="840">
        <f>+'ТЭЦ-1'!I148</f>
        <v>96608.649312285677</v>
      </c>
      <c r="J353" s="840">
        <f>+'ТЭЦ-1'!J148</f>
        <v>100472.99528477711</v>
      </c>
      <c r="K353" s="840">
        <f>+'ТЭЦ-1'!K148</f>
        <v>104491.91509616819</v>
      </c>
      <c r="L353" s="840">
        <f>+'ТЭЦ-1'!L148</f>
        <v>108671.59170001492</v>
      </c>
      <c r="M353" s="840">
        <f>+'ТЭЦ-1'!M148</f>
        <v>113018.45536801552</v>
      </c>
      <c r="N353" s="840">
        <f>+'ТЭЦ-1'!N148</f>
        <v>117539.19358273614</v>
      </c>
      <c r="O353" s="840">
        <f>+'ТЭЦ-1'!O148</f>
        <v>122240.7613260456</v>
      </c>
      <c r="P353" s="840">
        <f>+'ТЭЦ-1'!P148</f>
        <v>127130.39177908743</v>
      </c>
    </row>
    <row r="354" spans="1:16" x14ac:dyDescent="0.2">
      <c r="A354" s="777" t="s">
        <v>123</v>
      </c>
      <c r="B354" s="757" t="s">
        <v>15</v>
      </c>
      <c r="C354" s="840">
        <f>+'ТЭЦ-1'!C159</f>
        <v>23635.208820906639</v>
      </c>
      <c r="D354" s="840">
        <f>+'ТЭЦ-1'!D159</f>
        <v>24836.601541402291</v>
      </c>
      <c r="E354" s="840">
        <f>+'ТЭЦ-1'!E159</f>
        <v>25830.065603058385</v>
      </c>
      <c r="F354" s="840">
        <f>+'ТЭЦ-1'!F159</f>
        <v>26863.268227180721</v>
      </c>
      <c r="G354" s="840">
        <f>+'ТЭЦ-1'!G159</f>
        <v>27937.79895626795</v>
      </c>
      <c r="H354" s="840">
        <f>+'ТЭЦ-1'!H159</f>
        <v>29055.310914518668</v>
      </c>
      <c r="I354" s="840">
        <f>+'ТЭЦ-1'!I159</f>
        <v>30217.523351099415</v>
      </c>
      <c r="J354" s="840">
        <f>+'ТЭЦ-1'!J159</f>
        <v>31426.224285143391</v>
      </c>
      <c r="K354" s="840">
        <f>+'ТЭЦ-1'!K159</f>
        <v>32683.273256549128</v>
      </c>
      <c r="L354" s="840">
        <f>+'ТЭЦ-1'!L159</f>
        <v>33990.604186811091</v>
      </c>
      <c r="M354" s="840">
        <f>+'ТЭЦ-1'!M159</f>
        <v>35350.228354283543</v>
      </c>
      <c r="N354" s="840">
        <f>+'ТЭЦ-1'!N159</f>
        <v>36764.237488454884</v>
      </c>
      <c r="O354" s="840">
        <f>+'ТЭЦ-1'!O159</f>
        <v>38234.806987993077</v>
      </c>
      <c r="P354" s="840">
        <f>+'ТЭЦ-1'!P159</f>
        <v>39764.199267512806</v>
      </c>
    </row>
    <row r="355" spans="1:16" x14ac:dyDescent="0.2">
      <c r="A355" s="767" t="s">
        <v>124</v>
      </c>
      <c r="B355" s="766" t="s">
        <v>15</v>
      </c>
      <c r="C355" s="841">
        <f>+C353+C354</f>
        <v>99199.49560480463</v>
      </c>
      <c r="D355" s="841">
        <f t="shared" ref="D355:P355" si="173">+D353+D354</f>
        <v>104241.86915857808</v>
      </c>
      <c r="E355" s="841">
        <f t="shared" si="173"/>
        <v>108411.54392492122</v>
      </c>
      <c r="F355" s="841">
        <f t="shared" si="173"/>
        <v>112748.00568191806</v>
      </c>
      <c r="G355" s="841">
        <f t="shared" si="173"/>
        <v>117257.9259091948</v>
      </c>
      <c r="H355" s="841">
        <f t="shared" si="173"/>
        <v>121948.24294556258</v>
      </c>
      <c r="I355" s="841">
        <f t="shared" si="173"/>
        <v>126826.17266338509</v>
      </c>
      <c r="J355" s="841">
        <f t="shared" si="173"/>
        <v>131899.2195699205</v>
      </c>
      <c r="K355" s="841">
        <f t="shared" si="173"/>
        <v>137175.18835271732</v>
      </c>
      <c r="L355" s="841">
        <f t="shared" si="173"/>
        <v>142662.19588682603</v>
      </c>
      <c r="M355" s="841">
        <f t="shared" si="173"/>
        <v>148368.68372229906</v>
      </c>
      <c r="N355" s="841">
        <f t="shared" si="173"/>
        <v>154303.43107119104</v>
      </c>
      <c r="O355" s="841">
        <f t="shared" si="173"/>
        <v>160475.56831403868</v>
      </c>
      <c r="P355" s="841">
        <f t="shared" si="173"/>
        <v>166894.59104660022</v>
      </c>
    </row>
    <row r="356" spans="1:16" x14ac:dyDescent="0.2">
      <c r="A356" s="777"/>
      <c r="B356" s="762"/>
      <c r="C356" s="815"/>
      <c r="D356" s="815"/>
      <c r="E356" s="815"/>
      <c r="F356" s="815"/>
      <c r="G356" s="815"/>
      <c r="H356" s="815"/>
      <c r="I356" s="815"/>
      <c r="J356" s="815"/>
      <c r="K356" s="815"/>
      <c r="L356" s="815"/>
      <c r="M356" s="815"/>
      <c r="N356" s="815"/>
      <c r="O356" s="815"/>
      <c r="P356" s="815"/>
    </row>
    <row r="357" spans="1:16" x14ac:dyDescent="0.2">
      <c r="A357" s="788" t="s">
        <v>316</v>
      </c>
      <c r="B357" s="762"/>
      <c r="C357" s="815"/>
      <c r="D357" s="815"/>
      <c r="E357" s="815"/>
      <c r="F357" s="815"/>
      <c r="G357" s="815"/>
      <c r="H357" s="815"/>
      <c r="I357" s="815"/>
      <c r="J357" s="815"/>
      <c r="K357" s="815"/>
      <c r="L357" s="815"/>
      <c r="M357" s="815"/>
      <c r="N357" s="815"/>
      <c r="O357" s="815"/>
      <c r="P357" s="815"/>
    </row>
    <row r="358" spans="1:16" x14ac:dyDescent="0.2">
      <c r="A358" s="777" t="s">
        <v>122</v>
      </c>
      <c r="B358" s="757" t="s">
        <v>272</v>
      </c>
      <c r="C358" s="840">
        <f>+'ТЭЦ-3'!C146</f>
        <v>137544.36532482569</v>
      </c>
      <c r="D358" s="840">
        <f>+'ТЭЦ-3'!D146</f>
        <v>160484.42457704939</v>
      </c>
      <c r="E358" s="840">
        <f>+'ТЭЦ-3'!E146</f>
        <v>167315.24424856273</v>
      </c>
      <c r="F358" s="840">
        <f>+'ТЭЦ-3'!F146</f>
        <v>171665.29538427072</v>
      </c>
      <c r="G358" s="840">
        <f>+'ТЭЦ-3'!G146</f>
        <v>175003.35910690448</v>
      </c>
      <c r="H358" s="840">
        <f>+'ТЭЦ-3'!H146</f>
        <v>178224.44470790794</v>
      </c>
      <c r="I358" s="840">
        <f>+'ТЭЦ-3'!I146</f>
        <v>183000.69806560909</v>
      </c>
      <c r="J358" s="840">
        <f>+'ТЭЦ-3'!J146</f>
        <v>186010.17171622967</v>
      </c>
      <c r="K358" s="840">
        <f>+'ТЭЦ-3'!K146</f>
        <v>192010.24517491818</v>
      </c>
      <c r="L358" s="840">
        <f>+'ТЭЦ-3'!L146</f>
        <v>200204.7486192676</v>
      </c>
      <c r="M358" s="840">
        <f>+'ТЭЦ-3'!M146</f>
        <v>208635.87724442114</v>
      </c>
      <c r="N358" s="840">
        <f>+'ТЭЦ-3'!N146</f>
        <v>217413.63336367093</v>
      </c>
      <c r="O358" s="840">
        <f>+'ТЭЦ-3'!O146</f>
        <v>226552.15562650634</v>
      </c>
      <c r="P358" s="840">
        <f>+'ТЭЦ-3'!P146</f>
        <v>236066.15609245756</v>
      </c>
    </row>
    <row r="359" spans="1:16" x14ac:dyDescent="0.2">
      <c r="A359" s="777" t="s">
        <v>123</v>
      </c>
      <c r="B359" s="757" t="s">
        <v>15</v>
      </c>
      <c r="C359" s="840">
        <f>+'ТЭЦ-3'!C157</f>
        <v>43224.832646178787</v>
      </c>
      <c r="D359" s="840">
        <f>+'ТЭЦ-3'!D157</f>
        <v>50433.999082979542</v>
      </c>
      <c r="E359" s="840">
        <f>+'ТЭЦ-3'!E157</f>
        <v>52552.140624895794</v>
      </c>
      <c r="F359" s="840">
        <f>+'ТЭЦ-3'!F157</f>
        <v>54534.168861825325</v>
      </c>
      <c r="G359" s="840">
        <f>+'ТЭЦ-3'!G157</f>
        <v>56635.551530966251</v>
      </c>
      <c r="H359" s="840">
        <f>+'ТЭЦ-3'!H157</f>
        <v>58847.497496363161</v>
      </c>
      <c r="I359" s="840">
        <f>+'ТЭЦ-3'!I157</f>
        <v>61153.832084658556</v>
      </c>
      <c r="J359" s="840">
        <f>+'ТЭЦ-3'!J157</f>
        <v>63553.321672763632</v>
      </c>
      <c r="K359" s="840">
        <f>+'ТЭЦ-3'!K157</f>
        <v>63807.646932569638</v>
      </c>
      <c r="L359" s="840">
        <f>+'ТЭЦ-3'!L157</f>
        <v>66485.878412090911</v>
      </c>
      <c r="M359" s="840">
        <f>+'ТЭЦ-3'!M157</f>
        <v>69248.911033855547</v>
      </c>
      <c r="N359" s="840">
        <f>+'ТЭЦ-3'!N157</f>
        <v>72124.763137074871</v>
      </c>
      <c r="O359" s="840">
        <f>+'ТЭЦ-3'!O157</f>
        <v>75118.014506142717</v>
      </c>
      <c r="P359" s="840">
        <f>+'ТЭЦ-3'!P157</f>
        <v>78233.43004310556</v>
      </c>
    </row>
    <row r="360" spans="1:16" x14ac:dyDescent="0.2">
      <c r="A360" s="767" t="s">
        <v>124</v>
      </c>
      <c r="B360" s="766" t="s">
        <v>15</v>
      </c>
      <c r="C360" s="841">
        <f>+C358+C359</f>
        <v>180769.19797100447</v>
      </c>
      <c r="D360" s="841">
        <f t="shared" ref="D360" si="174">+D358+D359</f>
        <v>210918.42366002893</v>
      </c>
      <c r="E360" s="841">
        <f t="shared" ref="E360" si="175">+E358+E359</f>
        <v>219867.38487345853</v>
      </c>
      <c r="F360" s="841">
        <f t="shared" ref="F360" si="176">+F358+F359</f>
        <v>226199.46424609603</v>
      </c>
      <c r="G360" s="841">
        <f t="shared" ref="G360" si="177">+G358+G359</f>
        <v>231638.91063787072</v>
      </c>
      <c r="H360" s="841">
        <f t="shared" ref="H360" si="178">+H358+H359</f>
        <v>237071.94220427109</v>
      </c>
      <c r="I360" s="841">
        <f t="shared" ref="I360" si="179">+I358+I359</f>
        <v>244154.53015026764</v>
      </c>
      <c r="J360" s="841">
        <f t="shared" ref="J360" si="180">+J358+J359</f>
        <v>249563.49338899332</v>
      </c>
      <c r="K360" s="841">
        <f t="shared" ref="K360" si="181">+K358+K359</f>
        <v>255817.89210748783</v>
      </c>
      <c r="L360" s="841">
        <f t="shared" ref="L360" si="182">+L358+L359</f>
        <v>266690.62703135854</v>
      </c>
      <c r="M360" s="841">
        <f t="shared" ref="M360" si="183">+M358+M359</f>
        <v>277884.78827827668</v>
      </c>
      <c r="N360" s="841">
        <f t="shared" ref="N360" si="184">+N358+N359</f>
        <v>289538.39650074579</v>
      </c>
      <c r="O360" s="841">
        <f t="shared" ref="O360" si="185">+O358+O359</f>
        <v>301670.17013264907</v>
      </c>
      <c r="P360" s="841">
        <f t="shared" ref="P360" si="186">+P358+P359</f>
        <v>314299.58613556309</v>
      </c>
    </row>
    <row r="361" spans="1:16" x14ac:dyDescent="0.2">
      <c r="A361" s="777"/>
      <c r="B361" s="762"/>
      <c r="C361" s="815"/>
      <c r="D361" s="815"/>
      <c r="E361" s="815"/>
      <c r="F361" s="815"/>
      <c r="G361" s="815"/>
      <c r="H361" s="815"/>
      <c r="I361" s="815"/>
      <c r="J361" s="815"/>
      <c r="K361" s="815"/>
      <c r="L361" s="815"/>
      <c r="M361" s="815"/>
      <c r="N361" s="815"/>
      <c r="O361" s="815"/>
      <c r="P361" s="815"/>
    </row>
    <row r="362" spans="1:16" x14ac:dyDescent="0.2">
      <c r="A362" s="788" t="s">
        <v>317</v>
      </c>
      <c r="B362" s="762"/>
      <c r="C362" s="815"/>
      <c r="D362" s="815"/>
      <c r="E362" s="815"/>
      <c r="F362" s="815"/>
      <c r="G362" s="815"/>
      <c r="H362" s="815"/>
      <c r="I362" s="815"/>
      <c r="J362" s="815"/>
      <c r="K362" s="815"/>
      <c r="L362" s="815"/>
      <c r="M362" s="815"/>
      <c r="N362" s="815"/>
      <c r="O362" s="815"/>
      <c r="P362" s="815"/>
    </row>
    <row r="363" spans="1:16" x14ac:dyDescent="0.2">
      <c r="A363" s="777" t="s">
        <v>122</v>
      </c>
      <c r="B363" s="757" t="s">
        <v>272</v>
      </c>
      <c r="C363" s="840">
        <f>+'ТЭЦ-4'!C152</f>
        <v>130597.05735126458</v>
      </c>
      <c r="D363" s="840">
        <f>+'ТЭЦ-4'!D152</f>
        <v>149906.63453017719</v>
      </c>
      <c r="E363" s="840">
        <f>+'ТЭЦ-4'!E152</f>
        <v>155902.8999113843</v>
      </c>
      <c r="F363" s="840">
        <f>+'ТЭЦ-4'!F152</f>
        <v>162139.01590783967</v>
      </c>
      <c r="G363" s="840">
        <f>+'ТЭЦ-4'!G152</f>
        <v>168624.57654415327</v>
      </c>
      <c r="H363" s="840">
        <f>+'ТЭЦ-4'!H152</f>
        <v>175369.55960591941</v>
      </c>
      <c r="I363" s="840">
        <f>+'ТЭЦ-4'!I152</f>
        <v>182384.34199015619</v>
      </c>
      <c r="J363" s="840">
        <f>+'ТЭЦ-4'!J152</f>
        <v>189679.71566976243</v>
      </c>
      <c r="K363" s="840">
        <f>+'ТЭЦ-4'!K152</f>
        <v>197266.90429655294</v>
      </c>
      <c r="L363" s="840">
        <f>+'ТЭЦ-4'!L152</f>
        <v>205157.58046841505</v>
      </c>
      <c r="M363" s="840">
        <f>+'ТЭЦ-4'!M152</f>
        <v>213363.88368715165</v>
      </c>
      <c r="N363" s="840">
        <f>+'ТЭЦ-4'!N152</f>
        <v>221898.43903463773</v>
      </c>
      <c r="O363" s="840">
        <f>+'ТЭЦ-4'!O152</f>
        <v>230774.37659602324</v>
      </c>
      <c r="P363" s="840">
        <f>+'ТЭЦ-4'!P152</f>
        <v>240005.35165986419</v>
      </c>
    </row>
    <row r="364" spans="1:16" x14ac:dyDescent="0.2">
      <c r="A364" s="777" t="s">
        <v>123</v>
      </c>
      <c r="B364" s="757" t="s">
        <v>15</v>
      </c>
      <c r="C364" s="840">
        <f>+'ТЭЦ-4'!C163</f>
        <v>41041.564550903051</v>
      </c>
      <c r="D364" s="840">
        <f>+'ТЭЦ-4'!D163</f>
        <v>47109.811985509688</v>
      </c>
      <c r="E364" s="840">
        <f>+'ТЭЦ-4'!E163</f>
        <v>48994.204464930081</v>
      </c>
      <c r="F364" s="840">
        <f>+'ТЭЦ-4'!F163</f>
        <v>50953.972643527282</v>
      </c>
      <c r="G364" s="840">
        <f>+'ТЭЦ-4'!G163</f>
        <v>52992.131549268379</v>
      </c>
      <c r="H364" s="840">
        <f>+'ТЭЦ-4'!H163</f>
        <v>55111.816811239114</v>
      </c>
      <c r="I364" s="840">
        <f>+'ТЭЦ-4'!I163</f>
        <v>57316.289483688677</v>
      </c>
      <c r="J364" s="840">
        <f>+'ТЭЦ-4'!J163</f>
        <v>59608.941063036225</v>
      </c>
      <c r="K364" s="840">
        <f>+'ТЭЦ-4'!K163</f>
        <v>61993.298705557674</v>
      </c>
      <c r="L364" s="840">
        <f>+'ТЭЦ-4'!L163</f>
        <v>64473.030653779984</v>
      </c>
      <c r="M364" s="840">
        <f>+'ТЭЦ-4'!M163</f>
        <v>67051.951879931177</v>
      </c>
      <c r="N364" s="840">
        <f>+'ТЭЦ-4'!N163</f>
        <v>69734.029955128441</v>
      </c>
      <c r="O364" s="840">
        <f>+'ТЭЦ-4'!O163</f>
        <v>72523.391153333578</v>
      </c>
      <c r="P364" s="840">
        <f>+'ТЭЦ-4'!P163</f>
        <v>75424.326799466915</v>
      </c>
    </row>
    <row r="365" spans="1:16" x14ac:dyDescent="0.2">
      <c r="A365" s="767" t="s">
        <v>124</v>
      </c>
      <c r="B365" s="766" t="s">
        <v>15</v>
      </c>
      <c r="C365" s="841">
        <f>+C363+C364</f>
        <v>171638.62190216762</v>
      </c>
      <c r="D365" s="841">
        <f t="shared" ref="D365" si="187">+D363+D364</f>
        <v>197016.44651568687</v>
      </c>
      <c r="E365" s="841">
        <f t="shared" ref="E365" si="188">+E363+E364</f>
        <v>204897.10437631438</v>
      </c>
      <c r="F365" s="841">
        <f t="shared" ref="F365" si="189">+F363+F364</f>
        <v>213092.98855136696</v>
      </c>
      <c r="G365" s="841">
        <f t="shared" ref="G365" si="190">+G363+G364</f>
        <v>221616.70809342165</v>
      </c>
      <c r="H365" s="841">
        <f t="shared" ref="H365" si="191">+H363+H364</f>
        <v>230481.37641715852</v>
      </c>
      <c r="I365" s="841">
        <f t="shared" ref="I365" si="192">+I363+I364</f>
        <v>239700.63147384487</v>
      </c>
      <c r="J365" s="841">
        <f t="shared" ref="J365" si="193">+J363+J364</f>
        <v>249288.65673279867</v>
      </c>
      <c r="K365" s="841">
        <f t="shared" ref="K365" si="194">+K363+K364</f>
        <v>259260.20300211062</v>
      </c>
      <c r="L365" s="841">
        <f t="shared" ref="L365" si="195">+L363+L364</f>
        <v>269630.61112219503</v>
      </c>
      <c r="M365" s="841">
        <f t="shared" ref="M365" si="196">+M363+M364</f>
        <v>280415.83556708286</v>
      </c>
      <c r="N365" s="841">
        <f t="shared" ref="N365" si="197">+N363+N364</f>
        <v>291632.4689897662</v>
      </c>
      <c r="O365" s="841">
        <f t="shared" ref="O365" si="198">+O363+O364</f>
        <v>303297.7677493568</v>
      </c>
      <c r="P365" s="841">
        <f t="shared" ref="P365" si="199">+P363+P364</f>
        <v>315429.6784593311</v>
      </c>
    </row>
    <row r="366" spans="1:16" x14ac:dyDescent="0.2">
      <c r="A366" s="777"/>
      <c r="B366" s="762"/>
      <c r="C366" s="815"/>
      <c r="D366" s="815"/>
      <c r="E366" s="815"/>
      <c r="F366" s="815"/>
      <c r="G366" s="815"/>
      <c r="H366" s="815"/>
      <c r="I366" s="815"/>
      <c r="J366" s="815"/>
      <c r="K366" s="815"/>
      <c r="L366" s="815"/>
      <c r="M366" s="815"/>
      <c r="N366" s="815"/>
      <c r="O366" s="815"/>
      <c r="P366" s="815"/>
    </row>
    <row r="367" spans="1:16" x14ac:dyDescent="0.2">
      <c r="A367" s="788" t="s">
        <v>318</v>
      </c>
      <c r="B367" s="762"/>
      <c r="C367" s="815"/>
      <c r="D367" s="815"/>
      <c r="E367" s="815"/>
      <c r="F367" s="815"/>
      <c r="G367" s="815"/>
      <c r="H367" s="815"/>
      <c r="I367" s="815"/>
      <c r="J367" s="815"/>
      <c r="K367" s="815"/>
      <c r="L367" s="815"/>
      <c r="M367" s="815"/>
      <c r="N367" s="815"/>
      <c r="O367" s="815"/>
      <c r="P367" s="815"/>
    </row>
    <row r="368" spans="1:16" x14ac:dyDescent="0.2">
      <c r="A368" s="777" t="s">
        <v>122</v>
      </c>
      <c r="B368" s="757" t="s">
        <v>15</v>
      </c>
      <c r="C368" s="840">
        <f>+Кот.!C269</f>
        <v>65763.097581356298</v>
      </c>
      <c r="D368" s="840">
        <f>+Кот.!D269</f>
        <v>100485.47630931565</v>
      </c>
      <c r="E368" s="840">
        <f>+Кот.!E269</f>
        <v>104504.89536168828</v>
      </c>
      <c r="F368" s="840">
        <f>+Кот.!F269</f>
        <v>108685.09117615581</v>
      </c>
      <c r="G368" s="840">
        <f>+Кот.!G269</f>
        <v>110626.15114320203</v>
      </c>
      <c r="H368" s="840">
        <f>+Кот.!H269</f>
        <v>115051.19718893012</v>
      </c>
      <c r="I368" s="840">
        <f>+Кот.!I269</f>
        <v>119653.24507648734</v>
      </c>
      <c r="J368" s="840">
        <f>+Кот.!J269</f>
        <v>124439.37487954683</v>
      </c>
      <c r="K368" s="840">
        <f>+Кот.!K269</f>
        <v>129416.9498747287</v>
      </c>
      <c r="L368" s="840">
        <f>+Кот.!L269</f>
        <v>134593.62786971786</v>
      </c>
      <c r="M368" s="840">
        <f>+Кот.!M269</f>
        <v>139977.3729845066</v>
      </c>
      <c r="N368" s="840">
        <f>+Кот.!N269</f>
        <v>145576.46790388686</v>
      </c>
      <c r="O368" s="840">
        <f>+Кот.!O269</f>
        <v>151399.52662004234</v>
      </c>
      <c r="P368" s="840">
        <f>+Кот.!P269</f>
        <v>157455.50768484402</v>
      </c>
    </row>
    <row r="369" spans="1:16" x14ac:dyDescent="0.2">
      <c r="A369" s="777" t="s">
        <v>123</v>
      </c>
      <c r="B369" s="757" t="s">
        <v>15</v>
      </c>
      <c r="C369" s="840">
        <f>+Кот.!C281</f>
        <v>20569.565468011904</v>
      </c>
      <c r="D369" s="840">
        <f>+Кот.!D281</f>
        <v>31430.128134882769</v>
      </c>
      <c r="E369" s="840">
        <f>+Кот.!E281</f>
        <v>32687.333260278079</v>
      </c>
      <c r="F369" s="840">
        <f>+Кот.!F281</f>
        <v>33994.826590689205</v>
      </c>
      <c r="G369" s="840">
        <f>+Кот.!G281</f>
        <v>34601.956752404905</v>
      </c>
      <c r="H369" s="840">
        <f>+Кот.!H281</f>
        <v>35986.035022501099</v>
      </c>
      <c r="I369" s="840">
        <f>+Кот.!I281</f>
        <v>37425.476423401153</v>
      </c>
      <c r="J369" s="840">
        <f>+Кот.!J281</f>
        <v>38922.495480337195</v>
      </c>
      <c r="K369" s="840">
        <f>+Кот.!K281</f>
        <v>40479.395299550684</v>
      </c>
      <c r="L369" s="840">
        <f>+Кот.!L281</f>
        <v>42098.571111532714</v>
      </c>
      <c r="M369" s="840">
        <f>+Кот.!M281</f>
        <v>43782.513955994029</v>
      </c>
      <c r="N369" s="840">
        <f>+Кот.!N281</f>
        <v>45533.814514233789</v>
      </c>
      <c r="O369" s="840">
        <f>+Кот.!O281</f>
        <v>47355.167094803139</v>
      </c>
      <c r="P369" s="840">
        <f>+Кот.!P281</f>
        <v>49249.373778595269</v>
      </c>
    </row>
    <row r="370" spans="1:16" x14ac:dyDescent="0.2">
      <c r="A370" s="767" t="s">
        <v>124</v>
      </c>
      <c r="B370" s="766" t="s">
        <v>15</v>
      </c>
      <c r="C370" s="841">
        <f>+C368+C369</f>
        <v>86332.663049368202</v>
      </c>
      <c r="D370" s="841">
        <f t="shared" ref="D370" si="200">+D368+D369</f>
        <v>131915.60444419843</v>
      </c>
      <c r="E370" s="841">
        <f t="shared" ref="E370" si="201">+E368+E369</f>
        <v>137192.22862196635</v>
      </c>
      <c r="F370" s="841">
        <f t="shared" ref="F370" si="202">+F368+F369</f>
        <v>142679.91776684503</v>
      </c>
      <c r="G370" s="841">
        <f t="shared" ref="G370" si="203">+G368+G369</f>
        <v>145228.10789560695</v>
      </c>
      <c r="H370" s="841">
        <f t="shared" ref="H370" si="204">+H368+H369</f>
        <v>151037.23221143123</v>
      </c>
      <c r="I370" s="841">
        <f t="shared" ref="I370" si="205">+I368+I369</f>
        <v>157078.72149988849</v>
      </c>
      <c r="J370" s="841">
        <f t="shared" ref="J370" si="206">+J368+J369</f>
        <v>163361.87035988402</v>
      </c>
      <c r="K370" s="841">
        <f t="shared" ref="K370" si="207">+K368+K369</f>
        <v>169896.34517427938</v>
      </c>
      <c r="L370" s="841">
        <f t="shared" ref="L370" si="208">+L368+L369</f>
        <v>176692.19898125058</v>
      </c>
      <c r="M370" s="841">
        <f t="shared" ref="M370" si="209">+M368+M369</f>
        <v>183759.88694050064</v>
      </c>
      <c r="N370" s="841">
        <f t="shared" ref="N370" si="210">+N368+N369</f>
        <v>191110.28241812065</v>
      </c>
      <c r="O370" s="841">
        <f t="shared" ref="O370" si="211">+O368+O369</f>
        <v>198754.69371484546</v>
      </c>
      <c r="P370" s="841">
        <f t="shared" ref="P370" si="212">+P368+P369</f>
        <v>206704.88146343929</v>
      </c>
    </row>
    <row r="371" spans="1:16" x14ac:dyDescent="0.2">
      <c r="A371" s="777"/>
      <c r="B371" s="762"/>
      <c r="C371" s="815"/>
      <c r="D371" s="815"/>
      <c r="E371" s="815"/>
      <c r="F371" s="815"/>
      <c r="G371" s="815"/>
      <c r="H371" s="815"/>
      <c r="I371" s="815"/>
      <c r="J371" s="815"/>
      <c r="K371" s="815"/>
      <c r="L371" s="815"/>
      <c r="M371" s="815"/>
      <c r="N371" s="815"/>
      <c r="O371" s="815"/>
      <c r="P371" s="815"/>
    </row>
    <row r="372" spans="1:16" x14ac:dyDescent="0.2">
      <c r="A372" s="788" t="s">
        <v>433</v>
      </c>
      <c r="B372" s="762"/>
      <c r="C372" s="815"/>
      <c r="D372" s="815"/>
      <c r="E372" s="815"/>
      <c r="F372" s="815"/>
      <c r="G372" s="815"/>
      <c r="H372" s="815"/>
      <c r="I372" s="815"/>
      <c r="J372" s="815"/>
      <c r="K372" s="815"/>
      <c r="L372" s="815"/>
      <c r="M372" s="815"/>
      <c r="N372" s="815"/>
      <c r="O372" s="815"/>
      <c r="P372" s="815"/>
    </row>
    <row r="373" spans="1:16" x14ac:dyDescent="0.2">
      <c r="A373" s="777" t="s">
        <v>122</v>
      </c>
      <c r="B373" s="757" t="s">
        <v>15</v>
      </c>
      <c r="C373" s="840">
        <f>+Сети!C116</f>
        <v>240840.377199418</v>
      </c>
      <c r="D373" s="840">
        <f>+Сети!D116</f>
        <v>269615.66695784515</v>
      </c>
      <c r="E373" s="840">
        <f>+Сети!E116</f>
        <v>283571.28127819486</v>
      </c>
      <c r="F373" s="840">
        <f>+Сети!F116</f>
        <v>294914.13252932264</v>
      </c>
      <c r="G373" s="840">
        <f>+Сети!G116</f>
        <v>306710.69783049554</v>
      </c>
      <c r="H373" s="840">
        <f>+Сети!H116</f>
        <v>318979.12574371538</v>
      </c>
      <c r="I373" s="840">
        <f>+Сети!I116</f>
        <v>331738.29077346402</v>
      </c>
      <c r="J373" s="840">
        <f>+Сети!J116</f>
        <v>345007.8224044026</v>
      </c>
      <c r="K373" s="840">
        <f>+Сети!K116</f>
        <v>358808.13530057872</v>
      </c>
      <c r="L373" s="840">
        <f>+Сети!L116</f>
        <v>373160.4607126019</v>
      </c>
      <c r="M373" s="840">
        <f>+Сети!M116</f>
        <v>388086.87914110598</v>
      </c>
      <c r="N373" s="840">
        <f>+Сети!N116</f>
        <v>403610.35430675023</v>
      </c>
      <c r="O373" s="840">
        <f>+Сети!O116</f>
        <v>419754.76847902028</v>
      </c>
      <c r="P373" s="840">
        <f>+Сети!P116</f>
        <v>436544.95921818109</v>
      </c>
    </row>
    <row r="374" spans="1:16" x14ac:dyDescent="0.2">
      <c r="A374" s="777" t="s">
        <v>123</v>
      </c>
      <c r="B374" s="757" t="s">
        <v>15</v>
      </c>
      <c r="C374" s="840">
        <f>+Сети!C126</f>
        <v>75391.701939855528</v>
      </c>
      <c r="D374" s="840">
        <f>+Сети!D126</f>
        <v>84399.402782742109</v>
      </c>
      <c r="E374" s="840">
        <f>+Сети!E126</f>
        <v>88768.012097600484</v>
      </c>
      <c r="F374" s="840">
        <f>+Сети!F126</f>
        <v>92318.732581504504</v>
      </c>
      <c r="G374" s="840">
        <f>+Сети!G126</f>
        <v>96011.481884764682</v>
      </c>
      <c r="H374" s="840">
        <f>+Сети!H126</f>
        <v>99851.941160155286</v>
      </c>
      <c r="I374" s="840">
        <f>+Сети!I126</f>
        <v>103846.01880656149</v>
      </c>
      <c r="J374" s="840">
        <f>+Сети!J126</f>
        <v>107999.85955882396</v>
      </c>
      <c r="K374" s="840">
        <f>+Сети!K126</f>
        <v>112319.85394117693</v>
      </c>
      <c r="L374" s="840">
        <f>+Сети!L126</f>
        <v>116812.64809882401</v>
      </c>
      <c r="M374" s="840">
        <f>+Сети!M126</f>
        <v>121485.15402277697</v>
      </c>
      <c r="N374" s="840">
        <f>+Сети!N126</f>
        <v>126344.56018368805</v>
      </c>
      <c r="O374" s="840">
        <f>+Сети!O126</f>
        <v>131398.34259103559</v>
      </c>
      <c r="P374" s="840">
        <f>+Сети!P126</f>
        <v>136654.27629467702</v>
      </c>
    </row>
    <row r="375" spans="1:16" x14ac:dyDescent="0.2">
      <c r="A375" s="767" t="s">
        <v>124</v>
      </c>
      <c r="B375" s="766" t="s">
        <v>15</v>
      </c>
      <c r="C375" s="841">
        <f>+C373+C374</f>
        <v>316232.0791392735</v>
      </c>
      <c r="D375" s="841">
        <f t="shared" ref="D375" si="213">+D373+D374</f>
        <v>354015.06974058726</v>
      </c>
      <c r="E375" s="841">
        <f t="shared" ref="E375" si="214">+E373+E374</f>
        <v>372339.29337579536</v>
      </c>
      <c r="F375" s="841">
        <f t="shared" ref="F375" si="215">+F373+F374</f>
        <v>387232.86511082714</v>
      </c>
      <c r="G375" s="841">
        <f t="shared" ref="G375" si="216">+G373+G374</f>
        <v>402722.17971526022</v>
      </c>
      <c r="H375" s="841">
        <f t="shared" ref="H375" si="217">+H373+H374</f>
        <v>418831.06690387067</v>
      </c>
      <c r="I375" s="841">
        <f t="shared" ref="I375" si="218">+I373+I374</f>
        <v>435584.3095800255</v>
      </c>
      <c r="J375" s="841">
        <f t="shared" ref="J375" si="219">+J373+J374</f>
        <v>453007.68196322653</v>
      </c>
      <c r="K375" s="841">
        <f t="shared" ref="K375" si="220">+K373+K374</f>
        <v>471127.98924175568</v>
      </c>
      <c r="L375" s="841">
        <f t="shared" ref="L375" si="221">+L373+L374</f>
        <v>489973.10881142592</v>
      </c>
      <c r="M375" s="841">
        <f t="shared" ref="M375" si="222">+M373+M374</f>
        <v>509572.03316388297</v>
      </c>
      <c r="N375" s="841">
        <f t="shared" ref="N375" si="223">+N373+N374</f>
        <v>529954.9144904383</v>
      </c>
      <c r="O375" s="841">
        <f t="shared" ref="O375" si="224">+O373+O374</f>
        <v>551153.11107005586</v>
      </c>
      <c r="P375" s="841">
        <f t="shared" ref="P375" si="225">+P373+P374</f>
        <v>573199.23551285814</v>
      </c>
    </row>
    <row r="376" spans="1:16" x14ac:dyDescent="0.2">
      <c r="A376" s="777"/>
      <c r="B376" s="762"/>
      <c r="C376" s="815"/>
      <c r="D376" s="815"/>
      <c r="E376" s="815"/>
      <c r="F376" s="815"/>
      <c r="G376" s="815"/>
      <c r="H376" s="815"/>
      <c r="I376" s="815"/>
      <c r="J376" s="815"/>
      <c r="K376" s="815"/>
      <c r="L376" s="815"/>
      <c r="M376" s="815"/>
      <c r="N376" s="815"/>
      <c r="O376" s="815"/>
      <c r="P376" s="815"/>
    </row>
    <row r="377" spans="1:16" x14ac:dyDescent="0.2">
      <c r="A377" s="788" t="s">
        <v>319</v>
      </c>
      <c r="B377" s="762"/>
      <c r="C377" s="815"/>
      <c r="D377" s="815"/>
      <c r="E377" s="815"/>
      <c r="F377" s="815"/>
      <c r="G377" s="815"/>
      <c r="H377" s="815"/>
      <c r="I377" s="815"/>
      <c r="J377" s="815"/>
      <c r="K377" s="815"/>
      <c r="L377" s="815"/>
      <c r="M377" s="815"/>
      <c r="N377" s="815"/>
      <c r="O377" s="815"/>
      <c r="P377" s="815"/>
    </row>
    <row r="378" spans="1:16" x14ac:dyDescent="0.2">
      <c r="A378" s="777" t="s">
        <v>122</v>
      </c>
      <c r="B378" s="757" t="s">
        <v>15</v>
      </c>
      <c r="C378" s="838">
        <f>+C353+C358+C363+C368+C373</f>
        <v>650309.18424076261</v>
      </c>
      <c r="D378" s="838">
        <f t="shared" ref="D378:P378" si="226">+D353+D358+D363+D368+D373</f>
        <v>759897.46999156312</v>
      </c>
      <c r="E378" s="838">
        <f t="shared" si="226"/>
        <v>793875.79912169301</v>
      </c>
      <c r="F378" s="838">
        <f t="shared" si="226"/>
        <v>823288.27245232626</v>
      </c>
      <c r="G378" s="838">
        <f t="shared" si="226"/>
        <v>850284.91157768213</v>
      </c>
      <c r="H378" s="838">
        <f t="shared" si="226"/>
        <v>880517.25927751674</v>
      </c>
      <c r="I378" s="838">
        <f t="shared" si="226"/>
        <v>913385.22521800234</v>
      </c>
      <c r="J378" s="838">
        <f t="shared" si="226"/>
        <v>945610.07995471871</v>
      </c>
      <c r="K378" s="838">
        <f t="shared" si="226"/>
        <v>981994.14974294673</v>
      </c>
      <c r="L378" s="838">
        <f t="shared" si="226"/>
        <v>1021788.0093700173</v>
      </c>
      <c r="M378" s="838">
        <f t="shared" si="226"/>
        <v>1063082.468425201</v>
      </c>
      <c r="N378" s="838">
        <f t="shared" si="226"/>
        <v>1106038.088191682</v>
      </c>
      <c r="O378" s="838">
        <f t="shared" si="226"/>
        <v>1150721.5886476377</v>
      </c>
      <c r="P378" s="838">
        <f t="shared" si="226"/>
        <v>1197202.3664344344</v>
      </c>
    </row>
    <row r="379" spans="1:16" x14ac:dyDescent="0.2">
      <c r="A379" s="777" t="s">
        <v>123</v>
      </c>
      <c r="B379" s="757" t="s">
        <v>15</v>
      </c>
      <c r="C379" s="838">
        <f>+C354+C359+C364+C369+C374</f>
        <v>203862.87342585588</v>
      </c>
      <c r="D379" s="838">
        <f t="shared" ref="D379:P379" si="227">+D354+D359+D364+D369+D374</f>
        <v>238209.94352751639</v>
      </c>
      <c r="E379" s="838">
        <f t="shared" si="227"/>
        <v>248831.75605076284</v>
      </c>
      <c r="F379" s="838">
        <f t="shared" si="227"/>
        <v>258664.96890472702</v>
      </c>
      <c r="G379" s="838">
        <f t="shared" si="227"/>
        <v>268178.92067367217</v>
      </c>
      <c r="H379" s="838">
        <f t="shared" si="227"/>
        <v>278852.60140477738</v>
      </c>
      <c r="I379" s="838">
        <f t="shared" si="227"/>
        <v>289959.1401494093</v>
      </c>
      <c r="J379" s="838">
        <f t="shared" si="227"/>
        <v>301510.84206010436</v>
      </c>
      <c r="K379" s="838">
        <f t="shared" si="227"/>
        <v>311283.46813540405</v>
      </c>
      <c r="L379" s="838">
        <f t="shared" si="227"/>
        <v>323860.7324630387</v>
      </c>
      <c r="M379" s="838">
        <f t="shared" si="227"/>
        <v>336918.75924684131</v>
      </c>
      <c r="N379" s="838">
        <f t="shared" si="227"/>
        <v>350501.40527858003</v>
      </c>
      <c r="O379" s="838">
        <f t="shared" si="227"/>
        <v>364629.72233330808</v>
      </c>
      <c r="P379" s="838">
        <f t="shared" si="227"/>
        <v>379325.60618335754</v>
      </c>
    </row>
    <row r="380" spans="1:16" x14ac:dyDescent="0.2">
      <c r="A380" s="767" t="s">
        <v>124</v>
      </c>
      <c r="B380" s="766" t="s">
        <v>15</v>
      </c>
      <c r="C380" s="841">
        <f>+C378+C379</f>
        <v>854172.05766661849</v>
      </c>
      <c r="D380" s="841">
        <f t="shared" ref="D380" si="228">+D378+D379</f>
        <v>998107.41351907956</v>
      </c>
      <c r="E380" s="841">
        <f t="shared" ref="E380" si="229">+E378+E379</f>
        <v>1042707.5551724558</v>
      </c>
      <c r="F380" s="841">
        <f t="shared" ref="F380" si="230">+F378+F379</f>
        <v>1081953.2413570532</v>
      </c>
      <c r="G380" s="841">
        <f t="shared" ref="G380" si="231">+G378+G379</f>
        <v>1118463.8322513544</v>
      </c>
      <c r="H380" s="841">
        <f t="shared" ref="H380" si="232">+H378+H379</f>
        <v>1159369.8606822942</v>
      </c>
      <c r="I380" s="841">
        <f t="shared" ref="I380" si="233">+I378+I379</f>
        <v>1203344.3653674116</v>
      </c>
      <c r="J380" s="841">
        <f t="shared" ref="J380" si="234">+J378+J379</f>
        <v>1247120.9220148232</v>
      </c>
      <c r="K380" s="841">
        <f t="shared" ref="K380" si="235">+K378+K379</f>
        <v>1293277.6178783509</v>
      </c>
      <c r="L380" s="841">
        <f t="shared" ref="L380" si="236">+L378+L379</f>
        <v>1345648.7418330561</v>
      </c>
      <c r="M380" s="841">
        <f t="shared" ref="M380" si="237">+M378+M379</f>
        <v>1400001.2276720423</v>
      </c>
      <c r="N380" s="841">
        <f t="shared" ref="N380" si="238">+N378+N379</f>
        <v>1456539.493470262</v>
      </c>
      <c r="O380" s="841">
        <f t="shared" ref="O380" si="239">+O378+O379</f>
        <v>1515351.3109809458</v>
      </c>
      <c r="P380" s="841">
        <f t="shared" ref="P380" si="240">+P378+P379</f>
        <v>1576527.972617792</v>
      </c>
    </row>
    <row r="381" spans="1:16" x14ac:dyDescent="0.2">
      <c r="A381" s="777"/>
      <c r="B381" s="762"/>
      <c r="C381" s="815"/>
      <c r="D381" s="815"/>
      <c r="E381" s="815"/>
      <c r="F381" s="815"/>
      <c r="G381" s="815"/>
      <c r="H381" s="815"/>
      <c r="I381" s="815"/>
      <c r="J381" s="815"/>
      <c r="K381" s="815"/>
      <c r="L381" s="815"/>
      <c r="M381" s="815"/>
      <c r="N381" s="815"/>
      <c r="O381" s="815"/>
      <c r="P381" s="815"/>
    </row>
    <row r="382" spans="1:16" x14ac:dyDescent="0.2">
      <c r="A382" s="776" t="s">
        <v>667</v>
      </c>
      <c r="B382" s="766" t="s">
        <v>15</v>
      </c>
      <c r="C382" s="840">
        <f>+'ТЭЦ-1'!C147+'ТЭЦ-1'!C149</f>
        <v>20311.069947636755</v>
      </c>
      <c r="D382" s="840">
        <f>+'ТЭЦ-1'!D147+'ТЭЦ-1'!D149</f>
        <v>23877.778268093964</v>
      </c>
      <c r="E382" s="840">
        <f>+'ТЭЦ-1'!E147+'ТЭЦ-1'!E149</f>
        <v>24832.889398817722</v>
      </c>
      <c r="F382" s="840">
        <f>+'ТЭЦ-1'!F147+'ТЭЦ-1'!F149</f>
        <v>25826.204974770437</v>
      </c>
      <c r="G382" s="840">
        <f>+'ТЭЦ-1'!G147+'ТЭЦ-1'!G149</f>
        <v>26859.253173761255</v>
      </c>
      <c r="H382" s="840">
        <f>+'ТЭЦ-1'!H147+'ТЭЦ-1'!H149</f>
        <v>27933.623300711704</v>
      </c>
      <c r="I382" s="840">
        <f>+'ТЭЦ-1'!I147+'ТЭЦ-1'!I149</f>
        <v>29050.968232740172</v>
      </c>
      <c r="J382" s="840">
        <f>+'ТЭЦ-1'!J147+'ТЭЦ-1'!J149</f>
        <v>30213.006962049782</v>
      </c>
      <c r="K382" s="840">
        <f>+'ТЭЦ-1'!K147+'ТЭЦ-1'!K149</f>
        <v>31421.527240531774</v>
      </c>
      <c r="L382" s="840">
        <f>+'ТЭЦ-1'!L147+'ТЭЦ-1'!L149</f>
        <v>32678.388330153048</v>
      </c>
      <c r="M382" s="840">
        <f>+'ТЭЦ-1'!M147+'ТЭЦ-1'!M149</f>
        <v>33985.523863359165</v>
      </c>
      <c r="N382" s="840">
        <f>+'ТЭЦ-1'!N147+'ТЭЦ-1'!N149</f>
        <v>35344.944817893534</v>
      </c>
      <c r="O382" s="840">
        <f>+'ТЭЦ-1'!O147+'ТЭЦ-1'!O149</f>
        <v>36758.742610609275</v>
      </c>
      <c r="P382" s="840">
        <f>+'ТЭЦ-1'!P147+'ТЭЦ-1'!P149</f>
        <v>38229.092315033646</v>
      </c>
    </row>
    <row r="383" spans="1:16" x14ac:dyDescent="0.2">
      <c r="A383" s="776" t="s">
        <v>668</v>
      </c>
      <c r="B383" s="766" t="s">
        <v>15</v>
      </c>
      <c r="C383" s="840">
        <f>+'ТЭЦ-3'!C145+'ТЭЦ-3'!$C$147</f>
        <v>97228.254450588618</v>
      </c>
      <c r="D383" s="840">
        <f>+'ТЭЦ-3'!D145+'ТЭЦ-3'!$C$147</f>
        <v>131482.1760505886</v>
      </c>
      <c r="E383" s="840">
        <f>+'ТЭЦ-3'!E145+'ТЭЦ-3'!$C$147</f>
        <v>136421.82746802285</v>
      </c>
      <c r="F383" s="840">
        <f>+'ТЭЦ-3'!F145+'ТЭЦ-3'!$C$147</f>
        <v>139567.53139401315</v>
      </c>
      <c r="G383" s="840">
        <f>+'ТЭЦ-3'!G145+'ТЭЦ-3'!$C$147</f>
        <v>141981.42489317217</v>
      </c>
      <c r="H383" s="840">
        <f>+'ТЭЦ-3'!H145+'ТЭЦ-3'!$C$147</f>
        <v>144310.72661973184</v>
      </c>
      <c r="I383" s="840">
        <f>+'ТЭЦ-3'!I145+'ТЭЦ-3'!$C$147</f>
        <v>147764.63519922251</v>
      </c>
      <c r="J383" s="840">
        <f>+'ТЭЦ-3'!J145+'ТЭЦ-3'!$C$147</f>
        <v>149940.91147335895</v>
      </c>
      <c r="K383" s="840">
        <f>+'ТЭЦ-3'!K145+'ТЭЦ-3'!$C$147</f>
        <v>154279.81555664504</v>
      </c>
      <c r="L383" s="840">
        <f>+'ТЭЦ-3'!L145+'ТЭЦ-3'!$C$147</f>
        <v>160205.60374907183</v>
      </c>
      <c r="M383" s="840">
        <f>+'ТЭЦ-3'!M145+'ТЭЦ-3'!$C$147</f>
        <v>166302.5055070688</v>
      </c>
      <c r="N383" s="840">
        <f>+'ТЭЦ-3'!N145+'ТЭЦ-3'!$C$147</f>
        <v>172650.06810444858</v>
      </c>
      <c r="O383" s="840">
        <f>+'ТЭЦ-3'!O145+'ТЭЦ-3'!$C$147</f>
        <v>179258.51579003481</v>
      </c>
      <c r="P383" s="840">
        <f>+'ТЭЦ-3'!P145+'ТЭЦ-3'!$C$147</f>
        <v>186138.48746943564</v>
      </c>
    </row>
    <row r="384" spans="1:16" x14ac:dyDescent="0.2">
      <c r="A384" s="776" t="s">
        <v>669</v>
      </c>
      <c r="B384" s="766" t="s">
        <v>15</v>
      </c>
      <c r="C384" s="840">
        <f>+'ТЭЦ-4'!C151+'ТЭЦ-4'!C153</f>
        <v>77776.371991451568</v>
      </c>
      <c r="D384" s="840">
        <f>+'ТЭЦ-4'!D151+'ТЭЦ-4'!D153</f>
        <v>94110.992443562296</v>
      </c>
      <c r="E384" s="840">
        <f>+'ТЭЦ-4'!E151+'ТЭЦ-4'!E153</f>
        <v>97875.432141304787</v>
      </c>
      <c r="F384" s="840">
        <f>+'ТЭЦ-4'!F151+'ТЭЦ-4'!F153</f>
        <v>101790.44942695698</v>
      </c>
      <c r="G384" s="840">
        <f>+'ТЭЦ-4'!G151+'ТЭЦ-4'!G153</f>
        <v>105862.06740403526</v>
      </c>
      <c r="H384" s="840">
        <f>+'ТЭЦ-4'!H151+'ТЭЦ-4'!H153</f>
        <v>110096.55010019668</v>
      </c>
      <c r="I384" s="840">
        <f>+'ТЭЦ-4'!I151+'ТЭЦ-4'!I153</f>
        <v>114500.41210420454</v>
      </c>
      <c r="J384" s="840">
        <f>+'ТЭЦ-4'!J151+'ТЭЦ-4'!J153</f>
        <v>119080.42858837273</v>
      </c>
      <c r="K384" s="840">
        <f>+'ТЭЦ-4'!K151+'ТЭЦ-4'!K153</f>
        <v>123843.64573190763</v>
      </c>
      <c r="L384" s="840">
        <f>+'ТЭЦ-4'!L151+'ТЭЦ-4'!L153</f>
        <v>128797.39156118395</v>
      </c>
      <c r="M384" s="840">
        <f>+'ТЭЦ-4'!M151+'ТЭЦ-4'!M153</f>
        <v>133949.28722363131</v>
      </c>
      <c r="N384" s="840">
        <f>+'ТЭЦ-4'!N151+'ТЭЦ-4'!N153</f>
        <v>139307.25871257659</v>
      </c>
      <c r="O384" s="840">
        <f>+'ТЭЦ-4'!O151+'ТЭЦ-4'!O153</f>
        <v>144879.54906107966</v>
      </c>
      <c r="P384" s="840">
        <f>+'ТЭЦ-4'!P151+'ТЭЦ-4'!P153</f>
        <v>150674.73102352285</v>
      </c>
    </row>
    <row r="385" spans="1:16" x14ac:dyDescent="0.2">
      <c r="A385" s="776" t="s">
        <v>670</v>
      </c>
      <c r="B385" s="766" t="s">
        <v>15</v>
      </c>
      <c r="C385" s="840">
        <f>+Кот.!C268+Кот.!C272</f>
        <v>7802.8701603230629</v>
      </c>
      <c r="D385" s="840">
        <f>+Кот.!D268+Кот.!D272</f>
        <v>12303.00217771019</v>
      </c>
      <c r="E385" s="840">
        <f>+Кот.!E268+Кот.!E272</f>
        <v>12795.122264818599</v>
      </c>
      <c r="F385" s="840">
        <f>+Кот.!F268+Кот.!F272</f>
        <v>13306.927155411344</v>
      </c>
      <c r="G385" s="840">
        <f>+Кот.!G268+Кот.!G272</f>
        <v>13839.204241627798</v>
      </c>
      <c r="H385" s="840">
        <f>+Кот.!H268+Кот.!H272</f>
        <v>14392.77241129291</v>
      </c>
      <c r="I385" s="840">
        <f>+Кот.!I268+Кот.!I272</f>
        <v>14968.483307744627</v>
      </c>
      <c r="J385" s="840">
        <f>+Кот.!J268+Кот.!J272</f>
        <v>15567.222640054413</v>
      </c>
      <c r="K385" s="840">
        <f>+Кот.!K268+Кот.!K272</f>
        <v>16189.911545656591</v>
      </c>
      <c r="L385" s="840">
        <f>+Кот.!L268+Кот.!L272</f>
        <v>16837.508007482855</v>
      </c>
      <c r="M385" s="840">
        <f>+Кот.!M268+Кот.!M272</f>
        <v>17511.008327782169</v>
      </c>
      <c r="N385" s="840">
        <f>+Кот.!N268+Кот.!N272</f>
        <v>18211.448660893457</v>
      </c>
      <c r="O385" s="840">
        <f>+Кот.!O268+Кот.!O272</f>
        <v>18939.906607329194</v>
      </c>
      <c r="P385" s="840">
        <f>+Кот.!P268+Кот.!P272</f>
        <v>19697.502871622364</v>
      </c>
    </row>
    <row r="386" spans="1:16" x14ac:dyDescent="0.2">
      <c r="A386" s="776" t="s">
        <v>671</v>
      </c>
      <c r="B386" s="766" t="s">
        <v>15</v>
      </c>
      <c r="C386" s="840">
        <f>+Сети!C115+Сети!C117</f>
        <v>124199.5925</v>
      </c>
      <c r="D386" s="840">
        <f>+Сети!D115+Сети!D117</f>
        <v>146625.63053712519</v>
      </c>
      <c r="E386" s="840">
        <f>+Сети!E115+Сети!E117</f>
        <v>48260.178985254461</v>
      </c>
      <c r="F386" s="840">
        <f>+Сети!F115+Сети!F117</f>
        <v>50190.586144664638</v>
      </c>
      <c r="G386" s="840">
        <f>+Сети!G115+Сети!G117</f>
        <v>52198.209590451224</v>
      </c>
      <c r="H386" s="840">
        <f>+Сети!H115+Сети!H117</f>
        <v>54286.137974069279</v>
      </c>
      <c r="I386" s="840">
        <f>+Сети!I115+Сети!I117</f>
        <v>56457.583493032049</v>
      </c>
      <c r="J386" s="840">
        <f>+Сети!J115+Сети!J117</f>
        <v>58715.886832753335</v>
      </c>
      <c r="K386" s="840">
        <f>+Сети!K115+Сети!K117</f>
        <v>61064.522306063467</v>
      </c>
      <c r="L386" s="840">
        <f>+Сети!L115+Сети!L117</f>
        <v>63507.103198306017</v>
      </c>
      <c r="M386" s="840">
        <f>+Сети!M115+Сети!M117</f>
        <v>66047.387326238255</v>
      </c>
      <c r="N386" s="840">
        <f>+Сети!N115+Сети!N117</f>
        <v>68689.282819287793</v>
      </c>
      <c r="O386" s="840">
        <f>+Сети!O115+Сети!O117</f>
        <v>71436.854132059292</v>
      </c>
      <c r="P386" s="840">
        <f>+Сети!P115+Сети!P117</f>
        <v>74294.328297341664</v>
      </c>
    </row>
    <row r="387" spans="1:16" x14ac:dyDescent="0.2">
      <c r="A387" s="767" t="s">
        <v>672</v>
      </c>
      <c r="B387" s="766" t="s">
        <v>15</v>
      </c>
      <c r="C387" s="841">
        <f>SUM(C382:C386)</f>
        <v>327318.15905000002</v>
      </c>
      <c r="D387" s="841">
        <f t="shared" ref="D387:P387" si="241">SUM(D382:D386)</f>
        <v>408399.57947708026</v>
      </c>
      <c r="E387" s="841">
        <f t="shared" si="241"/>
        <v>320185.45025821845</v>
      </c>
      <c r="F387" s="841">
        <f t="shared" si="241"/>
        <v>330681.69909581653</v>
      </c>
      <c r="G387" s="841">
        <f t="shared" si="241"/>
        <v>340740.15930304769</v>
      </c>
      <c r="H387" s="841">
        <f t="shared" si="241"/>
        <v>351019.81040600239</v>
      </c>
      <c r="I387" s="841">
        <f t="shared" si="241"/>
        <v>362742.08233694389</v>
      </c>
      <c r="J387" s="841">
        <f t="shared" si="241"/>
        <v>373517.45649658918</v>
      </c>
      <c r="K387" s="841">
        <f t="shared" si="241"/>
        <v>386799.42238080449</v>
      </c>
      <c r="L387" s="841">
        <f t="shared" si="241"/>
        <v>402025.99484619766</v>
      </c>
      <c r="M387" s="841">
        <f t="shared" si="241"/>
        <v>417795.71224807965</v>
      </c>
      <c r="N387" s="841">
        <f t="shared" si="241"/>
        <v>434203.00311509997</v>
      </c>
      <c r="O387" s="841">
        <f t="shared" si="241"/>
        <v>451273.56820111221</v>
      </c>
      <c r="P387" s="841">
        <f t="shared" si="241"/>
        <v>469034.14197695616</v>
      </c>
    </row>
    <row r="388" spans="1:16" x14ac:dyDescent="0.2">
      <c r="A388" s="762"/>
      <c r="B388" s="762"/>
      <c r="C388" s="815"/>
      <c r="D388" s="815"/>
      <c r="E388" s="815"/>
      <c r="F388" s="815"/>
      <c r="G388" s="815"/>
      <c r="H388" s="815"/>
      <c r="I388" s="815"/>
      <c r="J388" s="815"/>
      <c r="K388" s="815"/>
      <c r="L388" s="815"/>
      <c r="M388" s="815"/>
      <c r="N388" s="815"/>
      <c r="O388" s="815"/>
      <c r="P388" s="815"/>
    </row>
    <row r="389" spans="1:16" x14ac:dyDescent="0.2">
      <c r="A389" s="776" t="s">
        <v>320</v>
      </c>
      <c r="B389" s="766" t="s">
        <v>15</v>
      </c>
      <c r="C389" s="840">
        <f>'ТЭЦ-1'!C166+'ТЭЦ-1'!$C$154</f>
        <v>918.01369999999997</v>
      </c>
      <c r="D389" s="840">
        <f>'ТЭЦ-1'!D166+'ТЭЦ-1'!$C$154</f>
        <v>1163.5419199335001</v>
      </c>
      <c r="E389" s="840">
        <f>'ТЭЦ-1'!E166+'ТЭЦ-1'!$C$154</f>
        <v>1308.4358506264771</v>
      </c>
      <c r="F389" s="840">
        <f>'ТЭЦ-1'!F166+'ТЭЦ-1'!$C$154</f>
        <v>1355.4956830515362</v>
      </c>
      <c r="G389" s="840">
        <f>'ТЭЦ-1'!G166+'ТЭЦ-1'!$C$154</f>
        <v>1404.4379087735977</v>
      </c>
      <c r="H389" s="840">
        <f>'ТЭЦ-1'!H166+'ТЭЦ-1'!$C$154</f>
        <v>1455.3378235245416</v>
      </c>
      <c r="I389" s="840">
        <f>'ТЭЦ-1'!I166+'ТЭЦ-1'!$C$154</f>
        <v>1508.2737348655232</v>
      </c>
      <c r="J389" s="840">
        <f>'ТЭЦ-1'!J166+'ТЭЦ-1'!$C$154</f>
        <v>1563.3270826601442</v>
      </c>
      <c r="K389" s="840">
        <f>'ТЭЦ-1'!K166+'ТЭЦ-1'!$C$154</f>
        <v>1620.5825643665501</v>
      </c>
      <c r="L389" s="840">
        <f>'ТЭЦ-1'!L166+'ТЭЦ-1'!$C$154</f>
        <v>1680.1282653412122</v>
      </c>
      <c r="M389" s="840">
        <f>'ТЭЦ-1'!M166+'ТЭЦ-1'!$C$154</f>
        <v>1742.0557943548608</v>
      </c>
      <c r="N389" s="840">
        <f>'ТЭЦ-1'!N166+'ТЭЦ-1'!$C$154</f>
        <v>1806.4604245290552</v>
      </c>
      <c r="O389" s="840">
        <f>'ТЭЦ-1'!O166+'ТЭЦ-1'!$C$154</f>
        <v>1873.4412399102175</v>
      </c>
      <c r="P389" s="840">
        <f>'ТЭЦ-1'!P166+'ТЭЦ-1'!$C$154</f>
        <v>1943.1012879066263</v>
      </c>
    </row>
    <row r="390" spans="1:16" x14ac:dyDescent="0.2">
      <c r="A390" s="776" t="s">
        <v>321</v>
      </c>
      <c r="B390" s="766" t="s">
        <v>15</v>
      </c>
      <c r="C390" s="840">
        <f>+'ТЭЦ-3'!C164+'ТЭЦ-3'!C152</f>
        <v>87291.584686000017</v>
      </c>
      <c r="D390" s="840">
        <f>+'ТЭЦ-3'!D164+'ТЭЦ-3'!D152</f>
        <v>90773.299840640015</v>
      </c>
      <c r="E390" s="840">
        <f>+'ТЭЦ-3'!E164+'ТЭЦ-3'!E152</f>
        <v>94446.056940810973</v>
      </c>
      <c r="F390" s="840">
        <f>+'ТЭЦ-3'!F164+'ТЭЦ-3'!F152</f>
        <v>90707.918829649614</v>
      </c>
      <c r="G390" s="840">
        <f>+'ТЭЦ-3'!G164+'ТЭЦ-3'!G152</f>
        <v>81397.388549418087</v>
      </c>
      <c r="H390" s="840">
        <f>+'ТЭЦ-3'!H164+'ТЭЦ-3'!H152</f>
        <v>70279.623079116209</v>
      </c>
      <c r="I390" s="840">
        <f>+'ТЭЦ-3'!I164+'ТЭЦ-3'!I152</f>
        <v>64371.116797798735</v>
      </c>
      <c r="J390" s="840">
        <f>+'ТЭЦ-3'!J164+'ТЭЦ-3'!J152</f>
        <v>50320.808959585978</v>
      </c>
      <c r="K390" s="840">
        <f>+'ТЭЦ-3'!K164+'ТЭЦ-3'!K152</f>
        <v>44607.784346036096</v>
      </c>
      <c r="L390" s="840">
        <f>+'ТЭЦ-3'!L164+'ТЭЦ-3'!L152</f>
        <v>46444.355783699655</v>
      </c>
      <c r="M390" s="840">
        <f>+'ТЭЦ-3'!M164+'ТЭЦ-3'!M152</f>
        <v>48345.123743862219</v>
      </c>
      <c r="N390" s="840">
        <f>+'ТЭЦ-3'!N164+'ТЭЦ-3'!N152</f>
        <v>50322.8761828489</v>
      </c>
      <c r="O390" s="840">
        <f>+'ТЭЦ-3'!O164+'ТЭЦ-3'!O152</f>
        <v>52380.720287443553</v>
      </c>
      <c r="P390" s="840">
        <f>+'ТЭЦ-3'!P164+'ТЭЦ-3'!P152</f>
        <v>54521.888331320624</v>
      </c>
    </row>
    <row r="391" spans="1:16" x14ac:dyDescent="0.2">
      <c r="A391" s="776" t="s">
        <v>322</v>
      </c>
      <c r="B391" s="766" t="s">
        <v>15</v>
      </c>
      <c r="C391" s="840">
        <f>+'ТЭЦ-4'!C170+'ТЭЦ-4'!C158</f>
        <v>14811.594650000001</v>
      </c>
      <c r="D391" s="840">
        <f>+'ТЭЦ-4'!D170+'ТЭЦ-4'!D158</f>
        <v>18680.839220000002</v>
      </c>
      <c r="E391" s="840">
        <f>+'ТЭЦ-4'!E170+'ТЭЦ-4'!E158</f>
        <v>19428.072788800004</v>
      </c>
      <c r="F391" s="840">
        <f>+'ТЭЦ-4'!F170+'ТЭЦ-4'!F158</f>
        <v>20205.195700352004</v>
      </c>
      <c r="G391" s="840">
        <f>+'ТЭЦ-4'!G170+'ТЭЦ-4'!G158</f>
        <v>21013.403528366085</v>
      </c>
      <c r="H391" s="840">
        <f>+'ТЭЦ-4'!H170+'ТЭЦ-4'!H158</f>
        <v>21853.939669500731</v>
      </c>
      <c r="I391" s="840">
        <f>+'ТЭЦ-4'!I170+'ТЭЦ-4'!I158</f>
        <v>22728.097256280758</v>
      </c>
      <c r="J391" s="840">
        <f>+'ТЭЦ-4'!J170+'ТЭЦ-4'!J158</f>
        <v>23637.221146531989</v>
      </c>
      <c r="K391" s="840">
        <f>+'ТЭЦ-4'!K170+'ТЭЦ-4'!K158</f>
        <v>24582.709992393269</v>
      </c>
      <c r="L391" s="840">
        <f>+'ТЭЦ-4'!L170+'ТЭЦ-4'!L158</f>
        <v>25566.018392089001</v>
      </c>
      <c r="M391" s="840">
        <f>+'ТЭЦ-4'!M170+'ТЭЦ-4'!M158</f>
        <v>26588.659127772564</v>
      </c>
      <c r="N391" s="840">
        <f>+'ТЭЦ-4'!N170+'ТЭЦ-4'!N158</f>
        <v>27652.20549288347</v>
      </c>
      <c r="O391" s="840">
        <f>+'ТЭЦ-4'!O170+'ТЭЦ-4'!O158</f>
        <v>28758.293712598806</v>
      </c>
      <c r="P391" s="840">
        <f>+'ТЭЦ-4'!P170+'ТЭЦ-4'!P158</f>
        <v>29908.625461102762</v>
      </c>
    </row>
    <row r="392" spans="1:16" x14ac:dyDescent="0.2">
      <c r="A392" s="776" t="s">
        <v>323</v>
      </c>
      <c r="B392" s="766" t="s">
        <v>15</v>
      </c>
      <c r="C392" s="857">
        <f>+Кот.!C288+Кот.!C277</f>
        <v>2892.0116947619999</v>
      </c>
      <c r="D392" s="857">
        <f>+Кот.!D288+Кот.!D277</f>
        <v>3950.3506706138623</v>
      </c>
      <c r="E392" s="857">
        <f>+Кот.!E288+Кот.!E277</f>
        <v>4108.3646974384164</v>
      </c>
      <c r="F392" s="857">
        <f>+Кот.!F288+Кот.!F277</f>
        <v>4272.6992853359534</v>
      </c>
      <c r="G392" s="857">
        <f>+Кот.!G288+Кот.!G277</f>
        <v>4443.607256749392</v>
      </c>
      <c r="H392" s="857">
        <f>+Кот.!H288+Кот.!H277</f>
        <v>4621.351547019367</v>
      </c>
      <c r="I392" s="857">
        <f>+Кот.!I288+Кот.!I277</f>
        <v>4806.2056089001426</v>
      </c>
      <c r="J392" s="857">
        <f>+Кот.!J288+Кот.!J277</f>
        <v>4998.4538332561478</v>
      </c>
      <c r="K392" s="857">
        <f>+Кот.!K288+Кот.!K277</f>
        <v>5198.3919865863945</v>
      </c>
      <c r="L392" s="857">
        <f>+Кот.!L288+Кот.!L277</f>
        <v>5406.3276660498504</v>
      </c>
      <c r="M392" s="857">
        <f>+Кот.!M288+Кот.!M277</f>
        <v>5622.5807726918447</v>
      </c>
      <c r="N392" s="857">
        <f>+Кот.!N288+Кот.!N277</f>
        <v>5847.4840035995185</v>
      </c>
      <c r="O392" s="857">
        <f>+Кот.!O288+Кот.!O277</f>
        <v>6081.3833637434991</v>
      </c>
      <c r="P392" s="857">
        <f>+Кот.!P288+Кот.!P277</f>
        <v>6324.6386982932399</v>
      </c>
    </row>
    <row r="393" spans="1:16" x14ac:dyDescent="0.2">
      <c r="A393" s="776" t="s">
        <v>435</v>
      </c>
      <c r="B393" s="766" t="s">
        <v>15</v>
      </c>
      <c r="C393" s="840">
        <f>+Сети!C133+Сети!C122</f>
        <v>49745.614199999996</v>
      </c>
      <c r="D393" s="840">
        <f>+Сети!D133+Сети!D122</f>
        <v>57982.118123094042</v>
      </c>
      <c r="E393" s="840">
        <f>+Сети!E133+Сети!E122</f>
        <v>60143.90247914513</v>
      </c>
      <c r="F393" s="840">
        <f>+Сети!F133+Сети!F122</f>
        <v>62549.658578310933</v>
      </c>
      <c r="G393" s="840">
        <f>+Сети!G133+Сети!G122</f>
        <v>65051.644921443374</v>
      </c>
      <c r="H393" s="840">
        <f>+Сети!H133+Сети!H122</f>
        <v>67653.71071830111</v>
      </c>
      <c r="I393" s="840">
        <f>+Сети!I133+Сети!I122</f>
        <v>70359.859147033159</v>
      </c>
      <c r="J393" s="840">
        <f>+Сети!J133+Сети!J122</f>
        <v>73174.253512914482</v>
      </c>
      <c r="K393" s="840">
        <f>+Сети!K133+Сети!K122</f>
        <v>76101.223653431065</v>
      </c>
      <c r="L393" s="840">
        <f>+Сети!L133+Сети!L122</f>
        <v>79145.272599568314</v>
      </c>
      <c r="M393" s="840">
        <f>+Сети!M133+Сети!M122</f>
        <v>82311.083503551039</v>
      </c>
      <c r="N393" s="840">
        <f>+Сети!N133+Сети!N122</f>
        <v>85603.526843693093</v>
      </c>
      <c r="O393" s="840">
        <f>+Сети!O133+Сети!O122</f>
        <v>89027.66791744082</v>
      </c>
      <c r="P393" s="840">
        <f>+Сети!P133+Сети!P122</f>
        <v>92588.774634138448</v>
      </c>
    </row>
    <row r="394" spans="1:16" x14ac:dyDescent="0.2">
      <c r="A394" s="767" t="s">
        <v>324</v>
      </c>
      <c r="B394" s="766" t="s">
        <v>15</v>
      </c>
      <c r="C394" s="841">
        <f t="shared" ref="C394:P394" si="242">SUM(C389:C393)</f>
        <v>155658.81893076201</v>
      </c>
      <c r="D394" s="841">
        <f t="shared" si="242"/>
        <v>172550.14977428142</v>
      </c>
      <c r="E394" s="841">
        <f t="shared" si="242"/>
        <v>179434.83275682101</v>
      </c>
      <c r="F394" s="841">
        <f t="shared" si="242"/>
        <v>179090.96807670005</v>
      </c>
      <c r="G394" s="841">
        <f t="shared" si="242"/>
        <v>173310.48216475055</v>
      </c>
      <c r="H394" s="841">
        <f t="shared" si="242"/>
        <v>165863.96283746196</v>
      </c>
      <c r="I394" s="841">
        <f t="shared" si="242"/>
        <v>163773.55254487833</v>
      </c>
      <c r="J394" s="841">
        <f t="shared" si="242"/>
        <v>153694.06453494873</v>
      </c>
      <c r="K394" s="841">
        <f t="shared" si="242"/>
        <v>152110.69254281337</v>
      </c>
      <c r="L394" s="841">
        <f t="shared" si="242"/>
        <v>158242.10270674803</v>
      </c>
      <c r="M394" s="841">
        <f t="shared" si="242"/>
        <v>164609.50294223253</v>
      </c>
      <c r="N394" s="841">
        <f t="shared" si="242"/>
        <v>171232.55294755404</v>
      </c>
      <c r="O394" s="841">
        <f t="shared" si="242"/>
        <v>178121.50652113691</v>
      </c>
      <c r="P394" s="841">
        <f t="shared" si="242"/>
        <v>185287.02841276169</v>
      </c>
    </row>
    <row r="395" spans="1:16" x14ac:dyDescent="0.2">
      <c r="A395" s="762"/>
      <c r="B395" s="762"/>
      <c r="C395" s="815"/>
      <c r="D395" s="815"/>
      <c r="E395" s="815"/>
      <c r="F395" s="815"/>
      <c r="G395" s="815"/>
      <c r="H395" s="815"/>
      <c r="I395" s="815"/>
      <c r="J395" s="815"/>
      <c r="K395" s="815"/>
      <c r="L395" s="815"/>
      <c r="M395" s="815"/>
      <c r="N395" s="815"/>
      <c r="O395" s="815"/>
      <c r="P395" s="815"/>
    </row>
    <row r="396" spans="1:16" x14ac:dyDescent="0.2">
      <c r="A396" s="776" t="s">
        <v>325</v>
      </c>
      <c r="B396" s="766" t="s">
        <v>15</v>
      </c>
      <c r="C396" s="838">
        <f t="shared" ref="C396:P396" si="243">+C431-C417-C403-C389-C382-C355-C322-C410</f>
        <v>22074.525843740041</v>
      </c>
      <c r="D396" s="838">
        <f t="shared" si="243"/>
        <v>20305.995903624691</v>
      </c>
      <c r="E396" s="838">
        <f t="shared" si="243"/>
        <v>20963.821262365494</v>
      </c>
      <c r="F396" s="838">
        <f t="shared" si="243"/>
        <v>21726.038565838251</v>
      </c>
      <c r="G396" s="838">
        <f t="shared" si="243"/>
        <v>22756.363443831953</v>
      </c>
      <c r="H396" s="838">
        <f t="shared" si="243"/>
        <v>23755.427031327552</v>
      </c>
      <c r="I396" s="838">
        <f t="shared" si="243"/>
        <v>24316.396556705036</v>
      </c>
      <c r="J396" s="838">
        <f t="shared" si="243"/>
        <v>24795.625171345971</v>
      </c>
      <c r="K396" s="838">
        <f t="shared" si="243"/>
        <v>25300.101836053411</v>
      </c>
      <c r="L396" s="838">
        <f t="shared" si="243"/>
        <v>25827.711082077614</v>
      </c>
      <c r="M396" s="838">
        <f t="shared" si="243"/>
        <v>26379.560579835321</v>
      </c>
      <c r="N396" s="838">
        <f t="shared" si="243"/>
        <v>26956.708544838028</v>
      </c>
      <c r="O396" s="838">
        <f t="shared" si="243"/>
        <v>27560.260992232455</v>
      </c>
      <c r="P396" s="838">
        <f t="shared" si="243"/>
        <v>28442.439153118416</v>
      </c>
    </row>
    <row r="397" spans="1:16" x14ac:dyDescent="0.2">
      <c r="A397" s="776" t="s">
        <v>327</v>
      </c>
      <c r="B397" s="766" t="s">
        <v>15</v>
      </c>
      <c r="C397" s="838">
        <f t="shared" ref="C397:P397" si="244">+C434-C418-C404-C390-C383-C360-C329-C411</f>
        <v>91275.071907026213</v>
      </c>
      <c r="D397" s="838">
        <f t="shared" si="244"/>
        <v>92789.465187119073</v>
      </c>
      <c r="E397" s="838">
        <f t="shared" si="244"/>
        <v>97405.306380973649</v>
      </c>
      <c r="F397" s="838">
        <f t="shared" si="244"/>
        <v>100977.01621493137</v>
      </c>
      <c r="G397" s="838">
        <f t="shared" si="244"/>
        <v>104297.41547054121</v>
      </c>
      <c r="H397" s="838">
        <f t="shared" si="244"/>
        <v>107685.39113873195</v>
      </c>
      <c r="I397" s="838">
        <f t="shared" si="244"/>
        <v>111736.96923412661</v>
      </c>
      <c r="J397" s="838">
        <f t="shared" si="244"/>
        <v>115234.74392899869</v>
      </c>
      <c r="K397" s="838">
        <f t="shared" si="244"/>
        <v>117685.34234133222</v>
      </c>
      <c r="L397" s="838">
        <f t="shared" si="244"/>
        <v>123359.70685066654</v>
      </c>
      <c r="M397" s="838">
        <f t="shared" si="244"/>
        <v>129205.37823437199</v>
      </c>
      <c r="N397" s="838">
        <f t="shared" si="244"/>
        <v>135290.60620955887</v>
      </c>
      <c r="O397" s="838">
        <f t="shared" si="244"/>
        <v>141625.1400948269</v>
      </c>
      <c r="P397" s="838">
        <f t="shared" si="244"/>
        <v>148219.12398404485</v>
      </c>
    </row>
    <row r="398" spans="1:16" x14ac:dyDescent="0.2">
      <c r="A398" s="776" t="s">
        <v>328</v>
      </c>
      <c r="B398" s="766" t="s">
        <v>15</v>
      </c>
      <c r="C398" s="838">
        <f t="shared" ref="C398:P398" si="245">+C437-C419-C405-C391-C384-C365-C336-C412</f>
        <v>68861.020881289121</v>
      </c>
      <c r="D398" s="838">
        <f t="shared" si="245"/>
        <v>66833.17522106941</v>
      </c>
      <c r="E398" s="838">
        <f t="shared" si="245"/>
        <v>69374.144838012478</v>
      </c>
      <c r="F398" s="838">
        <f t="shared" si="245"/>
        <v>71384.563143113293</v>
      </c>
      <c r="G398" s="838">
        <f t="shared" si="245"/>
        <v>73769.146807722922</v>
      </c>
      <c r="H398" s="838">
        <f t="shared" si="245"/>
        <v>75562.921230268912</v>
      </c>
      <c r="I398" s="838">
        <f t="shared" si="245"/>
        <v>79159.290827241697</v>
      </c>
      <c r="J398" s="838">
        <f t="shared" si="245"/>
        <v>80377.784527056225</v>
      </c>
      <c r="K398" s="838">
        <f t="shared" si="245"/>
        <v>81729.128576987147</v>
      </c>
      <c r="L398" s="838">
        <f t="shared" si="245"/>
        <v>83142.985070607712</v>
      </c>
      <c r="M398" s="838">
        <f t="shared" si="245"/>
        <v>84624.377823729475</v>
      </c>
      <c r="N398" s="838">
        <f t="shared" si="245"/>
        <v>86176.262047184107</v>
      </c>
      <c r="O398" s="838">
        <f t="shared" si="245"/>
        <v>87801.786859775602</v>
      </c>
      <c r="P398" s="838">
        <f t="shared" si="245"/>
        <v>89504.23495787679</v>
      </c>
    </row>
    <row r="399" spans="1:16" x14ac:dyDescent="0.2">
      <c r="A399" s="776" t="s">
        <v>329</v>
      </c>
      <c r="B399" s="766" t="s">
        <v>15</v>
      </c>
      <c r="C399" s="838">
        <f t="shared" ref="C399:P399" si="246">+C440-C420-C406-C392-C385-C370-C342-C424-C413</f>
        <v>10072.543612171583</v>
      </c>
      <c r="D399" s="838">
        <f t="shared" si="246"/>
        <v>9765.3673939862692</v>
      </c>
      <c r="E399" s="838">
        <f t="shared" si="246"/>
        <v>10458.091332259723</v>
      </c>
      <c r="F399" s="838">
        <f t="shared" si="246"/>
        <v>12517.318464317661</v>
      </c>
      <c r="G399" s="838">
        <f t="shared" si="246"/>
        <v>13745.253789911159</v>
      </c>
      <c r="H399" s="838">
        <f t="shared" si="246"/>
        <v>15827.635406600632</v>
      </c>
      <c r="I399" s="838">
        <f t="shared" si="246"/>
        <v>15797.931018777468</v>
      </c>
      <c r="J399" s="838">
        <f t="shared" si="246"/>
        <v>15847.953748071865</v>
      </c>
      <c r="K399" s="838">
        <f t="shared" si="246"/>
        <v>15902.147087640105</v>
      </c>
      <c r="L399" s="838">
        <f t="shared" si="246"/>
        <v>15963.105320672312</v>
      </c>
      <c r="M399" s="838">
        <f t="shared" si="246"/>
        <v>16031.164133939828</v>
      </c>
      <c r="N399" s="838">
        <f t="shared" si="246"/>
        <v>16106.745465448705</v>
      </c>
      <c r="O399" s="838">
        <f t="shared" si="246"/>
        <v>16190.290083456221</v>
      </c>
      <c r="P399" s="838">
        <f t="shared" si="246"/>
        <v>16282.260524393041</v>
      </c>
    </row>
    <row r="400" spans="1:16" x14ac:dyDescent="0.2">
      <c r="A400" s="776" t="s">
        <v>443</v>
      </c>
      <c r="B400" s="766" t="s">
        <v>15</v>
      </c>
      <c r="C400" s="838">
        <f t="shared" ref="C400:P400" si="247">+C443-C421-C407-C393-C386-C375-C414-C426</f>
        <v>73060.283391587611</v>
      </c>
      <c r="D400" s="838">
        <f t="shared" si="247"/>
        <v>64841.243879225047</v>
      </c>
      <c r="E400" s="838">
        <f t="shared" si="247"/>
        <v>84030.006028269301</v>
      </c>
      <c r="F400" s="838">
        <f t="shared" si="247"/>
        <v>97793.86753409126</v>
      </c>
      <c r="G400" s="838">
        <f t="shared" si="247"/>
        <v>109768.29546110335</v>
      </c>
      <c r="H400" s="838">
        <f t="shared" si="247"/>
        <v>120263.5066599367</v>
      </c>
      <c r="I400" s="838">
        <f t="shared" si="247"/>
        <v>129691.23592908264</v>
      </c>
      <c r="J400" s="838">
        <f t="shared" si="247"/>
        <v>121648.23996511023</v>
      </c>
      <c r="K400" s="838">
        <f t="shared" si="247"/>
        <v>113947.93163464118</v>
      </c>
      <c r="L400" s="838">
        <f t="shared" si="247"/>
        <v>105979.34423887971</v>
      </c>
      <c r="M400" s="838">
        <f t="shared" si="247"/>
        <v>97755.000876735881</v>
      </c>
      <c r="N400" s="838">
        <f t="shared" si="247"/>
        <v>89266.06197393217</v>
      </c>
      <c r="O400" s="838">
        <f t="shared" si="247"/>
        <v>80504.148272372826</v>
      </c>
      <c r="P400" s="838">
        <f t="shared" si="247"/>
        <v>72254.43835884615</v>
      </c>
    </row>
    <row r="401" spans="1:16" x14ac:dyDescent="0.2">
      <c r="A401" s="767" t="s">
        <v>330</v>
      </c>
      <c r="B401" s="766" t="s">
        <v>15</v>
      </c>
      <c r="C401" s="841">
        <f t="shared" ref="C401:P401" si="248">SUM(C396:C400)</f>
        <v>265343.44563581457</v>
      </c>
      <c r="D401" s="841">
        <f t="shared" si="248"/>
        <v>254535.24758502448</v>
      </c>
      <c r="E401" s="841">
        <f t="shared" si="248"/>
        <v>282231.36984188063</v>
      </c>
      <c r="F401" s="841">
        <f t="shared" si="248"/>
        <v>304398.80392229185</v>
      </c>
      <c r="G401" s="841">
        <f t="shared" si="248"/>
        <v>324336.4749731106</v>
      </c>
      <c r="H401" s="841">
        <f t="shared" si="248"/>
        <v>343094.88146686577</v>
      </c>
      <c r="I401" s="841">
        <f t="shared" si="248"/>
        <v>360701.8235659335</v>
      </c>
      <c r="J401" s="841">
        <f t="shared" si="248"/>
        <v>357904.34734058299</v>
      </c>
      <c r="K401" s="841">
        <f t="shared" si="248"/>
        <v>354564.65147665405</v>
      </c>
      <c r="L401" s="841">
        <f t="shared" si="248"/>
        <v>354272.85256290389</v>
      </c>
      <c r="M401" s="841">
        <f t="shared" si="248"/>
        <v>353995.48164861253</v>
      </c>
      <c r="N401" s="841">
        <f t="shared" si="248"/>
        <v>353796.38424096187</v>
      </c>
      <c r="O401" s="841">
        <f t="shared" si="248"/>
        <v>353681.62630266399</v>
      </c>
      <c r="P401" s="841">
        <f t="shared" si="248"/>
        <v>354702.4969782792</v>
      </c>
    </row>
    <row r="402" spans="1:16" x14ac:dyDescent="0.2">
      <c r="A402" s="767"/>
      <c r="B402" s="766"/>
      <c r="C402" s="775"/>
      <c r="D402" s="775"/>
      <c r="E402" s="775"/>
      <c r="F402" s="775"/>
      <c r="G402" s="775"/>
      <c r="H402" s="775"/>
      <c r="I402" s="775"/>
      <c r="J402" s="775"/>
      <c r="K402" s="775"/>
      <c r="L402" s="775"/>
      <c r="M402" s="775"/>
      <c r="N402" s="775"/>
      <c r="O402" s="775"/>
      <c r="P402" s="775"/>
    </row>
    <row r="403" spans="1:16" x14ac:dyDescent="0.2">
      <c r="A403" s="776" t="s">
        <v>436</v>
      </c>
      <c r="B403" s="766" t="s">
        <v>15</v>
      </c>
      <c r="C403" s="840">
        <f>+'ТЭЦ-1'!C165</f>
        <v>14963.087894148244</v>
      </c>
      <c r="D403" s="840">
        <f>+'ТЭЦ-1'!D165</f>
        <v>16116.270067210797</v>
      </c>
      <c r="E403" s="840">
        <f>+'ТЭЦ-1'!E165</f>
        <v>16321.11144537799</v>
      </c>
      <c r="F403" s="840">
        <f>+'ТЭЦ-1'!F165</f>
        <v>16528.556403035625</v>
      </c>
      <c r="G403" s="840">
        <f>+'ТЭЦ-1'!G165</f>
        <v>16738.638032258285</v>
      </c>
      <c r="H403" s="840">
        <f>+'ТЭЦ-1'!H165</f>
        <v>16951.389845728176</v>
      </c>
      <c r="I403" s="840">
        <f>+'ТЭЦ-1'!I165</f>
        <v>14693.024543611178</v>
      </c>
      <c r="J403" s="840">
        <f>+'ТЭЦ-1'!J165</f>
        <v>14879.776154523999</v>
      </c>
      <c r="K403" s="840">
        <f>+'ТЭЦ-1'!K165</f>
        <v>15068.901419960775</v>
      </c>
      <c r="L403" s="840">
        <f>+'ТЭЦ-1'!L165</f>
        <v>15260.430509598609</v>
      </c>
      <c r="M403" s="840">
        <f>+'ТЭЦ-1'!M165</f>
        <v>15454.393976577903</v>
      </c>
      <c r="N403" s="840">
        <f>+'ТЭЦ-1'!N165</f>
        <v>15650.822762376283</v>
      </c>
      <c r="O403" s="840">
        <f>+'ТЭЦ-1'!O165</f>
        <v>15849.748201744431</v>
      </c>
      <c r="P403" s="840">
        <f>+'ТЭЦ-1'!P165</f>
        <v>16051.202027704683</v>
      </c>
    </row>
    <row r="404" spans="1:16" x14ac:dyDescent="0.2">
      <c r="A404" s="776" t="s">
        <v>331</v>
      </c>
      <c r="B404" s="766" t="s">
        <v>15</v>
      </c>
      <c r="C404" s="840">
        <f>+'ТЭЦ-3'!C163</f>
        <v>140481.70642545226</v>
      </c>
      <c r="D404" s="840">
        <f>+'ТЭЦ-3'!D163</f>
        <v>149234.84898593233</v>
      </c>
      <c r="E404" s="840">
        <f>+'ТЭЦ-3'!E163</f>
        <v>150371.66500405586</v>
      </c>
      <c r="F404" s="840">
        <f>+'ТЭЦ-3'!F163</f>
        <v>149141.94171685417</v>
      </c>
      <c r="G404" s="840">
        <f>+'ТЭЦ-3'!G163</f>
        <v>148759.08689737009</v>
      </c>
      <c r="H404" s="840">
        <f>+'ТЭЦ-3'!H163</f>
        <v>143286.86031014225</v>
      </c>
      <c r="I404" s="840">
        <f>+'ТЭЦ-3'!I163</f>
        <v>143417.17751480339</v>
      </c>
      <c r="J404" s="840">
        <f>+'ТЭЦ-3'!J163</f>
        <v>142732.15888487833</v>
      </c>
      <c r="K404" s="840">
        <f>+'ТЭЦ-3'!K163</f>
        <v>143014.30704889871</v>
      </c>
      <c r="L404" s="840">
        <f>+'ТЭЦ-3'!L163</f>
        <v>144103.73727366712</v>
      </c>
      <c r="M404" s="840">
        <f>+'ТЭЦ-3'!M163</f>
        <v>145201.46637593341</v>
      </c>
      <c r="N404" s="840">
        <f>+'ТЭЦ-3'!N163</f>
        <v>146307.55757348437</v>
      </c>
      <c r="O404" s="840">
        <f>+'ТЭЦ-3'!O163</f>
        <v>147422.07456567665</v>
      </c>
      <c r="P404" s="840">
        <f>+'ТЭЦ-3'!P163</f>
        <v>148545.08153710506</v>
      </c>
    </row>
    <row r="405" spans="1:16" x14ac:dyDescent="0.2">
      <c r="A405" s="776" t="s">
        <v>332</v>
      </c>
      <c r="B405" s="766" t="s">
        <v>15</v>
      </c>
      <c r="C405" s="840">
        <f>+'ТЭЦ-4'!C169</f>
        <v>99760.836672943507</v>
      </c>
      <c r="D405" s="840">
        <f>+'ТЭЦ-4'!D169</f>
        <v>99809.010731283313</v>
      </c>
      <c r="E405" s="840">
        <f>+'ТЭЦ-4'!E169</f>
        <v>100151.07779449044</v>
      </c>
      <c r="F405" s="840">
        <f>+'ТЭЦ-4'!F169</f>
        <v>100494.31719549428</v>
      </c>
      <c r="G405" s="840">
        <f>+'ТЭЦ-4'!G169</f>
        <v>100350.10800112442</v>
      </c>
      <c r="H405" s="840">
        <f>+'ТЭЦ-4'!H169</f>
        <v>100694.02952168614</v>
      </c>
      <c r="I405" s="840">
        <f>+'ТЭЦ-4'!I169</f>
        <v>90229.57053073516</v>
      </c>
      <c r="J405" s="840">
        <f>+'ТЭЦ-4'!J169</f>
        <v>90393.904302473355</v>
      </c>
      <c r="K405" s="840">
        <f>+'ТЭЦ-4'!K169</f>
        <v>90703.70375995744</v>
      </c>
      <c r="L405" s="840">
        <f>+'ТЭЦ-4'!L169</f>
        <v>91014.564967175611</v>
      </c>
      <c r="M405" s="840">
        <f>+'ТЭЦ-4'!M169</f>
        <v>91326.491562973839</v>
      </c>
      <c r="N405" s="840">
        <f>+'ТЭЦ-4'!N169</f>
        <v>91639.487198669143</v>
      </c>
      <c r="O405" s="840">
        <f>+'ТЭЦ-4'!O169</f>
        <v>91953.555538092449</v>
      </c>
      <c r="P405" s="840">
        <f>+'ТЭЦ-4'!P169</f>
        <v>92268.700257631383</v>
      </c>
    </row>
    <row r="406" spans="1:16" x14ac:dyDescent="0.2">
      <c r="A406" s="776" t="s">
        <v>333</v>
      </c>
      <c r="B406" s="766" t="s">
        <v>15</v>
      </c>
      <c r="C406" s="840">
        <f>+Кот.!C287</f>
        <v>58555.921889664904</v>
      </c>
      <c r="D406" s="840">
        <f>+Кот.!D287</f>
        <v>107086.81207132108</v>
      </c>
      <c r="E406" s="840">
        <f>+Кот.!E287</f>
        <v>110299.41643346072</v>
      </c>
      <c r="F406" s="840">
        <f>+Кот.!F287</f>
        <v>112818.37807504804</v>
      </c>
      <c r="G406" s="840">
        <f>+Кот.!G287</f>
        <v>114427.00776812239</v>
      </c>
      <c r="H406" s="840">
        <f>+Кот.!H287</f>
        <v>117859.81800116607</v>
      </c>
      <c r="I406" s="840">
        <f>+Кот.!I287</f>
        <v>117823.07635906247</v>
      </c>
      <c r="J406" s="840">
        <f>+Кот.!J287</f>
        <v>119950.782414487</v>
      </c>
      <c r="K406" s="840">
        <f>+Кот.!K287</f>
        <v>123549.30588692159</v>
      </c>
      <c r="L406" s="840">
        <f>+Кот.!L287</f>
        <v>127255.78506352926</v>
      </c>
      <c r="M406" s="840">
        <f>+Кот.!M287</f>
        <v>131073.45861543514</v>
      </c>
      <c r="N406" s="840">
        <f>+Кот.!N287</f>
        <v>135005.6623738982</v>
      </c>
      <c r="O406" s="840">
        <f>+Кот.!O287</f>
        <v>139055.83224511516</v>
      </c>
      <c r="P406" s="840">
        <f>+Кот.!P287</f>
        <v>143227.5072124686</v>
      </c>
    </row>
    <row r="407" spans="1:16" x14ac:dyDescent="0.2">
      <c r="A407" s="776" t="s">
        <v>437</v>
      </c>
      <c r="B407" s="766" t="s">
        <v>15</v>
      </c>
      <c r="C407" s="840">
        <f>+Сети!C132</f>
        <v>46758.106890000003</v>
      </c>
      <c r="D407" s="840">
        <f>+Сети!D132</f>
        <v>52700.33396880512</v>
      </c>
      <c r="E407" s="840">
        <f>+Сети!E132</f>
        <v>54281.343987869273</v>
      </c>
      <c r="F407" s="840">
        <f>+Сети!F132</f>
        <v>55909.784307505353</v>
      </c>
      <c r="G407" s="840">
        <f>+Сети!G132</f>
        <v>57587.077836730517</v>
      </c>
      <c r="H407" s="840">
        <f>+Сети!H132</f>
        <v>59314.69017183243</v>
      </c>
      <c r="I407" s="840">
        <f>+Сети!I132</f>
        <v>61094.130876987401</v>
      </c>
      <c r="J407" s="840">
        <f>+Сети!J132</f>
        <v>62926.954803297027</v>
      </c>
      <c r="K407" s="840">
        <f>+Сети!K132</f>
        <v>64814.763447395941</v>
      </c>
      <c r="L407" s="840">
        <f>+Сети!L132</f>
        <v>66759.206350817825</v>
      </c>
      <c r="M407" s="840">
        <f>+Сети!M132</f>
        <v>68761.982541342353</v>
      </c>
      <c r="N407" s="840">
        <f>+Сети!N132</f>
        <v>70824.842017582632</v>
      </c>
      <c r="O407" s="840">
        <f>+Сети!O132</f>
        <v>72949.587278110106</v>
      </c>
      <c r="P407" s="840">
        <f>+Сети!P132</f>
        <v>75138.074896453414</v>
      </c>
    </row>
    <row r="408" spans="1:16" x14ac:dyDescent="0.2">
      <c r="A408" s="767" t="s">
        <v>334</v>
      </c>
      <c r="B408" s="766" t="s">
        <v>15</v>
      </c>
      <c r="C408" s="841">
        <f>SUM(C402:C407)</f>
        <v>360519.65977220889</v>
      </c>
      <c r="D408" s="841">
        <f t="shared" ref="D408:P408" si="249">SUM(D402:D407)</f>
        <v>424947.27582455263</v>
      </c>
      <c r="E408" s="841">
        <f t="shared" si="249"/>
        <v>431424.61466525425</v>
      </c>
      <c r="F408" s="841">
        <f t="shared" si="249"/>
        <v>434892.97769793746</v>
      </c>
      <c r="G408" s="841">
        <f t="shared" si="249"/>
        <v>437861.91853560566</v>
      </c>
      <c r="H408" s="841">
        <f t="shared" si="249"/>
        <v>438106.78785055509</v>
      </c>
      <c r="I408" s="841">
        <f t="shared" si="249"/>
        <v>427256.97982519964</v>
      </c>
      <c r="J408" s="841">
        <f t="shared" si="249"/>
        <v>430883.57655965968</v>
      </c>
      <c r="K408" s="841">
        <f t="shared" si="249"/>
        <v>437150.98156313447</v>
      </c>
      <c r="L408" s="841">
        <f t="shared" si="249"/>
        <v>444393.72416478844</v>
      </c>
      <c r="M408" s="841">
        <f t="shared" si="249"/>
        <v>451817.79307226266</v>
      </c>
      <c r="N408" s="841">
        <f t="shared" si="249"/>
        <v>459428.37192601059</v>
      </c>
      <c r="O408" s="841">
        <f t="shared" si="249"/>
        <v>467230.79782873881</v>
      </c>
      <c r="P408" s="841">
        <f t="shared" si="249"/>
        <v>475230.56593136315</v>
      </c>
    </row>
    <row r="409" spans="1:16" x14ac:dyDescent="0.2">
      <c r="A409" s="762"/>
      <c r="B409" s="762"/>
      <c r="C409" s="815"/>
      <c r="D409" s="815"/>
      <c r="E409" s="815"/>
      <c r="F409" s="815"/>
      <c r="G409" s="815"/>
      <c r="H409" s="815"/>
      <c r="I409" s="815"/>
      <c r="J409" s="815"/>
      <c r="K409" s="815"/>
      <c r="L409" s="815"/>
      <c r="M409" s="815"/>
      <c r="N409" s="815"/>
      <c r="O409" s="815"/>
      <c r="P409" s="815"/>
    </row>
    <row r="410" spans="1:16" x14ac:dyDescent="0.2">
      <c r="A410" s="776" t="s">
        <v>697</v>
      </c>
      <c r="B410" s="766" t="s">
        <v>15</v>
      </c>
      <c r="C410" s="860">
        <f>+'ТЭЦ-1'!C151+'ТЭЦ-1'!C156</f>
        <v>393.51890083200897</v>
      </c>
      <c r="D410" s="860">
        <f>+'ТЭЦ-1'!D151+'ТЭЦ-1'!D156</f>
        <v>688.12710272188781</v>
      </c>
      <c r="E410" s="860">
        <f>+'ТЭЦ-1'!E151+'ТЭЦ-1'!E156</f>
        <v>715.6521868307633</v>
      </c>
      <c r="F410" s="860">
        <f>+'ТЭЦ-1'!F151+'ТЭЦ-1'!F156</f>
        <v>744.27827430399384</v>
      </c>
      <c r="G410" s="860">
        <f>+'ТЭЦ-1'!G151+'ТЭЦ-1'!G156</f>
        <v>774.04940527615361</v>
      </c>
      <c r="H410" s="860">
        <f>+'ТЭЦ-1'!H151+'ТЭЦ-1'!H156</f>
        <v>805.01138148719974</v>
      </c>
      <c r="I410" s="860">
        <f>+'ТЭЦ-1'!I151+'ТЭЦ-1'!I156</f>
        <v>837.21183674668771</v>
      </c>
      <c r="J410" s="860">
        <f>+'ТЭЦ-1'!J151+'ТЭЦ-1'!J156</f>
        <v>870.70031021655529</v>
      </c>
      <c r="K410" s="860">
        <f>+'ТЭЦ-1'!K151+'ТЭЦ-1'!K156</f>
        <v>905.52832262521758</v>
      </c>
      <c r="L410" s="860">
        <f>+'ТЭЦ-1'!L151+'ТЭЦ-1'!L156</f>
        <v>941.74945553022633</v>
      </c>
      <c r="M410" s="860">
        <f>+'ТЭЦ-1'!M151+'ТЭЦ-1'!M156</f>
        <v>979.41943375143546</v>
      </c>
      <c r="N410" s="860">
        <f>+'ТЭЦ-1'!N151+'ТЭЦ-1'!N156</f>
        <v>1018.5962111014929</v>
      </c>
      <c r="O410" s="860">
        <f>+'ТЭЦ-1'!O151+'ТЭЦ-1'!O156</f>
        <v>1059.3400595455528</v>
      </c>
      <c r="P410" s="860">
        <f>+'ТЭЦ-1'!P151+'ТЭЦ-1'!P156</f>
        <v>1101.7136619273749</v>
      </c>
    </row>
    <row r="411" spans="1:16" x14ac:dyDescent="0.2">
      <c r="A411" s="776" t="s">
        <v>698</v>
      </c>
      <c r="B411" s="766" t="s">
        <v>15</v>
      </c>
      <c r="C411" s="860">
        <f>+'ТЭЦ-3'!$C$149+'ТЭЦ-3'!$C$154</f>
        <v>895.75802657569011</v>
      </c>
      <c r="D411" s="860">
        <f>+'ТЭЦ-3'!$C$149+'ТЭЦ-3'!$C$154</f>
        <v>895.75802657569011</v>
      </c>
      <c r="E411" s="860">
        <f>+'ТЭЦ-3'!$C$149+'ТЭЦ-3'!$C$154</f>
        <v>895.75802657569011</v>
      </c>
      <c r="F411" s="860">
        <f>+'ТЭЦ-3'!$C$149+'ТЭЦ-3'!$C$154</f>
        <v>895.75802657569011</v>
      </c>
      <c r="G411" s="860">
        <f>+'ТЭЦ-3'!$C$149+'ТЭЦ-3'!$C$154</f>
        <v>895.75802657569011</v>
      </c>
      <c r="H411" s="860">
        <f>+'ТЭЦ-3'!$C$149+'ТЭЦ-3'!$C$154</f>
        <v>895.75802657569011</v>
      </c>
      <c r="I411" s="860">
        <f>+'ТЭЦ-3'!$C$149+'ТЭЦ-3'!$C$154</f>
        <v>895.75802657569011</v>
      </c>
      <c r="J411" s="860">
        <f>+'ТЭЦ-3'!$C$149+'ТЭЦ-3'!$C$154</f>
        <v>895.75802657569011</v>
      </c>
      <c r="K411" s="860">
        <f>+'ТЭЦ-3'!$C$149+'ТЭЦ-3'!$C$154</f>
        <v>895.75802657569011</v>
      </c>
      <c r="L411" s="860">
        <f>+'ТЭЦ-3'!$C$149+'ТЭЦ-3'!$C$154</f>
        <v>895.75802657569011</v>
      </c>
      <c r="M411" s="860">
        <f>+'ТЭЦ-3'!$C$149+'ТЭЦ-3'!$C$154</f>
        <v>895.75802657569011</v>
      </c>
      <c r="N411" s="860">
        <f>+'ТЭЦ-3'!$C$149+'ТЭЦ-3'!$C$154</f>
        <v>895.75802657569011</v>
      </c>
      <c r="O411" s="860">
        <f>+'ТЭЦ-3'!$C$149+'ТЭЦ-3'!$C$154</f>
        <v>895.75802657569011</v>
      </c>
      <c r="P411" s="860">
        <f>+'ТЭЦ-3'!$C$149+'ТЭЦ-3'!$C$154</f>
        <v>895.75802657569011</v>
      </c>
    </row>
    <row r="412" spans="1:16" x14ac:dyDescent="0.2">
      <c r="A412" s="776" t="s">
        <v>699</v>
      </c>
      <c r="B412" s="766" t="s">
        <v>15</v>
      </c>
      <c r="C412" s="860">
        <f>+'ТЭЦ-4'!C155+'ТЭЦ-4'!C160</f>
        <v>1561.8045374707144</v>
      </c>
      <c r="D412" s="860">
        <f>+'ТЭЦ-4'!D155+'ТЭЦ-4'!D160</f>
        <v>3041.775944793204</v>
      </c>
      <c r="E412" s="860">
        <f>+'ТЭЦ-4'!E155+'ТЭЦ-4'!E160</f>
        <v>3163.4469825849324</v>
      </c>
      <c r="F412" s="860">
        <f>+'ТЭЦ-4'!F155+'ТЭЦ-4'!F160</f>
        <v>3289.9848618883298</v>
      </c>
      <c r="G412" s="860">
        <f>+'ТЭЦ-4'!G155+'ТЭЦ-4'!G160</f>
        <v>3421.584256363863</v>
      </c>
      <c r="H412" s="860">
        <f>+'ТЭЦ-4'!H155+'ТЭЦ-4'!H160</f>
        <v>3558.4476266184179</v>
      </c>
      <c r="I412" s="860">
        <f>+'ТЭЦ-4'!I155+'ТЭЦ-4'!I160</f>
        <v>3700.7855316831547</v>
      </c>
      <c r="J412" s="860">
        <f>+'ТЭЦ-4'!J155+'ТЭЦ-4'!J160</f>
        <v>3848.8169529504808</v>
      </c>
      <c r="K412" s="860">
        <f>+'ТЭЦ-4'!K155+'ТЭЦ-4'!K160</f>
        <v>4002.7696310685001</v>
      </c>
      <c r="L412" s="860">
        <f>+'ТЭЦ-4'!L155+'ТЭЦ-4'!L160</f>
        <v>4162.88041631124</v>
      </c>
      <c r="M412" s="860">
        <f>+'ТЭЦ-4'!M155+'ТЭЦ-4'!M160</f>
        <v>4329.3956329636894</v>
      </c>
      <c r="N412" s="860">
        <f>+'ТЭЦ-4'!N155+'ТЭЦ-4'!N160</f>
        <v>4502.5714582822375</v>
      </c>
      <c r="O412" s="860">
        <f>+'ТЭЦ-4'!O155+'ТЭЦ-4'!O160</f>
        <v>4682.6743166135275</v>
      </c>
      <c r="P412" s="860">
        <f>+'ТЭЦ-4'!P155+'ТЭЦ-4'!P160</f>
        <v>4869.9812892780692</v>
      </c>
    </row>
    <row r="413" spans="1:16" x14ac:dyDescent="0.2">
      <c r="A413" s="776" t="s">
        <v>700</v>
      </c>
      <c r="B413" s="766" t="s">
        <v>15</v>
      </c>
      <c r="C413" s="860">
        <f>+Кот.!C274+Кот.!C278</f>
        <v>5304.9187751215877</v>
      </c>
      <c r="D413" s="860">
        <f>+Кот.!D274+Кот.!D278</f>
        <v>7455.5695208766647</v>
      </c>
      <c r="E413" s="860">
        <f>+Кот.!E274+Кот.!E278</f>
        <v>7467.8115831517307</v>
      </c>
      <c r="F413" s="860">
        <f>+Кот.!F274+Кот.!F278</f>
        <v>7480.5433279177996</v>
      </c>
      <c r="G413" s="860">
        <f>+Кот.!G274+Кот.!G278</f>
        <v>7493.7843424745115</v>
      </c>
      <c r="H413" s="860">
        <f>+Кот.!H274+Кот.!H278</f>
        <v>7507.5549976134926</v>
      </c>
      <c r="I413" s="860">
        <f>+Кот.!I274+Кот.!I278</f>
        <v>7521.8764789580318</v>
      </c>
      <c r="J413" s="860">
        <f>+Кот.!J274+Кот.!J278</f>
        <v>7536.7708195563528</v>
      </c>
      <c r="K413" s="860">
        <f>+Кот.!K274+Кот.!K278</f>
        <v>7552.2609337786071</v>
      </c>
      <c r="L413" s="860">
        <f>+Кот.!L274+Кот.!L278</f>
        <v>7568.3706525697517</v>
      </c>
      <c r="M413" s="860">
        <f>+Кот.!M274+Кот.!M278</f>
        <v>7585.1247601125415</v>
      </c>
      <c r="N413" s="860">
        <f>+Кот.!N274+Кот.!N278</f>
        <v>7602.5490319570426</v>
      </c>
      <c r="O413" s="860">
        <f>+Кот.!O274+Кот.!O278</f>
        <v>7620.6702746753244</v>
      </c>
      <c r="P413" s="860">
        <f>+Кот.!P274+Кот.!P278</f>
        <v>7639.5163671023374</v>
      </c>
    </row>
    <row r="414" spans="1:16" x14ac:dyDescent="0.2">
      <c r="A414" s="776" t="s">
        <v>701</v>
      </c>
      <c r="B414" s="766" t="s">
        <v>15</v>
      </c>
      <c r="C414" s="860">
        <f>+Сети!C119+Сети!C123</f>
        <v>69312.757629999993</v>
      </c>
      <c r="D414" s="860">
        <f>+Сети!D119+Сети!D123</f>
        <v>59662.995730136085</v>
      </c>
      <c r="E414" s="860">
        <f>+Сети!E119+Сети!E123</f>
        <v>59662.995730136085</v>
      </c>
      <c r="F414" s="860">
        <f>+Сети!F119+Сети!F123</f>
        <v>60053.085887501526</v>
      </c>
      <c r="G414" s="860">
        <f>+Сети!G119+Сети!G123</f>
        <v>60458.779651161589</v>
      </c>
      <c r="H414" s="860">
        <f>+Сети!H119+Сети!H123</f>
        <v>60880.701165368053</v>
      </c>
      <c r="I414" s="860">
        <f>+Сети!I119+Сети!I123</f>
        <v>61319.499540142773</v>
      </c>
      <c r="J414" s="860">
        <f>+Сети!J119+Сети!J123</f>
        <v>61775.849849908482</v>
      </c>
      <c r="K414" s="860">
        <f>+Сети!K119+Сети!K123</f>
        <v>62250.454172064819</v>
      </c>
      <c r="L414" s="860">
        <f>+Сети!L119+Сети!L123</f>
        <v>62744.042667107416</v>
      </c>
      <c r="M414" s="860">
        <f>+Сети!M119+Сети!M123</f>
        <v>63257.37470195171</v>
      </c>
      <c r="N414" s="860">
        <f>+Сети!N119+Сети!N123</f>
        <v>63791.240018189783</v>
      </c>
      <c r="O414" s="860">
        <f>+Сети!O119+Сети!O123</f>
        <v>64346.459947077368</v>
      </c>
      <c r="P414" s="860">
        <f>+Сети!P119+Сети!P123</f>
        <v>64923.888673120469</v>
      </c>
    </row>
    <row r="415" spans="1:16" s="744" customFormat="1" x14ac:dyDescent="0.2">
      <c r="A415" s="767" t="s">
        <v>696</v>
      </c>
      <c r="B415" s="766" t="s">
        <v>15</v>
      </c>
      <c r="C415" s="841">
        <f>SUM(C409:C414)</f>
        <v>77468.757870000001</v>
      </c>
      <c r="D415" s="841">
        <f t="shared" ref="D415" si="250">SUM(D409:D414)</f>
        <v>71744.226325103533</v>
      </c>
      <c r="E415" s="841">
        <f t="shared" ref="E415" si="251">SUM(E409:E414)</f>
        <v>71905.664509279202</v>
      </c>
      <c r="F415" s="841">
        <f t="shared" ref="F415" si="252">SUM(F409:F414)</f>
        <v>72463.650378187333</v>
      </c>
      <c r="G415" s="841">
        <f t="shared" ref="G415" si="253">SUM(G409:G414)</f>
        <v>73043.955681851803</v>
      </c>
      <c r="H415" s="841">
        <f t="shared" ref="H415" si="254">SUM(H409:H414)</f>
        <v>73647.473197662854</v>
      </c>
      <c r="I415" s="841">
        <f t="shared" ref="I415" si="255">SUM(I409:I414)</f>
        <v>74275.131414106334</v>
      </c>
      <c r="J415" s="841">
        <f t="shared" ref="J415" si="256">SUM(J409:J414)</f>
        <v>74927.895959207555</v>
      </c>
      <c r="K415" s="841">
        <f t="shared" ref="K415" si="257">SUM(K409:K414)</f>
        <v>75606.771086112829</v>
      </c>
      <c r="L415" s="841">
        <f t="shared" ref="L415" si="258">SUM(L409:L414)</f>
        <v>76312.801218094333</v>
      </c>
      <c r="M415" s="841">
        <f t="shared" ref="M415" si="259">SUM(M409:M414)</f>
        <v>77047.072555355073</v>
      </c>
      <c r="N415" s="841">
        <f t="shared" ref="N415" si="260">SUM(N409:N414)</f>
        <v>77810.714746106241</v>
      </c>
      <c r="O415" s="841">
        <f t="shared" ref="O415" si="261">SUM(O409:O414)</f>
        <v>78604.902624487469</v>
      </c>
      <c r="P415" s="841">
        <f t="shared" ref="P415" si="262">SUM(P409:P414)</f>
        <v>79430.858018003943</v>
      </c>
    </row>
    <row r="416" spans="1:16" x14ac:dyDescent="0.2">
      <c r="A416" s="767"/>
      <c r="B416" s="766"/>
      <c r="C416" s="775"/>
      <c r="D416" s="775"/>
      <c r="E416" s="775"/>
      <c r="F416" s="775"/>
      <c r="G416" s="775"/>
      <c r="H416" s="775"/>
      <c r="I416" s="775"/>
      <c r="J416" s="775"/>
      <c r="K416" s="775"/>
      <c r="L416" s="775"/>
      <c r="M416" s="775"/>
      <c r="N416" s="775"/>
      <c r="O416" s="775"/>
      <c r="P416" s="775"/>
    </row>
    <row r="417" spans="1:16" x14ac:dyDescent="0.2">
      <c r="A417" s="776" t="s">
        <v>335</v>
      </c>
      <c r="B417" s="766" t="s">
        <v>15</v>
      </c>
      <c r="C417" s="840">
        <f>+'ТЭЦ-1'!C161</f>
        <v>8577.5572524374402</v>
      </c>
      <c r="D417" s="840">
        <f>+'ТЭЦ-1'!D161</f>
        <v>8577.5572524374402</v>
      </c>
      <c r="E417" s="840">
        <f>+'ТЭЦ-1'!E161</f>
        <v>8577.5572524374402</v>
      </c>
      <c r="F417" s="840">
        <f>+'ТЭЦ-1'!F161</f>
        <v>9605.4572524374398</v>
      </c>
      <c r="G417" s="840">
        <f>+'ТЭЦ-1'!G161</f>
        <v>11097.857252437439</v>
      </c>
      <c r="H417" s="840">
        <f>+'ТЭЦ-1'!H161</f>
        <v>13840.857252437439</v>
      </c>
      <c r="I417" s="840">
        <f>+'ТЭЦ-1'!I161</f>
        <v>16594.05725243744</v>
      </c>
      <c r="J417" s="840">
        <f>+'ТЭЦ-1'!J161</f>
        <v>17504.357252437439</v>
      </c>
      <c r="K417" s="840">
        <f>+'ТЭЦ-1'!K161</f>
        <v>18002.178970010562</v>
      </c>
      <c r="L417" s="840">
        <f>+'ТЭЦ-1'!L161</f>
        <v>18527.309687583685</v>
      </c>
      <c r="M417" s="840">
        <f>+'ТЭЦ-1'!M161</f>
        <v>19067.375056684003</v>
      </c>
      <c r="N417" s="840">
        <f>+'ТЭЦ-1'!N161</f>
        <v>19623.194347311513</v>
      </c>
      <c r="O417" s="840">
        <f>+'ТЭЦ-1'!O161</f>
        <v>20195.215599012034</v>
      </c>
      <c r="P417" s="840">
        <f>+'ТЭЦ-1'!P161</f>
        <v>9371.7151937598865</v>
      </c>
    </row>
    <row r="418" spans="1:16" x14ac:dyDescent="0.2">
      <c r="A418" s="776" t="s">
        <v>336</v>
      </c>
      <c r="B418" s="766" t="s">
        <v>15</v>
      </c>
      <c r="C418" s="840">
        <f>+'ТЭЦ-3'!C159</f>
        <v>32965.880230429932</v>
      </c>
      <c r="D418" s="840">
        <f>+'ТЭЦ-3'!D159</f>
        <v>32965.880230429932</v>
      </c>
      <c r="E418" s="840">
        <f>+'ТЭЦ-3'!E159</f>
        <v>34350.390712476445</v>
      </c>
      <c r="F418" s="840">
        <f>+'ТЭЦ-3'!F159</f>
        <v>35645.931551196096</v>
      </c>
      <c r="G418" s="840">
        <f>+'ТЭЦ-3'!G159</f>
        <v>37019.487696827615</v>
      </c>
      <c r="H418" s="840">
        <f>+'ТЭЦ-3'!H159</f>
        <v>38465.312876216689</v>
      </c>
      <c r="I418" s="840">
        <f>+'ТЭЦ-3'!I159</f>
        <v>39972.834611384875</v>
      </c>
      <c r="J418" s="840">
        <f>+'ТЭЦ-3'!J159</f>
        <v>41541.246552018201</v>
      </c>
      <c r="K418" s="840">
        <f>+'ТЭЦ-3'!K159</f>
        <v>41707.484728779542</v>
      </c>
      <c r="L418" s="840">
        <f>+'ТЭЦ-3'!L159</f>
        <v>43458.094630603919</v>
      </c>
      <c r="M418" s="840">
        <f>+'ТЭЦ-3'!M159</f>
        <v>45264.134289128699</v>
      </c>
      <c r="N418" s="840">
        <f>+'ТЭЦ-3'!N159</f>
        <v>47143.917723299259</v>
      </c>
      <c r="O418" s="840">
        <f>+'ТЭЦ-3'!O159</f>
        <v>49100.438481645426</v>
      </c>
      <c r="P418" s="840">
        <f>+'ТЭЦ-3'!P159</f>
        <v>51136.811113737516</v>
      </c>
    </row>
    <row r="419" spans="1:16" x14ac:dyDescent="0.2">
      <c r="A419" s="776" t="s">
        <v>337</v>
      </c>
      <c r="B419" s="766" t="s">
        <v>15</v>
      </c>
      <c r="C419" s="840">
        <f>+'ТЭЦ-4'!C165</f>
        <v>30185.452822796709</v>
      </c>
      <c r="D419" s="840">
        <f>+'ТЭЦ-4'!D165</f>
        <v>30185.452822796709</v>
      </c>
      <c r="E419" s="840">
        <f>+'ТЭЦ-4'!E165</f>
        <v>30185.452822796709</v>
      </c>
      <c r="F419" s="840">
        <f>+'ТЭЦ-4'!F165</f>
        <v>36393.639804474624</v>
      </c>
      <c r="G419" s="840">
        <f>+'ТЭЦ-4'!G165</f>
        <v>40476.639804474624</v>
      </c>
      <c r="H419" s="840">
        <f>+'ТЭЦ-4'!H165</f>
        <v>46320.906278463066</v>
      </c>
      <c r="I419" s="840">
        <f>+'ТЭЦ-4'!I165</f>
        <v>49702.406278463066</v>
      </c>
      <c r="J419" s="840">
        <f>+'ТЭЦ-4'!J165</f>
        <v>61239.506278463065</v>
      </c>
      <c r="K419" s="840">
        <f>+'ТЭЦ-4'!K165</f>
        <v>62730.578466816958</v>
      </c>
      <c r="L419" s="840">
        <f>+'ТЭЦ-4'!L165</f>
        <v>64567.763655170849</v>
      </c>
      <c r="M419" s="840">
        <f>+'ТЭЦ-4'!M165</f>
        <v>66449.681009175358</v>
      </c>
      <c r="N419" s="840">
        <f>+'ТЭЦ-4'!N165</f>
        <v>68386.713918830486</v>
      </c>
      <c r="O419" s="840">
        <f>+'ТЭЦ-4'!O165</f>
        <v>70380.204349105741</v>
      </c>
      <c r="P419" s="840">
        <f>+'ТЭЦ-4'!P165</f>
        <v>72431.805766670659</v>
      </c>
    </row>
    <row r="420" spans="1:16" x14ac:dyDescent="0.2">
      <c r="A420" s="776" t="s">
        <v>338</v>
      </c>
      <c r="B420" s="766" t="s">
        <v>15</v>
      </c>
      <c r="C420" s="840">
        <f>+Кот.!C283</f>
        <v>1901.0866514436357</v>
      </c>
      <c r="D420" s="840">
        <f>+Кот.!D283</f>
        <v>1901.0866514436357</v>
      </c>
      <c r="E420" s="840">
        <f>+Кот.!E283</f>
        <v>1901.0866514436357</v>
      </c>
      <c r="F420" s="840">
        <f>+Кот.!F283</f>
        <v>3544.4866514436353</v>
      </c>
      <c r="G420" s="840">
        <f>+Кот.!G283</f>
        <v>11495.786651443635</v>
      </c>
      <c r="H420" s="840">
        <f>+Кот.!H283</f>
        <v>16393.086651443635</v>
      </c>
      <c r="I420" s="840">
        <f>+Кот.!I283</f>
        <v>25590.611314256737</v>
      </c>
      <c r="J420" s="840">
        <f>+Кот.!J283</f>
        <v>26031.211314256736</v>
      </c>
      <c r="K420" s="840">
        <f>+Кот.!K283</f>
        <v>26798.929653684438</v>
      </c>
      <c r="L420" s="840">
        <f>+Кот.!L283</f>
        <v>27579.86599311214</v>
      </c>
      <c r="M420" s="840">
        <f>+Кот.!M283</f>
        <v>28383.833882722673</v>
      </c>
      <c r="N420" s="840">
        <f>+Кот.!N283</f>
        <v>29211.229862516037</v>
      </c>
      <c r="O420" s="840">
        <f>+Кот.!O283</f>
        <v>30062.744878997717</v>
      </c>
      <c r="P420" s="840">
        <f>+Кот.!P283</f>
        <v>30939.081774873197</v>
      </c>
    </row>
    <row r="421" spans="1:16" x14ac:dyDescent="0.2">
      <c r="A421" s="776" t="s">
        <v>438</v>
      </c>
      <c r="B421" s="766" t="s">
        <v>15</v>
      </c>
      <c r="C421" s="840">
        <f>+Сети!C128</f>
        <v>160964.9654228923</v>
      </c>
      <c r="D421" s="840">
        <f>+Сети!D128</f>
        <v>186925.54118086904</v>
      </c>
      <c r="E421" s="840">
        <f>+Сети!E128</f>
        <v>209201.34118086903</v>
      </c>
      <c r="F421" s="840">
        <f>+Сети!F128</f>
        <v>305720.85739532532</v>
      </c>
      <c r="G421" s="840">
        <f>+Сети!G128</f>
        <v>391069.8179769764</v>
      </c>
      <c r="H421" s="840">
        <f>+Сети!H128</f>
        <v>476508.4403420983</v>
      </c>
      <c r="I421" s="840">
        <f>+Сети!I128</f>
        <v>563443.30945161637</v>
      </c>
      <c r="J421" s="840">
        <f>+Сети!J128</f>
        <v>653882.61566763953</v>
      </c>
      <c r="K421" s="840">
        <f>+Сети!K128</f>
        <v>673603.13149844611</v>
      </c>
      <c r="L421" s="840">
        <f>+Сети!L128</f>
        <v>696489.02304681344</v>
      </c>
      <c r="M421" s="840">
        <f>+Сети!M128</f>
        <v>720065.13264925906</v>
      </c>
      <c r="N421" s="840">
        <f>+Сети!N128</f>
        <v>744442.24845589756</v>
      </c>
      <c r="O421" s="840">
        <f>+Сети!O128</f>
        <v>769644.52809862164</v>
      </c>
      <c r="P421" s="840">
        <f>+Сети!P128</f>
        <v>759616.17306935578</v>
      </c>
    </row>
    <row r="422" spans="1:16" x14ac:dyDescent="0.2">
      <c r="A422" s="767" t="s">
        <v>339</v>
      </c>
      <c r="B422" s="766" t="s">
        <v>15</v>
      </c>
      <c r="C422" s="841">
        <f>SUM(C417:C421)</f>
        <v>234594.94238000002</v>
      </c>
      <c r="D422" s="841">
        <f t="shared" ref="D422:P422" si="263">SUM(D417:D421)</f>
        <v>260555.51813797676</v>
      </c>
      <c r="E422" s="841">
        <f t="shared" si="263"/>
        <v>284215.82862002327</v>
      </c>
      <c r="F422" s="841">
        <f t="shared" si="263"/>
        <v>390910.37265487714</v>
      </c>
      <c r="G422" s="841">
        <f t="shared" si="263"/>
        <v>491159.5893821597</v>
      </c>
      <c r="H422" s="841">
        <f t="shared" si="263"/>
        <v>591528.60340065917</v>
      </c>
      <c r="I422" s="841">
        <f t="shared" si="263"/>
        <v>695303.21890815848</v>
      </c>
      <c r="J422" s="841">
        <f t="shared" si="263"/>
        <v>800198.93706481496</v>
      </c>
      <c r="K422" s="841">
        <f t="shared" si="263"/>
        <v>822842.30331773753</v>
      </c>
      <c r="L422" s="841">
        <f t="shared" si="263"/>
        <v>850622.05701328407</v>
      </c>
      <c r="M422" s="841">
        <f t="shared" si="263"/>
        <v>879230.15688696981</v>
      </c>
      <c r="N422" s="841">
        <f t="shared" si="263"/>
        <v>908807.30430785485</v>
      </c>
      <c r="O422" s="841">
        <f t="shared" si="263"/>
        <v>939383.13140738255</v>
      </c>
      <c r="P422" s="841">
        <f t="shared" si="263"/>
        <v>923495.58691839711</v>
      </c>
    </row>
    <row r="423" spans="1:16" x14ac:dyDescent="0.2">
      <c r="A423" s="767"/>
      <c r="B423" s="766"/>
      <c r="C423" s="775"/>
      <c r="D423" s="775"/>
      <c r="E423" s="775"/>
      <c r="F423" s="775"/>
      <c r="G423" s="775"/>
      <c r="H423" s="775"/>
      <c r="I423" s="775"/>
      <c r="J423" s="775"/>
      <c r="K423" s="775"/>
      <c r="L423" s="775"/>
      <c r="M423" s="775"/>
      <c r="N423" s="775"/>
      <c r="O423" s="775"/>
      <c r="P423" s="775"/>
    </row>
    <row r="424" spans="1:16" s="754" customFormat="1" x14ac:dyDescent="0.2">
      <c r="A424" s="767" t="s">
        <v>341</v>
      </c>
      <c r="B424" s="766" t="s">
        <v>15</v>
      </c>
      <c r="C424" s="851">
        <f>+Кот.!C289</f>
        <v>188633.77312999999</v>
      </c>
      <c r="D424" s="851">
        <f>+Кот.!D289</f>
        <v>79483.768573599998</v>
      </c>
      <c r="E424" s="851">
        <f>+Кот.!E289</f>
        <v>87168.320346313587</v>
      </c>
      <c r="F424" s="851">
        <f>+Кот.!F289</f>
        <v>94141.785974018683</v>
      </c>
      <c r="G424" s="851">
        <f>+Кот.!G289</f>
        <v>101673.12885194019</v>
      </c>
      <c r="H424" s="851">
        <f>+Кот.!H289</f>
        <v>109806.9791600954</v>
      </c>
      <c r="I424" s="851">
        <f>+Кот.!I289</f>
        <v>118591.53749290305</v>
      </c>
      <c r="J424" s="851">
        <f>+Кот.!J289</f>
        <v>128078.8604923353</v>
      </c>
      <c r="K424" s="851">
        <f>+Кот.!K289</f>
        <v>128078.8604923353</v>
      </c>
      <c r="L424" s="851">
        <f>+Кот.!L289</f>
        <v>128078.8604923353</v>
      </c>
      <c r="M424" s="851">
        <f>+Кот.!M289</f>
        <v>128078.8604923353</v>
      </c>
      <c r="N424" s="851">
        <f>+Кот.!N289</f>
        <v>128078.8604923353</v>
      </c>
      <c r="O424" s="851">
        <f>+Кот.!O289</f>
        <v>128078.8604923353</v>
      </c>
      <c r="P424" s="851">
        <f>+Кот.!P289</f>
        <v>129359.64909725865</v>
      </c>
    </row>
    <row r="425" spans="1:16" s="746" customFormat="1" x14ac:dyDescent="0.2">
      <c r="A425" s="767"/>
      <c r="B425" s="766"/>
      <c r="C425" s="775"/>
      <c r="D425" s="775"/>
      <c r="E425" s="775"/>
      <c r="F425" s="775"/>
      <c r="G425" s="775"/>
      <c r="H425" s="775"/>
      <c r="I425" s="775"/>
      <c r="J425" s="775"/>
      <c r="K425" s="775"/>
      <c r="L425" s="775"/>
      <c r="M425" s="775"/>
      <c r="N425" s="775"/>
      <c r="O425" s="775"/>
      <c r="P425" s="775"/>
    </row>
    <row r="426" spans="1:16" s="746" customFormat="1" ht="22.5" x14ac:dyDescent="0.2">
      <c r="A426" s="877" t="s">
        <v>702</v>
      </c>
      <c r="B426" s="766" t="s">
        <v>15</v>
      </c>
      <c r="C426" s="851">
        <f>+Сети!C134</f>
        <v>184274.87544919661</v>
      </c>
      <c r="D426" s="851">
        <f>+Сети!D134</f>
        <v>188043.2891311555</v>
      </c>
      <c r="E426" s="851">
        <f>+Сети!E134</f>
        <v>195680.30989793595</v>
      </c>
      <c r="F426" s="851">
        <f>+Сети!F134</f>
        <v>179300.8622496012</v>
      </c>
      <c r="G426" s="851">
        <f>+Сети!G134</f>
        <v>151639.49045766643</v>
      </c>
      <c r="H426" s="851">
        <f>+Сети!H134</f>
        <v>122141.15780285078</v>
      </c>
      <c r="I426" s="851">
        <f>+Сети!I134</f>
        <v>98831.711702394328</v>
      </c>
      <c r="J426" s="851">
        <f>+Сети!J134</f>
        <v>67504.470058179781</v>
      </c>
      <c r="K426" s="851">
        <f>+Сети!K134</f>
        <v>70034.366303259783</v>
      </c>
      <c r="L426" s="851">
        <f>+Сети!L134</f>
        <v>72666.343294624094</v>
      </c>
      <c r="M426" s="851">
        <f>+Сети!M134</f>
        <v>75403.599365642978</v>
      </c>
      <c r="N426" s="851">
        <f>+Сети!N134</f>
        <v>78250.345679502614</v>
      </c>
      <c r="O426" s="851">
        <f>+Сети!O134</f>
        <v>81253.31126110816</v>
      </c>
      <c r="P426" s="851">
        <f>+Сети!P134</f>
        <v>84417.897892865614</v>
      </c>
    </row>
    <row r="427" spans="1:16" x14ac:dyDescent="0.2">
      <c r="A427" s="876"/>
      <c r="B427" s="762"/>
      <c r="C427" s="815"/>
      <c r="D427" s="815"/>
      <c r="E427" s="815"/>
      <c r="F427" s="815"/>
      <c r="G427" s="815"/>
      <c r="H427" s="815"/>
      <c r="I427" s="815"/>
      <c r="J427" s="815"/>
      <c r="K427" s="815"/>
      <c r="L427" s="815"/>
      <c r="M427" s="815"/>
      <c r="N427" s="815"/>
      <c r="O427" s="815"/>
      <c r="P427" s="815"/>
    </row>
    <row r="428" spans="1:16" x14ac:dyDescent="0.2">
      <c r="A428" s="767" t="s">
        <v>340</v>
      </c>
      <c r="B428" s="766" t="s">
        <v>15</v>
      </c>
      <c r="C428" s="841">
        <f t="shared" ref="C428:P428" si="264">+C431+C434+C437+C440+C443</f>
        <v>5988649.1961025484</v>
      </c>
      <c r="D428" s="841">
        <f t="shared" si="264"/>
        <v>6594036.4253603211</v>
      </c>
      <c r="E428" s="841">
        <f t="shared" si="264"/>
        <v>6782254.2192718163</v>
      </c>
      <c r="F428" s="841">
        <f t="shared" si="264"/>
        <v>7003362.5850714128</v>
      </c>
      <c r="G428" s="841">
        <f t="shared" si="264"/>
        <v>7212448.116307213</v>
      </c>
      <c r="H428" s="841">
        <f t="shared" si="264"/>
        <v>7439697.7898098789</v>
      </c>
      <c r="I428" s="841">
        <f t="shared" si="264"/>
        <v>7684981.241245118</v>
      </c>
      <c r="J428" s="841">
        <f t="shared" si="264"/>
        <v>7917087.1430936754</v>
      </c>
      <c r="K428" s="841">
        <f t="shared" si="264"/>
        <v>8195168.015806702</v>
      </c>
      <c r="L428" s="841">
        <f t="shared" si="264"/>
        <v>8506069.7828206085</v>
      </c>
      <c r="M428" s="841">
        <f t="shared" si="264"/>
        <v>8789280.4544227682</v>
      </c>
      <c r="N428" s="841">
        <f t="shared" si="264"/>
        <v>9082760.8493537717</v>
      </c>
      <c r="O428" s="841">
        <f t="shared" si="264"/>
        <v>9386921.9443471543</v>
      </c>
      <c r="P428" s="841">
        <f t="shared" si="264"/>
        <v>9656979.5423266441</v>
      </c>
    </row>
    <row r="429" spans="1:16" x14ac:dyDescent="0.2">
      <c r="A429" s="776" t="s">
        <v>260</v>
      </c>
      <c r="B429" s="766" t="s">
        <v>15</v>
      </c>
      <c r="C429" s="823">
        <f t="shared" ref="C429:P429" si="265">C305-C428</f>
        <v>-664520.33928859048</v>
      </c>
      <c r="D429" s="823">
        <f t="shared" si="265"/>
        <v>-689959.91023145057</v>
      </c>
      <c r="E429" s="823">
        <f t="shared" si="265"/>
        <v>-467676.1207550317</v>
      </c>
      <c r="F429" s="823">
        <f t="shared" si="265"/>
        <v>-251372.51523942035</v>
      </c>
      <c r="G429" s="823">
        <f t="shared" si="265"/>
        <v>78295.508669844829</v>
      </c>
      <c r="H429" s="823">
        <f t="shared" si="265"/>
        <v>374112.08959344216</v>
      </c>
      <c r="I429" s="823">
        <f t="shared" si="265"/>
        <v>763916.72711233702</v>
      </c>
      <c r="J429" s="823">
        <f t="shared" si="265"/>
        <v>702854.18853329308</v>
      </c>
      <c r="K429" s="823">
        <f t="shared" si="265"/>
        <v>621270.16121777054</v>
      </c>
      <c r="L429" s="823">
        <f t="shared" si="265"/>
        <v>510506.59970516339</v>
      </c>
      <c r="M429" s="823">
        <f t="shared" si="265"/>
        <v>337025.67543142475</v>
      </c>
      <c r="N429" s="823">
        <f t="shared" si="265"/>
        <v>154405.5702659376</v>
      </c>
      <c r="O429" s="823">
        <f t="shared" si="265"/>
        <v>32565.821643035859</v>
      </c>
      <c r="P429" s="823">
        <f t="shared" si="265"/>
        <v>19918.444954752922</v>
      </c>
    </row>
    <row r="430" spans="1:16" x14ac:dyDescent="0.2">
      <c r="A430" s="762"/>
      <c r="B430" s="762"/>
      <c r="C430" s="815"/>
      <c r="D430" s="815"/>
      <c r="E430" s="815"/>
      <c r="F430" s="815"/>
      <c r="G430" s="815"/>
      <c r="H430" s="815"/>
      <c r="I430" s="815"/>
      <c r="J430" s="815"/>
      <c r="K430" s="815"/>
      <c r="L430" s="815"/>
      <c r="M430" s="815"/>
      <c r="N430" s="815"/>
      <c r="O430" s="815"/>
      <c r="P430" s="815"/>
    </row>
    <row r="431" spans="1:16" x14ac:dyDescent="0.2">
      <c r="A431" s="776" t="s">
        <v>326</v>
      </c>
      <c r="B431" s="766" t="s">
        <v>15</v>
      </c>
      <c r="C431" s="851">
        <f>+'ТЭЦ-1'!C144</f>
        <v>410948.28881332639</v>
      </c>
      <c r="D431" s="851">
        <f>+'ТЭЦ-1'!D144</f>
        <v>455141.66908148257</v>
      </c>
      <c r="E431" s="851">
        <f>+'ТЭЦ-1'!E144</f>
        <v>470692.0126132688</v>
      </c>
      <c r="F431" s="851">
        <f>+'ТЭЦ-1'!F144</f>
        <v>478867.60732241545</v>
      </c>
      <c r="G431" s="851">
        <f>+'ТЭЦ-1'!G144</f>
        <v>493238.69527104188</v>
      </c>
      <c r="H431" s="851">
        <f>+'ТЭЦ-1'!H144</f>
        <v>508464.21971363004</v>
      </c>
      <c r="I431" s="851">
        <f>+'ТЭЦ-1'!I144</f>
        <v>521790.34664574481</v>
      </c>
      <c r="J431" s="851">
        <f>+'ТЭЦ-1'!J144</f>
        <v>536641.61740201933</v>
      </c>
      <c r="K431" s="851">
        <f>+'ТЭЦ-1'!K144</f>
        <v>561385.97530204011</v>
      </c>
      <c r="L431" s="851">
        <f>+'ТЭЦ-1'!L144</f>
        <v>587181.39916720008</v>
      </c>
      <c r="M431" s="851">
        <f>+'ТЭЦ-1'!M144</f>
        <v>606719.28869161976</v>
      </c>
      <c r="N431" s="851">
        <f>+'ТЭЦ-1'!N144</f>
        <v>626938.90904019237</v>
      </c>
      <c r="O431" s="851">
        <f>+'ТЭЦ-1'!O144</f>
        <v>647864.42290137068</v>
      </c>
      <c r="P431" s="851">
        <f>+'ТЭЦ-1'!P144</f>
        <v>658359.7456192805</v>
      </c>
    </row>
    <row r="432" spans="1:16" x14ac:dyDescent="0.2">
      <c r="A432" s="776" t="s">
        <v>260</v>
      </c>
      <c r="B432" s="766" t="s">
        <v>15</v>
      </c>
      <c r="C432" s="823">
        <f t="shared" ref="C432:P432" si="266">C291-C431</f>
        <v>-96567.939604257583</v>
      </c>
      <c r="D432" s="823">
        <f t="shared" si="266"/>
        <v>-81298.101463857514</v>
      </c>
      <c r="E432" s="823">
        <f t="shared" si="266"/>
        <v>-69555.221196291328</v>
      </c>
      <c r="F432" s="823">
        <f t="shared" si="266"/>
        <v>-59808.181812044757</v>
      </c>
      <c r="G432" s="823">
        <f t="shared" si="266"/>
        <v>-45795.848625354585</v>
      </c>
      <c r="H432" s="823">
        <f t="shared" si="266"/>
        <v>-34088.805290854885</v>
      </c>
      <c r="I432" s="823">
        <f t="shared" si="266"/>
        <v>-16187.05401676707</v>
      </c>
      <c r="J432" s="823">
        <f t="shared" si="266"/>
        <v>-33396.943636668089</v>
      </c>
      <c r="K432" s="823">
        <f t="shared" si="266"/>
        <v>-45802.312964363315</v>
      </c>
      <c r="L432" s="823">
        <f t="shared" si="266"/>
        <v>-59234.149785804679</v>
      </c>
      <c r="M432" s="823">
        <f t="shared" si="266"/>
        <v>-76868.081694404245</v>
      </c>
      <c r="N432" s="823">
        <f t="shared" si="266"/>
        <v>-95157.459897127119</v>
      </c>
      <c r="O432" s="823">
        <f t="shared" si="266"/>
        <v>-109311.40054659091</v>
      </c>
      <c r="P432" s="823">
        <f t="shared" si="266"/>
        <v>-108068.5280564432</v>
      </c>
    </row>
    <row r="433" spans="1:16" x14ac:dyDescent="0.2">
      <c r="A433" s="776"/>
      <c r="B433" s="766"/>
      <c r="C433" s="775"/>
      <c r="D433" s="775"/>
      <c r="E433" s="775"/>
      <c r="F433" s="775"/>
      <c r="G433" s="775"/>
      <c r="H433" s="775"/>
      <c r="I433" s="775"/>
      <c r="J433" s="775"/>
      <c r="K433" s="775"/>
      <c r="L433" s="775"/>
      <c r="M433" s="775"/>
      <c r="N433" s="775"/>
      <c r="O433" s="775"/>
      <c r="P433" s="775"/>
    </row>
    <row r="434" spans="1:16" x14ac:dyDescent="0.2">
      <c r="A434" s="776" t="s">
        <v>439</v>
      </c>
      <c r="B434" s="766" t="s">
        <v>15</v>
      </c>
      <c r="C434" s="851">
        <f>+'ТЭЦ-3'!C142</f>
        <v>2184482.5898001166</v>
      </c>
      <c r="D434" s="851">
        <f>+'ТЭЦ-3'!D142</f>
        <v>2393568.488168004</v>
      </c>
      <c r="E434" s="851">
        <f>+'ТЭЦ-3'!E142</f>
        <v>2490418.3423114959</v>
      </c>
      <c r="F434" s="851">
        <f>+'ТЭЦ-3'!F142</f>
        <v>2528611.7737253183</v>
      </c>
      <c r="G434" s="851">
        <f>+'ТЭЦ-3'!G142</f>
        <v>2572990.5903819702</v>
      </c>
      <c r="H434" s="851">
        <f>+'ТЭЦ-3'!H142</f>
        <v>2613605.0949447751</v>
      </c>
      <c r="I434" s="851">
        <f>+'ТЭЦ-3'!I142</f>
        <v>2673466.3438529982</v>
      </c>
      <c r="J434" s="851">
        <f>+'ТЭЦ-3'!J142</f>
        <v>2724659.6098943716</v>
      </c>
      <c r="K434" s="851">
        <f>+'ТЭЦ-3'!K142</f>
        <v>2815193.7966951113</v>
      </c>
      <c r="L434" s="851">
        <f>+'ТЭЦ-3'!L142</f>
        <v>2927200.7437941739</v>
      </c>
      <c r="M434" s="851">
        <f>+'ТЭЦ-3'!M142</f>
        <v>3038630.8396676686</v>
      </c>
      <c r="N434" s="851">
        <f>+'ТЭЦ-3'!N142</f>
        <v>3154251.1812087651</v>
      </c>
      <c r="O434" s="851">
        <f>+'ТЭЦ-3'!O142</f>
        <v>3274216.3743658373</v>
      </c>
      <c r="P434" s="851">
        <f>+'ТЭЦ-3'!P142</f>
        <v>3398686.6512491009</v>
      </c>
    </row>
    <row r="435" spans="1:16" x14ac:dyDescent="0.2">
      <c r="A435" s="776" t="s">
        <v>260</v>
      </c>
      <c r="B435" s="766" t="s">
        <v>15</v>
      </c>
      <c r="C435" s="823">
        <f t="shared" ref="C435:P435" si="267">C293-C434</f>
        <v>83970.936219736002</v>
      </c>
      <c r="D435" s="823">
        <f t="shared" si="267"/>
        <v>107186.94897880219</v>
      </c>
      <c r="E435" s="823">
        <f t="shared" si="267"/>
        <v>156459.6040511094</v>
      </c>
      <c r="F435" s="823">
        <f t="shared" si="267"/>
        <v>201605.93729061773</v>
      </c>
      <c r="G435" s="823">
        <f t="shared" si="267"/>
        <v>255621.51096471725</v>
      </c>
      <c r="H435" s="823">
        <f t="shared" si="267"/>
        <v>302819.04335303791</v>
      </c>
      <c r="I435" s="823">
        <f t="shared" si="267"/>
        <v>376581.59070996428</v>
      </c>
      <c r="J435" s="823">
        <f t="shared" si="267"/>
        <v>321101.62444759812</v>
      </c>
      <c r="K435" s="823">
        <f t="shared" si="267"/>
        <v>286229.52900285088</v>
      </c>
      <c r="L435" s="823">
        <f t="shared" si="267"/>
        <v>237607.10957703134</v>
      </c>
      <c r="M435" s="823">
        <f t="shared" si="267"/>
        <v>181641.43051637802</v>
      </c>
      <c r="N435" s="823">
        <f t="shared" si="267"/>
        <v>122046.24929361977</v>
      </c>
      <c r="O435" s="823">
        <f t="shared" si="267"/>
        <v>78267.9098624615</v>
      </c>
      <c r="P435" s="823">
        <f t="shared" si="267"/>
        <v>51625.247095133644</v>
      </c>
    </row>
    <row r="436" spans="1:16" x14ac:dyDescent="0.2">
      <c r="A436" s="776"/>
      <c r="B436" s="766"/>
      <c r="C436" s="775"/>
      <c r="D436" s="775"/>
      <c r="E436" s="775"/>
      <c r="F436" s="775"/>
      <c r="G436" s="775"/>
      <c r="H436" s="775"/>
      <c r="I436" s="775"/>
      <c r="J436" s="775"/>
      <c r="K436" s="775"/>
      <c r="L436" s="775"/>
      <c r="M436" s="775"/>
      <c r="N436" s="775"/>
      <c r="O436" s="775"/>
      <c r="P436" s="775"/>
    </row>
    <row r="437" spans="1:16" x14ac:dyDescent="0.2">
      <c r="A437" s="776" t="s">
        <v>440</v>
      </c>
      <c r="B437" s="766" t="s">
        <v>15</v>
      </c>
      <c r="C437" s="851">
        <f>+'ТЭЦ-4'!C148</f>
        <v>1601063.2725081192</v>
      </c>
      <c r="D437" s="851">
        <f>+'ТЭЦ-4'!D148</f>
        <v>1630099.6755977757</v>
      </c>
      <c r="E437" s="851">
        <f>+'ТЭЦ-4'!E148</f>
        <v>1724701.3381366394</v>
      </c>
      <c r="F437" s="851">
        <f>+'ТЭЦ-4'!F148</f>
        <v>1760457.4481906826</v>
      </c>
      <c r="G437" s="851">
        <f>+'ТЭЦ-4'!G148</f>
        <v>1788718.6613413552</v>
      </c>
      <c r="H437" s="851">
        <f>+'ТЭЦ-4'!H148</f>
        <v>1841837.1684937957</v>
      </c>
      <c r="I437" s="851">
        <f>+'ТЭЦ-4'!I148</f>
        <v>1887583.6630831305</v>
      </c>
      <c r="J437" s="851">
        <f>+'ТЭЦ-4'!J148</f>
        <v>1953041.0756714288</v>
      </c>
      <c r="K437" s="851">
        <f>+'ТЭЦ-4'!K148</f>
        <v>2040883.5630427909</v>
      </c>
      <c r="L437" s="851">
        <f>+'ТЭЦ-4'!L148</f>
        <v>2132707.8125279481</v>
      </c>
      <c r="M437" s="851">
        <f>+'ТЭЦ-4'!M148</f>
        <v>2200940.5902636503</v>
      </c>
      <c r="N437" s="851">
        <f>+'ТЭЦ-4'!N148</f>
        <v>2271511.7279683976</v>
      </c>
      <c r="O437" s="851">
        <f>+'ТЭЦ-4'!O148</f>
        <v>2344502.0322646606</v>
      </c>
      <c r="P437" s="851">
        <f>+'ТЭЦ-4'!P148</f>
        <v>2419995.4115688191</v>
      </c>
    </row>
    <row r="438" spans="1:16" x14ac:dyDescent="0.2">
      <c r="A438" s="776" t="s">
        <v>260</v>
      </c>
      <c r="B438" s="766" t="s">
        <v>15</v>
      </c>
      <c r="C438" s="823">
        <f t="shared" ref="C438:P438" si="268">C295-C437</f>
        <v>123157.64119491726</v>
      </c>
      <c r="D438" s="823">
        <f t="shared" si="268"/>
        <v>92929.293848850532</v>
      </c>
      <c r="E438" s="823">
        <f t="shared" si="268"/>
        <v>154967.33144586463</v>
      </c>
      <c r="F438" s="823">
        <f t="shared" si="268"/>
        <v>169388.67402048223</v>
      </c>
      <c r="G438" s="823">
        <f t="shared" si="268"/>
        <v>180639.18962824438</v>
      </c>
      <c r="H438" s="823">
        <f t="shared" si="268"/>
        <v>197890.15642425045</v>
      </c>
      <c r="I438" s="823">
        <f t="shared" si="268"/>
        <v>249536.9456583648</v>
      </c>
      <c r="J438" s="823">
        <f t="shared" si="268"/>
        <v>176168.95316085732</v>
      </c>
      <c r="K438" s="823">
        <f t="shared" si="268"/>
        <v>151695.61348796007</v>
      </c>
      <c r="L438" s="823">
        <f t="shared" si="268"/>
        <v>116395.49040218815</v>
      </c>
      <c r="M438" s="823">
        <f t="shared" si="268"/>
        <v>64345.140576379839</v>
      </c>
      <c r="N438" s="823">
        <f t="shared" si="268"/>
        <v>10339.661105551757</v>
      </c>
      <c r="O438" s="823">
        <f t="shared" si="268"/>
        <v>-30114.705483149737</v>
      </c>
      <c r="P438" s="823">
        <f t="shared" si="268"/>
        <v>-56619.681827013381</v>
      </c>
    </row>
    <row r="439" spans="1:16" x14ac:dyDescent="0.2">
      <c r="A439" s="776"/>
      <c r="B439" s="766"/>
      <c r="C439" s="775"/>
      <c r="D439" s="775"/>
      <c r="E439" s="775"/>
      <c r="F439" s="775"/>
      <c r="G439" s="775"/>
      <c r="H439" s="775"/>
      <c r="I439" s="775"/>
      <c r="J439" s="775"/>
      <c r="K439" s="775"/>
      <c r="L439" s="775"/>
      <c r="M439" s="775"/>
      <c r="N439" s="775"/>
      <c r="O439" s="775"/>
      <c r="P439" s="775"/>
    </row>
    <row r="440" spans="1:16" x14ac:dyDescent="0.2">
      <c r="A440" s="776" t="s">
        <v>441</v>
      </c>
      <c r="B440" s="766" t="s">
        <v>15</v>
      </c>
      <c r="C440" s="851">
        <f>+Кот.!C265</f>
        <v>767606.77035803604</v>
      </c>
      <c r="D440" s="851">
        <f>+Кот.!D265</f>
        <v>1004430.3702220614</v>
      </c>
      <c r="E440" s="851">
        <f>+Кот.!E265</f>
        <v>1012843.1545451379</v>
      </c>
      <c r="F440" s="851">
        <f>+Кот.!F265</f>
        <v>1036674.1886251692</v>
      </c>
      <c r="G440" s="851">
        <f>+Кот.!G265</f>
        <v>1067004.6737020528</v>
      </c>
      <c r="H440" s="851">
        <f>+Кот.!H265</f>
        <v>1095911.8949193498</v>
      </c>
      <c r="I440" s="851">
        <f>+Кот.!I265</f>
        <v>1125359.2479429299</v>
      </c>
      <c r="J440" s="851">
        <f>+Кот.!J265</f>
        <v>1150108.8874728261</v>
      </c>
      <c r="K440" s="851">
        <f>+Кот.!K265</f>
        <v>1184760.2985097014</v>
      </c>
      <c r="L440" s="851">
        <f>+Кот.!L265</f>
        <v>1221716.3831237436</v>
      </c>
      <c r="M440" s="851">
        <f>+Кот.!M265</f>
        <v>1259816.1416712247</v>
      </c>
      <c r="N440" s="851">
        <f>+Кот.!N265</f>
        <v>1299236.5688378937</v>
      </c>
      <c r="O440" s="851">
        <f>+Кот.!O265</f>
        <v>1340023.4468384392</v>
      </c>
      <c r="P440" s="851">
        <f>+Кот.!P265</f>
        <v>1383504.9225544655</v>
      </c>
    </row>
    <row r="441" spans="1:16" x14ac:dyDescent="0.2">
      <c r="A441" s="776" t="s">
        <v>260</v>
      </c>
      <c r="B441" s="766" t="s">
        <v>15</v>
      </c>
      <c r="C441" s="823">
        <f t="shared" ref="C441:P441" si="269">C297-C440</f>
        <v>-134769.41416878405</v>
      </c>
      <c r="D441" s="823">
        <f t="shared" si="269"/>
        <v>-82766.237532050698</v>
      </c>
      <c r="E441" s="823">
        <f t="shared" si="269"/>
        <v>-61579.641802961705</v>
      </c>
      <c r="F441" s="823">
        <f t="shared" si="269"/>
        <v>-30849.600658261799</v>
      </c>
      <c r="G441" s="823">
        <f t="shared" si="269"/>
        <v>3061.0954417942557</v>
      </c>
      <c r="H441" s="823">
        <f t="shared" si="269"/>
        <v>34374.486911082175</v>
      </c>
      <c r="I441" s="823">
        <f t="shared" si="269"/>
        <v>70566.468595711514</v>
      </c>
      <c r="J441" s="823">
        <f t="shared" si="269"/>
        <v>22390.697195690824</v>
      </c>
      <c r="K441" s="823">
        <f t="shared" si="269"/>
        <v>-7857.4281345368363</v>
      </c>
      <c r="L441" s="823">
        <f t="shared" si="269"/>
        <v>-38749.50645654439</v>
      </c>
      <c r="M441" s="823">
        <f t="shared" si="269"/>
        <v>-71021.175971901743</v>
      </c>
      <c r="N441" s="823">
        <f t="shared" si="269"/>
        <v>-104650.11662031151</v>
      </c>
      <c r="O441" s="823">
        <f t="shared" si="269"/>
        <v>-127677.6558268324</v>
      </c>
      <c r="P441" s="823">
        <f t="shared" si="269"/>
        <v>-141018.09621274704</v>
      </c>
    </row>
    <row r="442" spans="1:16" x14ac:dyDescent="0.2">
      <c r="A442" s="776"/>
      <c r="B442" s="766"/>
      <c r="C442" s="775"/>
      <c r="D442" s="775"/>
      <c r="E442" s="775"/>
      <c r="F442" s="775"/>
      <c r="G442" s="775"/>
      <c r="H442" s="775"/>
      <c r="I442" s="775"/>
      <c r="J442" s="775"/>
      <c r="K442" s="775"/>
      <c r="L442" s="775"/>
      <c r="M442" s="775"/>
      <c r="N442" s="775"/>
      <c r="O442" s="775"/>
      <c r="P442" s="775"/>
    </row>
    <row r="443" spans="1:16" x14ac:dyDescent="0.2">
      <c r="A443" s="776" t="s">
        <v>442</v>
      </c>
      <c r="B443" s="766" t="s">
        <v>15</v>
      </c>
      <c r="C443" s="851">
        <f>+Сети!C112</f>
        <v>1024548.27462295</v>
      </c>
      <c r="D443" s="851">
        <f>+Сети!D112</f>
        <v>1110796.2222909974</v>
      </c>
      <c r="E443" s="851">
        <f>+Сети!E112</f>
        <v>1083599.3716652745</v>
      </c>
      <c r="F443" s="851">
        <f>+Сети!F112</f>
        <v>1198751.5672078275</v>
      </c>
      <c r="G443" s="851">
        <f>+Сети!G112</f>
        <v>1290495.4956107931</v>
      </c>
      <c r="H443" s="851">
        <f>+Сети!H112</f>
        <v>1379879.4117383272</v>
      </c>
      <c r="I443" s="851">
        <f>+Сети!I112</f>
        <v>1476781.6397203142</v>
      </c>
      <c r="J443" s="851">
        <f>+Сети!J112</f>
        <v>1552635.9526530295</v>
      </c>
      <c r="K443" s="851">
        <f>+Сети!K112</f>
        <v>1592944.3822570581</v>
      </c>
      <c r="L443" s="851">
        <f>+Сети!L112</f>
        <v>1637263.4442075428</v>
      </c>
      <c r="M443" s="851">
        <f>+Сети!M112</f>
        <v>1683173.5941286043</v>
      </c>
      <c r="N443" s="851">
        <f>+Сети!N112</f>
        <v>1730822.4622985239</v>
      </c>
      <c r="O443" s="851">
        <f>+Сети!O112</f>
        <v>1780315.667976846</v>
      </c>
      <c r="P443" s="851">
        <f>+Сети!P112</f>
        <v>1796432.8113349797</v>
      </c>
    </row>
    <row r="444" spans="1:16" x14ac:dyDescent="0.2">
      <c r="A444" s="776" t="s">
        <v>260</v>
      </c>
      <c r="B444" s="766" t="s">
        <v>15</v>
      </c>
      <c r="C444" s="823">
        <f t="shared" ref="C444:P444" si="270">C311-C443</f>
        <v>-640311.56293020281</v>
      </c>
      <c r="D444" s="823">
        <f t="shared" si="270"/>
        <v>-726011.81406319584</v>
      </c>
      <c r="E444" s="823">
        <f t="shared" si="270"/>
        <v>-647968.19325275347</v>
      </c>
      <c r="F444" s="823">
        <f t="shared" si="270"/>
        <v>-531709.34408021229</v>
      </c>
      <c r="G444" s="823">
        <f t="shared" si="270"/>
        <v>-315230.43873955542</v>
      </c>
      <c r="H444" s="823">
        <f t="shared" si="270"/>
        <v>-126882.79180407245</v>
      </c>
      <c r="I444" s="823">
        <f t="shared" si="270"/>
        <v>83418.776165064424</v>
      </c>
      <c r="J444" s="823">
        <f t="shared" si="270"/>
        <v>216589.8573658166</v>
      </c>
      <c r="K444" s="823">
        <f t="shared" si="270"/>
        <v>237004.75982586108</v>
      </c>
      <c r="L444" s="823">
        <f t="shared" si="270"/>
        <v>254487.65596829331</v>
      </c>
      <c r="M444" s="823">
        <f t="shared" si="270"/>
        <v>238928.3620049723</v>
      </c>
      <c r="N444" s="823">
        <f t="shared" si="270"/>
        <v>221827.23638420319</v>
      </c>
      <c r="O444" s="823">
        <f t="shared" si="270"/>
        <v>221401.67363714753</v>
      </c>
      <c r="P444" s="823">
        <f t="shared" si="270"/>
        <v>273999.50395582011</v>
      </c>
    </row>
    <row r="445" spans="1:16" x14ac:dyDescent="0.2">
      <c r="A445" s="776"/>
      <c r="B445" s="766"/>
      <c r="C445" s="775"/>
      <c r="D445" s="775"/>
      <c r="E445" s="775"/>
      <c r="F445" s="775"/>
      <c r="G445" s="775"/>
      <c r="H445" s="775"/>
      <c r="I445" s="775"/>
      <c r="J445" s="775"/>
      <c r="K445" s="775"/>
      <c r="L445" s="775"/>
      <c r="M445" s="775"/>
      <c r="N445" s="775"/>
      <c r="O445" s="775"/>
      <c r="P445" s="775"/>
    </row>
    <row r="446" spans="1:16" x14ac:dyDescent="0.2">
      <c r="A446" s="776" t="s">
        <v>257</v>
      </c>
      <c r="B446" s="766" t="s">
        <v>15</v>
      </c>
      <c r="C446" s="851">
        <f>+'ТЭЦ-1'!C178+'ТЭЦ-3'!C176+'ТЭЦ-4'!C182</f>
        <v>1766912.5494082251</v>
      </c>
      <c r="D446" s="851">
        <f>+'ТЭЦ-1'!D178+'ТЭЦ-3'!D176+'ТЭЦ-4'!D182</f>
        <v>2012823.3568380028</v>
      </c>
      <c r="E446" s="851">
        <f>+'ТЭЦ-1'!E178+'ТЭЦ-3'!E176+'ТЭЦ-4'!E182</f>
        <v>2035393.1857528468</v>
      </c>
      <c r="F446" s="851">
        <f>+'ТЭЦ-1'!F178+'ТЭЦ-3'!F176+'ТЭЦ-4'!F182</f>
        <v>2050033.3716051793</v>
      </c>
      <c r="G446" s="851">
        <f>+'ТЭЦ-1'!G178+'ТЭЦ-3'!G176+'ТЭЦ-4'!G182</f>
        <v>2078667.6606667379</v>
      </c>
      <c r="H446" s="851">
        <f>+'ТЭЦ-1'!H178+'ТЭЦ-3'!H176+'ТЭЦ-4'!H182</f>
        <v>2095912.1541834995</v>
      </c>
      <c r="I446" s="851">
        <f>+'ТЭЦ-1'!I178+'ТЭЦ-3'!I176+'ТЭЦ-4'!I182</f>
        <v>2152696.6521852124</v>
      </c>
      <c r="J446" s="851">
        <f>+'ТЭЦ-1'!J178+'ТЭЦ-3'!J176+'ТЭЦ-4'!J182</f>
        <v>2224746.4418097055</v>
      </c>
      <c r="K446" s="851">
        <f>+'ТЭЦ-1'!K178+'ТЭЦ-3'!K176+'ТЭЦ-4'!K182</f>
        <v>2282529.9953910136</v>
      </c>
      <c r="L446" s="851">
        <f>+'ТЭЦ-1'!L178+'ТЭЦ-3'!L176+'ТЭЦ-4'!L182</f>
        <v>2342051.5469957213</v>
      </c>
      <c r="M446" s="851">
        <f>+'ТЭЦ-1'!M178+'ТЭЦ-3'!M176+'ТЭЦ-4'!M182</f>
        <v>2407455.1086667497</v>
      </c>
      <c r="N446" s="851">
        <f>+'ТЭЦ-1'!N178+'ТЭЦ-3'!N176+'ТЭЦ-4'!N182</f>
        <v>2474864.2080672244</v>
      </c>
      <c r="O446" s="851">
        <f>+'ТЭЦ-1'!O178+'ТЭЦ-3'!O176+'ТЭЦ-4'!O182</f>
        <v>2544341.7340521198</v>
      </c>
      <c r="P446" s="851">
        <f>+'ТЭЦ-1'!P178+'ТЭЦ-3'!P176+'ТЭЦ-4'!P182</f>
        <v>2615265.1694950107</v>
      </c>
    </row>
    <row r="447" spans="1:16" x14ac:dyDescent="0.2">
      <c r="A447" s="776"/>
      <c r="B447" s="766"/>
      <c r="C447" s="775"/>
      <c r="D447" s="775"/>
      <c r="E447" s="775"/>
      <c r="F447" s="775"/>
      <c r="G447" s="775"/>
      <c r="H447" s="775"/>
      <c r="I447" s="775"/>
      <c r="J447" s="775"/>
      <c r="K447" s="775"/>
      <c r="L447" s="775"/>
      <c r="M447" s="775"/>
      <c r="N447" s="775"/>
      <c r="O447" s="775"/>
      <c r="P447" s="775"/>
    </row>
    <row r="448" spans="1:16" s="750" customFormat="1" x14ac:dyDescent="0.2">
      <c r="A448" s="764" t="s">
        <v>258</v>
      </c>
      <c r="B448" s="787" t="s">
        <v>259</v>
      </c>
      <c r="C448" s="878">
        <f t="shared" ref="C448:P448" si="271">C446/C195/1000</f>
        <v>1.6722255843637213</v>
      </c>
      <c r="D448" s="878">
        <f t="shared" si="271"/>
        <v>1.7136716074909975</v>
      </c>
      <c r="E448" s="878">
        <f t="shared" si="271"/>
        <v>1.7328870418041489</v>
      </c>
      <c r="F448" s="878">
        <f t="shared" si="271"/>
        <v>1.7453513600158304</v>
      </c>
      <c r="G448" s="878">
        <f t="shared" si="271"/>
        <v>1.7697299365058052</v>
      </c>
      <c r="H448" s="878">
        <f t="shared" si="271"/>
        <v>1.7844115024886542</v>
      </c>
      <c r="I448" s="878">
        <f t="shared" si="271"/>
        <v>1.8327565207638949</v>
      </c>
      <c r="J448" s="878">
        <f t="shared" si="271"/>
        <v>1.8940980579562867</v>
      </c>
      <c r="K448" s="878">
        <f t="shared" si="271"/>
        <v>1.9432936492215722</v>
      </c>
      <c r="L448" s="878">
        <f t="shared" si="271"/>
        <v>1.9939689321132776</v>
      </c>
      <c r="M448" s="878">
        <f t="shared" si="271"/>
        <v>2.049652023370971</v>
      </c>
      <c r="N448" s="878">
        <f t="shared" si="271"/>
        <v>2.1070425834202151</v>
      </c>
      <c r="O448" s="878">
        <f t="shared" si="271"/>
        <v>2.1661941543887031</v>
      </c>
      <c r="P448" s="878">
        <f t="shared" si="271"/>
        <v>2.2265767394830713</v>
      </c>
    </row>
    <row r="449" spans="1:16" x14ac:dyDescent="0.2">
      <c r="A449" s="776"/>
      <c r="B449" s="766"/>
      <c r="C449" s="775"/>
      <c r="D449" s="775"/>
      <c r="E449" s="775"/>
      <c r="F449" s="775"/>
      <c r="G449" s="775"/>
      <c r="H449" s="775"/>
      <c r="I449" s="775"/>
      <c r="J449" s="775"/>
      <c r="K449" s="775"/>
      <c r="L449" s="775"/>
      <c r="M449" s="775"/>
      <c r="N449" s="775"/>
      <c r="O449" s="775"/>
      <c r="P449" s="775"/>
    </row>
    <row r="450" spans="1:16" x14ac:dyDescent="0.2">
      <c r="A450" s="776" t="s">
        <v>446</v>
      </c>
      <c r="B450" s="766" t="s">
        <v>15</v>
      </c>
      <c r="C450" s="851">
        <f>+СВОД!B18</f>
        <v>4221736.6466943221</v>
      </c>
      <c r="D450" s="851">
        <f>+СВОД!C18</f>
        <v>4581213.0685223183</v>
      </c>
      <c r="E450" s="851">
        <f>+СВОД!D18</f>
        <v>4746861.03351897</v>
      </c>
      <c r="F450" s="851">
        <f>+СВОД!E18</f>
        <v>4953329.2134662336</v>
      </c>
      <c r="G450" s="851">
        <f>+СВОД!F18</f>
        <v>5133780.4556404753</v>
      </c>
      <c r="H450" s="851">
        <f>+СВОД!G18</f>
        <v>5343785.6356263785</v>
      </c>
      <c r="I450" s="851">
        <f>+СВОД!H18</f>
        <v>5532284.5890599051</v>
      </c>
      <c r="J450" s="851">
        <f>+СВОД!I18</f>
        <v>5692340.7012839699</v>
      </c>
      <c r="K450" s="851">
        <f>+СВОД!J18</f>
        <v>5912638.0204156879</v>
      </c>
      <c r="L450" s="851">
        <f>+СВОД!K18</f>
        <v>6164018.2358248867</v>
      </c>
      <c r="M450" s="851">
        <f>+СВОД!L18</f>
        <v>6381825.3457560176</v>
      </c>
      <c r="N450" s="851">
        <f>+СВОД!M18</f>
        <v>6607896.6412865482</v>
      </c>
      <c r="O450" s="851">
        <f>+СВОД!N18</f>
        <v>6842580.2102950336</v>
      </c>
      <c r="P450" s="851">
        <f>+СВОД!O18</f>
        <v>7041714.3728316342</v>
      </c>
    </row>
    <row r="451" spans="1:16" x14ac:dyDescent="0.2">
      <c r="A451" s="776"/>
      <c r="B451" s="766"/>
      <c r="C451" s="775"/>
      <c r="D451" s="775"/>
      <c r="E451" s="775"/>
      <c r="F451" s="775"/>
      <c r="G451" s="775"/>
      <c r="H451" s="775"/>
      <c r="I451" s="775"/>
      <c r="J451" s="775"/>
      <c r="K451" s="775"/>
      <c r="L451" s="775"/>
      <c r="M451" s="775"/>
      <c r="N451" s="775"/>
      <c r="O451" s="775"/>
      <c r="P451" s="775"/>
    </row>
    <row r="452" spans="1:16" s="750" customFormat="1" x14ac:dyDescent="0.2">
      <c r="A452" s="764" t="s">
        <v>445</v>
      </c>
      <c r="B452" s="787" t="s">
        <v>30</v>
      </c>
      <c r="C452" s="879">
        <f t="shared" ref="C452:P452" si="272">C450/C201</f>
        <v>1772.7363844168706</v>
      </c>
      <c r="D452" s="879">
        <f t="shared" si="272"/>
        <v>1799.9367060952097</v>
      </c>
      <c r="E452" s="879">
        <f t="shared" si="272"/>
        <v>1833.6769397804062</v>
      </c>
      <c r="F452" s="879">
        <f t="shared" si="272"/>
        <v>1875.8744771567428</v>
      </c>
      <c r="G452" s="879">
        <f t="shared" si="272"/>
        <v>1879.5105974845912</v>
      </c>
      <c r="H452" s="879">
        <f t="shared" si="272"/>
        <v>1904.9679161304218</v>
      </c>
      <c r="I452" s="879">
        <f t="shared" si="272"/>
        <v>1921.6415238294485</v>
      </c>
      <c r="J452" s="879">
        <f t="shared" si="272"/>
        <v>1927.8694151615662</v>
      </c>
      <c r="K452" s="879">
        <f t="shared" si="272"/>
        <v>1953.9110577031681</v>
      </c>
      <c r="L452" s="879">
        <f t="shared" si="272"/>
        <v>1988.0063363313607</v>
      </c>
      <c r="M452" s="879">
        <f t="shared" si="272"/>
        <v>2036.6726299076888</v>
      </c>
      <c r="N452" s="879">
        <f t="shared" si="272"/>
        <v>2086.9558303848676</v>
      </c>
      <c r="O452" s="879">
        <f t="shared" si="272"/>
        <v>2138.9156910072647</v>
      </c>
      <c r="P452" s="879">
        <f t="shared" si="272"/>
        <v>2178.8374382169495</v>
      </c>
    </row>
    <row r="453" spans="1:16" x14ac:dyDescent="0.2">
      <c r="A453" s="776"/>
      <c r="B453" s="766"/>
      <c r="C453" s="775"/>
      <c r="D453" s="775"/>
      <c r="E453" s="775"/>
      <c r="F453" s="775"/>
      <c r="G453" s="775"/>
      <c r="H453" s="775"/>
      <c r="I453" s="775"/>
      <c r="J453" s="775"/>
      <c r="K453" s="775"/>
      <c r="L453" s="775"/>
      <c r="M453" s="775"/>
      <c r="N453" s="775"/>
      <c r="O453" s="775"/>
      <c r="P453" s="775"/>
    </row>
    <row r="454" spans="1:16" x14ac:dyDescent="0.2">
      <c r="A454" s="776" t="s">
        <v>444</v>
      </c>
      <c r="B454" s="766" t="s">
        <v>29</v>
      </c>
      <c r="C454" s="865">
        <f>+('ТЭЦ-1'!C86+'ТЭЦ-3'!C76+'ТЭЦ-4'!C79)/('ТЭЦ-1'!C85+'ТЭЦ-3'!C75+'ТЭЦ-4'!C78+Кот.!C169)</f>
        <v>0.37322007426522547</v>
      </c>
      <c r="D454" s="865">
        <f>+('ТЭЦ-1'!D86+'ТЭЦ-3'!D76+'ТЭЦ-4'!D79)/('ТЭЦ-1'!D85+'ТЭЦ-3'!D75+'ТЭЦ-4'!D78+Кот.!D169)</f>
        <v>0.38271407880274821</v>
      </c>
      <c r="E454" s="865">
        <f>+('ТЭЦ-1'!E86+'ТЭЦ-3'!E76+'ТЭЦ-4'!E79)/('ТЭЦ-1'!E85+'ТЭЦ-3'!E75+'ТЭЦ-4'!E78+Кот.!E169)</f>
        <v>0.36946426669730026</v>
      </c>
      <c r="F454" s="865">
        <f>+('ТЭЦ-1'!F86+'ТЭЦ-3'!F76+'ТЭЦ-4'!F79)/('ТЭЦ-1'!F85+'ТЭЦ-3'!F75+'ТЭЦ-4'!F78+Кот.!F169)</f>
        <v>0.36602063837787374</v>
      </c>
      <c r="G454" s="865">
        <f>+('ТЭЦ-1'!G86+'ТЭЦ-3'!G76+'ТЭЦ-4'!G79)/('ТЭЦ-1'!G85+'ТЭЦ-3'!G75+'ТЭЦ-4'!G78+Кот.!G169)</f>
        <v>0.36345608376722288</v>
      </c>
      <c r="H454" s="865">
        <f>+('ТЭЦ-1'!H86+'ТЭЦ-3'!H76+'ТЭЦ-4'!H79)/('ТЭЦ-1'!H85+'ТЭЦ-3'!H75+'ТЭЦ-4'!H78+Кот.!H169)</f>
        <v>0.3583823906137063</v>
      </c>
      <c r="I454" s="865">
        <f>+('ТЭЦ-1'!I86+'ТЭЦ-3'!I76+'ТЭЦ-4'!I79)/('ТЭЦ-1'!I85+'ТЭЦ-3'!I75+'ТЭЦ-4'!I78+Кот.!I169)</f>
        <v>0.36141497111677645</v>
      </c>
      <c r="J454" s="865">
        <f>+('ТЭЦ-1'!J86+'ТЭЦ-3'!J76+'ТЭЦ-4'!J79)/('ТЭЦ-1'!J85+'ТЭЦ-3'!J75+'ТЭЦ-4'!J78+Кот.!J169)</f>
        <v>0.36378126993461912</v>
      </c>
      <c r="K454" s="865">
        <f>+('ТЭЦ-1'!K86+'ТЭЦ-3'!K76+'ТЭЦ-4'!K79)/('ТЭЦ-1'!K85+'ТЭЦ-3'!K75+'ТЭЦ-4'!K78+Кот.!K169)</f>
        <v>0.35888311251877408</v>
      </c>
      <c r="L454" s="865">
        <f>+('ТЭЦ-1'!L86+'ТЭЦ-3'!L76+'ТЭЦ-4'!L79)/('ТЭЦ-1'!L85+'ТЭЦ-3'!L75+'ТЭЦ-4'!L78+Кот.!L169)</f>
        <v>0.353888809677044</v>
      </c>
      <c r="M454" s="865">
        <f>+('ТЭЦ-1'!M86+'ТЭЦ-3'!M76+'ТЭЦ-4'!M79)/('ТЭЦ-1'!M85+'ТЭЦ-3'!M75+'ТЭЦ-4'!M78+Кот.!M169)</f>
        <v>0.35188755329817106</v>
      </c>
      <c r="N454" s="865">
        <f>+('ТЭЦ-1'!N86+'ТЭЦ-3'!N76+'ТЭЦ-4'!N79)/('ТЭЦ-1'!N85+'ТЭЦ-3'!N75+'ТЭЦ-4'!N78+Кот.!N169)</f>
        <v>0.34991048484321585</v>
      </c>
      <c r="O454" s="865">
        <f>+('ТЭЦ-1'!O86+'ТЭЦ-3'!O76+'ТЭЦ-4'!O79)/('ТЭЦ-1'!O85+'ТЭЦ-3'!O75+'ТЭЦ-4'!O78+Кот.!O169)</f>
        <v>0.34795712374932908</v>
      </c>
      <c r="P454" s="865">
        <f>+('ТЭЦ-1'!P86+'ТЭЦ-3'!P76+'ТЭЦ-4'!P79)/('ТЭЦ-1'!P85+'ТЭЦ-3'!P75+'ТЭЦ-4'!P78+Кот.!P169)</f>
        <v>0.34602700361799527</v>
      </c>
    </row>
    <row r="455" spans="1:16" x14ac:dyDescent="0.2">
      <c r="A455" s="762"/>
      <c r="B455" s="762"/>
      <c r="C455" s="815"/>
      <c r="D455" s="815"/>
      <c r="E455" s="815"/>
      <c r="F455" s="815"/>
      <c r="G455" s="815"/>
      <c r="H455" s="815"/>
      <c r="I455" s="815"/>
      <c r="J455" s="815"/>
      <c r="K455" s="815"/>
      <c r="L455" s="815"/>
      <c r="M455" s="815"/>
      <c r="N455" s="815"/>
      <c r="O455" s="815"/>
      <c r="P455" s="815"/>
    </row>
    <row r="456" spans="1:16" ht="12" x14ac:dyDescent="0.2">
      <c r="A456" s="864" t="s">
        <v>253</v>
      </c>
      <c r="B456" s="757"/>
      <c r="C456" s="815"/>
      <c r="D456" s="815"/>
      <c r="E456" s="815"/>
      <c r="F456" s="815"/>
      <c r="G456" s="815"/>
      <c r="H456" s="815"/>
      <c r="I456" s="815"/>
      <c r="J456" s="815"/>
      <c r="K456" s="815"/>
      <c r="L456" s="815"/>
      <c r="M456" s="815"/>
      <c r="N456" s="815"/>
      <c r="O456" s="815"/>
      <c r="P456" s="815"/>
    </row>
    <row r="457" spans="1:16" x14ac:dyDescent="0.2">
      <c r="A457" s="762"/>
      <c r="B457" s="762"/>
      <c r="C457" s="815"/>
      <c r="D457" s="815"/>
      <c r="E457" s="815"/>
      <c r="F457" s="815"/>
      <c r="G457" s="815"/>
      <c r="H457" s="815"/>
      <c r="I457" s="815"/>
      <c r="J457" s="815"/>
      <c r="K457" s="815"/>
      <c r="L457" s="815"/>
      <c r="M457" s="815"/>
      <c r="N457" s="815"/>
      <c r="O457" s="815"/>
      <c r="P457" s="815"/>
    </row>
    <row r="458" spans="1:16" x14ac:dyDescent="0.2">
      <c r="A458" s="767" t="s">
        <v>128</v>
      </c>
      <c r="B458" s="766" t="s">
        <v>15</v>
      </c>
      <c r="C458" s="841">
        <f>+C459+C460</f>
        <v>5324128.8568139561</v>
      </c>
      <c r="D458" s="841">
        <f t="shared" ref="D458:P458" si="273">+D459+D460</f>
        <v>5904076.5151288696</v>
      </c>
      <c r="E458" s="841">
        <f t="shared" si="273"/>
        <v>6314578.0985167846</v>
      </c>
      <c r="F458" s="841">
        <f t="shared" si="273"/>
        <v>6751990.0698319953</v>
      </c>
      <c r="G458" s="841">
        <f t="shared" si="273"/>
        <v>7290743.6249770597</v>
      </c>
      <c r="H458" s="841">
        <f t="shared" si="273"/>
        <v>7813809.8794033211</v>
      </c>
      <c r="I458" s="841">
        <f t="shared" si="273"/>
        <v>8448897.968357455</v>
      </c>
      <c r="J458" s="841">
        <f t="shared" si="273"/>
        <v>8619941.3316269703</v>
      </c>
      <c r="K458" s="841">
        <f t="shared" si="273"/>
        <v>8816438.1770244744</v>
      </c>
      <c r="L458" s="841">
        <f t="shared" si="273"/>
        <v>9016576.3825257719</v>
      </c>
      <c r="M458" s="841">
        <f t="shared" si="273"/>
        <v>9126306.1298541911</v>
      </c>
      <c r="N458" s="841">
        <f t="shared" si="273"/>
        <v>9237166.4196197093</v>
      </c>
      <c r="O458" s="841">
        <f t="shared" si="273"/>
        <v>9419487.7659901902</v>
      </c>
      <c r="P458" s="841">
        <f t="shared" si="273"/>
        <v>9676897.987281397</v>
      </c>
    </row>
    <row r="459" spans="1:16" x14ac:dyDescent="0.2">
      <c r="A459" s="768" t="s">
        <v>17</v>
      </c>
      <c r="B459" s="766" t="s">
        <v>15</v>
      </c>
      <c r="C459" s="880">
        <f>+СВОД!B8</f>
        <v>1597244.1134754075</v>
      </c>
      <c r="D459" s="880">
        <f>+СВОД!C8</f>
        <v>1791658.0463581537</v>
      </c>
      <c r="E459" s="880">
        <f>+СВОД!D8</f>
        <v>1815201.8925317738</v>
      </c>
      <c r="F459" s="880">
        <f>+СВОД!E8</f>
        <v>1839387.3101803618</v>
      </c>
      <c r="G459" s="880">
        <f>+СВОД!F8</f>
        <v>1864237.8844699082</v>
      </c>
      <c r="H459" s="880">
        <f>+СВОД!G8</f>
        <v>1854875.1096189558</v>
      </c>
      <c r="I459" s="880">
        <f>+СВОД!H8</f>
        <v>1889743.9627646164</v>
      </c>
      <c r="J459" s="880">
        <f>+СВОД!I8</f>
        <v>1924680.1604642377</v>
      </c>
      <c r="K459" s="880">
        <f>+СВОД!J8</f>
        <v>1951711.2987910958</v>
      </c>
      <c r="L459" s="880">
        <f>+СВОД!K8</f>
        <v>1979510.770735878</v>
      </c>
      <c r="M459" s="880">
        <f>+СВОД!L8</f>
        <v>2008107.1410429874</v>
      </c>
      <c r="N459" s="880">
        <f>+СВОД!M8</f>
        <v>2037530.1018528212</v>
      </c>
      <c r="O459" s="880">
        <f>+СВОД!N8</f>
        <v>2067810.5177260116</v>
      </c>
      <c r="P459" s="880">
        <f>+СВОД!O8</f>
        <v>2098980.4724700311</v>
      </c>
    </row>
    <row r="460" spans="1:16" x14ac:dyDescent="0.2">
      <c r="A460" s="768" t="s">
        <v>447</v>
      </c>
      <c r="B460" s="766" t="s">
        <v>15</v>
      </c>
      <c r="C460" s="880">
        <f>+СВОД!B25</f>
        <v>3726884.743338549</v>
      </c>
      <c r="D460" s="880">
        <f>+СВОД!C25</f>
        <v>4112418.4687707154</v>
      </c>
      <c r="E460" s="880">
        <f>+СВОД!D25</f>
        <v>4499376.2059850106</v>
      </c>
      <c r="F460" s="880">
        <f>+СВОД!E25</f>
        <v>4912602.759651633</v>
      </c>
      <c r="G460" s="880">
        <f>+СВОД!F25</f>
        <v>5426505.7405071519</v>
      </c>
      <c r="H460" s="880">
        <f>+СВОД!G25</f>
        <v>5958934.7697843648</v>
      </c>
      <c r="I460" s="880">
        <f>+СВОД!H25</f>
        <v>6559154.0055928389</v>
      </c>
      <c r="J460" s="880">
        <f>+СВОД!I25</f>
        <v>6695261.1711627319</v>
      </c>
      <c r="K460" s="880">
        <f>+СВОД!J25</f>
        <v>6864726.8782333778</v>
      </c>
      <c r="L460" s="880">
        <f>+СВОД!K25</f>
        <v>7037065.6117898943</v>
      </c>
      <c r="M460" s="880">
        <f>+СВОД!L25</f>
        <v>7118198.9888112042</v>
      </c>
      <c r="N460" s="880">
        <f>+СВОД!M25</f>
        <v>7199636.3177668881</v>
      </c>
      <c r="O460" s="880">
        <f>+СВОД!N25</f>
        <v>7351677.2482641786</v>
      </c>
      <c r="P460" s="880">
        <f>+СВОД!O25</f>
        <v>7577917.5148113649</v>
      </c>
    </row>
    <row r="461" spans="1:16" x14ac:dyDescent="0.2">
      <c r="A461" s="768"/>
      <c r="B461" s="766"/>
      <c r="C461" s="822"/>
      <c r="D461" s="822"/>
      <c r="E461" s="822"/>
      <c r="F461" s="822"/>
      <c r="G461" s="822"/>
      <c r="H461" s="822"/>
      <c r="I461" s="822"/>
      <c r="J461" s="822"/>
      <c r="K461" s="822"/>
      <c r="L461" s="822"/>
      <c r="M461" s="822"/>
      <c r="N461" s="822"/>
      <c r="O461" s="822"/>
      <c r="P461" s="822"/>
    </row>
    <row r="462" spans="1:16" x14ac:dyDescent="0.2">
      <c r="A462" s="767" t="s">
        <v>690</v>
      </c>
      <c r="B462" s="762"/>
      <c r="C462" s="845">
        <f t="shared" ref="C462:P462" si="274">C458-C428</f>
        <v>-664520.33928859234</v>
      </c>
      <c r="D462" s="845">
        <f t="shared" si="274"/>
        <v>-689959.9102314515</v>
      </c>
      <c r="E462" s="845">
        <f t="shared" si="274"/>
        <v>-467676.1207550317</v>
      </c>
      <c r="F462" s="845">
        <f t="shared" si="274"/>
        <v>-251372.51523941755</v>
      </c>
      <c r="G462" s="845">
        <f t="shared" si="274"/>
        <v>78295.508669846691</v>
      </c>
      <c r="H462" s="845">
        <f t="shared" si="274"/>
        <v>374112.08959344216</v>
      </c>
      <c r="I462" s="845">
        <f t="shared" si="274"/>
        <v>763916.72711233702</v>
      </c>
      <c r="J462" s="845">
        <f t="shared" si="274"/>
        <v>702854.18853329495</v>
      </c>
      <c r="K462" s="845">
        <f t="shared" si="274"/>
        <v>621270.1612177724</v>
      </c>
      <c r="L462" s="845">
        <f t="shared" si="274"/>
        <v>510506.59970516339</v>
      </c>
      <c r="M462" s="845">
        <f t="shared" si="274"/>
        <v>337025.67543142289</v>
      </c>
      <c r="N462" s="845">
        <f t="shared" si="274"/>
        <v>154405.5702659376</v>
      </c>
      <c r="O462" s="845">
        <f t="shared" si="274"/>
        <v>32565.821643035859</v>
      </c>
      <c r="P462" s="845">
        <f t="shared" si="274"/>
        <v>19918.444954752922</v>
      </c>
    </row>
    <row r="463" spans="1:16" x14ac:dyDescent="0.2">
      <c r="A463" s="762"/>
      <c r="B463" s="762"/>
      <c r="C463" s="815"/>
      <c r="D463" s="815"/>
      <c r="E463" s="815"/>
      <c r="F463" s="815"/>
      <c r="G463" s="815"/>
      <c r="H463" s="815"/>
      <c r="I463" s="815"/>
      <c r="J463" s="815"/>
      <c r="K463" s="815"/>
      <c r="L463" s="815"/>
      <c r="M463" s="815"/>
      <c r="N463" s="815"/>
      <c r="O463" s="815"/>
      <c r="P463" s="815"/>
    </row>
    <row r="464" spans="1:16" x14ac:dyDescent="0.2">
      <c r="A464" s="767" t="s">
        <v>666</v>
      </c>
      <c r="B464" s="766" t="s">
        <v>15</v>
      </c>
      <c r="C464" s="824">
        <f t="shared" ref="C464:P464" si="275">SUM(C465:C473)</f>
        <v>5988649.1961025475</v>
      </c>
      <c r="D464" s="824">
        <f t="shared" si="275"/>
        <v>6594036.4253603201</v>
      </c>
      <c r="E464" s="824">
        <f t="shared" si="275"/>
        <v>6782254.2192718163</v>
      </c>
      <c r="F464" s="824">
        <f t="shared" si="275"/>
        <v>7003362.5850714128</v>
      </c>
      <c r="G464" s="824">
        <f t="shared" si="275"/>
        <v>7212448.1163072148</v>
      </c>
      <c r="H464" s="824">
        <f t="shared" si="275"/>
        <v>7439697.7898098789</v>
      </c>
      <c r="I464" s="824">
        <f t="shared" si="275"/>
        <v>7684981.2412451161</v>
      </c>
      <c r="J464" s="824">
        <f t="shared" si="275"/>
        <v>7917087.1430936763</v>
      </c>
      <c r="K464" s="824">
        <f t="shared" si="275"/>
        <v>8195168.0158067029</v>
      </c>
      <c r="L464" s="824">
        <f t="shared" si="275"/>
        <v>8506069.7828206103</v>
      </c>
      <c r="M464" s="824">
        <f t="shared" si="275"/>
        <v>8789280.4544227682</v>
      </c>
      <c r="N464" s="824">
        <f t="shared" si="275"/>
        <v>9082760.8493537735</v>
      </c>
      <c r="O464" s="824">
        <f t="shared" si="275"/>
        <v>9386921.9443471543</v>
      </c>
      <c r="P464" s="824">
        <f t="shared" si="275"/>
        <v>9656979.5423266459</v>
      </c>
    </row>
    <row r="465" spans="1:16" x14ac:dyDescent="0.2">
      <c r="A465" s="777" t="s">
        <v>120</v>
      </c>
      <c r="B465" s="766" t="s">
        <v>15</v>
      </c>
      <c r="C465" s="838">
        <f>C349</f>
        <v>3340664.7062179474</v>
      </c>
      <c r="D465" s="838">
        <f t="shared" ref="D465:P465" si="276">D349</f>
        <v>3735669.9570124671</v>
      </c>
      <c r="E465" s="838">
        <f t="shared" si="276"/>
        <v>3887300.2732036347</v>
      </c>
      <c r="F465" s="838">
        <f t="shared" si="276"/>
        <v>3935528.2236649296</v>
      </c>
      <c r="G465" s="838">
        <f t="shared" si="276"/>
        <v>4000219.0847057267</v>
      </c>
      <c r="H465" s="838">
        <f t="shared" si="276"/>
        <v>4085118.2730054311</v>
      </c>
      <c r="I465" s="838">
        <f t="shared" si="276"/>
        <v>4180160.8380871881</v>
      </c>
      <c r="J465" s="838">
        <f t="shared" si="276"/>
        <v>4283256.612572534</v>
      </c>
      <c r="K465" s="838">
        <f t="shared" si="276"/>
        <v>4474702.3487654999</v>
      </c>
      <c r="L465" s="838">
        <f t="shared" si="276"/>
        <v>4673806.3046885775</v>
      </c>
      <c r="M465" s="838">
        <f t="shared" si="276"/>
        <v>4841301.0475392351</v>
      </c>
      <c r="N465" s="838">
        <f t="shared" si="276"/>
        <v>5014613.8184280861</v>
      </c>
      <c r="O465" s="838">
        <f t="shared" si="276"/>
        <v>5193942.9287272422</v>
      </c>
      <c r="P465" s="838">
        <f t="shared" si="276"/>
        <v>5379493.3444829686</v>
      </c>
    </row>
    <row r="466" spans="1:16" x14ac:dyDescent="0.2">
      <c r="A466" s="777" t="s">
        <v>121</v>
      </c>
      <c r="B466" s="766" t="s">
        <v>15</v>
      </c>
      <c r="C466" s="838">
        <f>C380</f>
        <v>854172.05766661849</v>
      </c>
      <c r="D466" s="838">
        <f t="shared" ref="D466:P466" si="277">D380</f>
        <v>998107.41351907956</v>
      </c>
      <c r="E466" s="838">
        <f t="shared" si="277"/>
        <v>1042707.5551724558</v>
      </c>
      <c r="F466" s="838">
        <f t="shared" si="277"/>
        <v>1081953.2413570532</v>
      </c>
      <c r="G466" s="838">
        <f t="shared" si="277"/>
        <v>1118463.8322513544</v>
      </c>
      <c r="H466" s="838">
        <f t="shared" si="277"/>
        <v>1159369.8606822942</v>
      </c>
      <c r="I466" s="838">
        <f t="shared" si="277"/>
        <v>1203344.3653674116</v>
      </c>
      <c r="J466" s="838">
        <f t="shared" si="277"/>
        <v>1247120.9220148232</v>
      </c>
      <c r="K466" s="838">
        <f t="shared" si="277"/>
        <v>1293277.6178783509</v>
      </c>
      <c r="L466" s="838">
        <f t="shared" si="277"/>
        <v>1345648.7418330561</v>
      </c>
      <c r="M466" s="838">
        <f t="shared" si="277"/>
        <v>1400001.2276720423</v>
      </c>
      <c r="N466" s="838">
        <f t="shared" si="277"/>
        <v>1456539.493470262</v>
      </c>
      <c r="O466" s="838">
        <f t="shared" si="277"/>
        <v>1515351.3109809458</v>
      </c>
      <c r="P466" s="838">
        <f t="shared" si="277"/>
        <v>1576527.972617792</v>
      </c>
    </row>
    <row r="467" spans="1:16" x14ac:dyDescent="0.2">
      <c r="A467" s="777" t="s">
        <v>709</v>
      </c>
      <c r="B467" s="766" t="s">
        <v>15</v>
      </c>
      <c r="C467" s="838">
        <f>C387</f>
        <v>327318.15905000002</v>
      </c>
      <c r="D467" s="838">
        <f t="shared" ref="D467:P467" si="278">D387</f>
        <v>408399.57947708026</v>
      </c>
      <c r="E467" s="838">
        <f t="shared" si="278"/>
        <v>320185.45025821845</v>
      </c>
      <c r="F467" s="838">
        <f t="shared" si="278"/>
        <v>330681.69909581653</v>
      </c>
      <c r="G467" s="838">
        <f t="shared" si="278"/>
        <v>340740.15930304769</v>
      </c>
      <c r="H467" s="838">
        <f t="shared" si="278"/>
        <v>351019.81040600239</v>
      </c>
      <c r="I467" s="838">
        <f t="shared" si="278"/>
        <v>362742.08233694389</v>
      </c>
      <c r="J467" s="838">
        <f t="shared" si="278"/>
        <v>373517.45649658918</v>
      </c>
      <c r="K467" s="838">
        <f t="shared" si="278"/>
        <v>386799.42238080449</v>
      </c>
      <c r="L467" s="838">
        <f t="shared" si="278"/>
        <v>402025.99484619766</v>
      </c>
      <c r="M467" s="838">
        <f t="shared" si="278"/>
        <v>417795.71224807965</v>
      </c>
      <c r="N467" s="838">
        <f t="shared" si="278"/>
        <v>434203.00311509997</v>
      </c>
      <c r="O467" s="838">
        <f t="shared" si="278"/>
        <v>451273.56820111221</v>
      </c>
      <c r="P467" s="838">
        <f t="shared" si="278"/>
        <v>469034.14197695616</v>
      </c>
    </row>
    <row r="468" spans="1:16" x14ac:dyDescent="0.2">
      <c r="A468" s="777" t="s">
        <v>125</v>
      </c>
      <c r="B468" s="766" t="s">
        <v>15</v>
      </c>
      <c r="C468" s="838">
        <f>C394</f>
        <v>155658.81893076201</v>
      </c>
      <c r="D468" s="838">
        <f t="shared" ref="D468:P468" si="279">D394</f>
        <v>172550.14977428142</v>
      </c>
      <c r="E468" s="838">
        <f t="shared" si="279"/>
        <v>179434.83275682101</v>
      </c>
      <c r="F468" s="838">
        <f t="shared" si="279"/>
        <v>179090.96807670005</v>
      </c>
      <c r="G468" s="838">
        <f t="shared" si="279"/>
        <v>173310.48216475055</v>
      </c>
      <c r="H468" s="838">
        <f t="shared" si="279"/>
        <v>165863.96283746196</v>
      </c>
      <c r="I468" s="838">
        <f t="shared" si="279"/>
        <v>163773.55254487833</v>
      </c>
      <c r="J468" s="838">
        <f t="shared" si="279"/>
        <v>153694.06453494873</v>
      </c>
      <c r="K468" s="838">
        <f t="shared" si="279"/>
        <v>152110.69254281337</v>
      </c>
      <c r="L468" s="838">
        <f t="shared" si="279"/>
        <v>158242.10270674803</v>
      </c>
      <c r="M468" s="838">
        <f t="shared" si="279"/>
        <v>164609.50294223253</v>
      </c>
      <c r="N468" s="838">
        <f t="shared" si="279"/>
        <v>171232.55294755404</v>
      </c>
      <c r="O468" s="838">
        <f t="shared" si="279"/>
        <v>178121.50652113691</v>
      </c>
      <c r="P468" s="838">
        <f t="shared" si="279"/>
        <v>185287.02841276169</v>
      </c>
    </row>
    <row r="469" spans="1:16" x14ac:dyDescent="0.2">
      <c r="A469" s="777" t="s">
        <v>126</v>
      </c>
      <c r="B469" s="766" t="s">
        <v>15</v>
      </c>
      <c r="C469" s="838">
        <f>C401</f>
        <v>265343.44563581457</v>
      </c>
      <c r="D469" s="838">
        <f t="shared" ref="D469:P469" si="280">D401</f>
        <v>254535.24758502448</v>
      </c>
      <c r="E469" s="838">
        <f t="shared" si="280"/>
        <v>282231.36984188063</v>
      </c>
      <c r="F469" s="838">
        <f t="shared" si="280"/>
        <v>304398.80392229185</v>
      </c>
      <c r="G469" s="838">
        <f t="shared" si="280"/>
        <v>324336.4749731106</v>
      </c>
      <c r="H469" s="838">
        <f t="shared" si="280"/>
        <v>343094.88146686577</v>
      </c>
      <c r="I469" s="838">
        <f t="shared" si="280"/>
        <v>360701.8235659335</v>
      </c>
      <c r="J469" s="838">
        <f t="shared" si="280"/>
        <v>357904.34734058299</v>
      </c>
      <c r="K469" s="838">
        <f t="shared" si="280"/>
        <v>354564.65147665405</v>
      </c>
      <c r="L469" s="838">
        <f t="shared" si="280"/>
        <v>354272.85256290389</v>
      </c>
      <c r="M469" s="838">
        <f t="shared" si="280"/>
        <v>353995.48164861253</v>
      </c>
      <c r="N469" s="838">
        <f t="shared" si="280"/>
        <v>353796.38424096187</v>
      </c>
      <c r="O469" s="838">
        <f t="shared" si="280"/>
        <v>353681.62630266399</v>
      </c>
      <c r="P469" s="838">
        <f t="shared" si="280"/>
        <v>354702.4969782792</v>
      </c>
    </row>
    <row r="470" spans="1:16" x14ac:dyDescent="0.2">
      <c r="A470" s="777" t="s">
        <v>703</v>
      </c>
      <c r="B470" s="766" t="s">
        <v>15</v>
      </c>
      <c r="C470" s="838">
        <f>C408</f>
        <v>360519.65977220889</v>
      </c>
      <c r="D470" s="838">
        <f t="shared" ref="D470:P470" si="281">D408</f>
        <v>424947.27582455263</v>
      </c>
      <c r="E470" s="838">
        <f t="shared" si="281"/>
        <v>431424.61466525425</v>
      </c>
      <c r="F470" s="838">
        <f t="shared" si="281"/>
        <v>434892.97769793746</v>
      </c>
      <c r="G470" s="838">
        <f t="shared" si="281"/>
        <v>437861.91853560566</v>
      </c>
      <c r="H470" s="838">
        <f t="shared" si="281"/>
        <v>438106.78785055509</v>
      </c>
      <c r="I470" s="838">
        <f t="shared" si="281"/>
        <v>427256.97982519964</v>
      </c>
      <c r="J470" s="838">
        <f t="shared" si="281"/>
        <v>430883.57655965968</v>
      </c>
      <c r="K470" s="838">
        <f t="shared" si="281"/>
        <v>437150.98156313447</v>
      </c>
      <c r="L470" s="838">
        <f t="shared" si="281"/>
        <v>444393.72416478844</v>
      </c>
      <c r="M470" s="838">
        <f t="shared" si="281"/>
        <v>451817.79307226266</v>
      </c>
      <c r="N470" s="838">
        <f t="shared" si="281"/>
        <v>459428.37192601059</v>
      </c>
      <c r="O470" s="838">
        <f t="shared" si="281"/>
        <v>467230.79782873881</v>
      </c>
      <c r="P470" s="838">
        <f t="shared" si="281"/>
        <v>475230.56593136315</v>
      </c>
    </row>
    <row r="471" spans="1:16" x14ac:dyDescent="0.2">
      <c r="A471" s="777" t="s">
        <v>127</v>
      </c>
      <c r="B471" s="766" t="s">
        <v>15</v>
      </c>
      <c r="C471" s="838">
        <f>C415</f>
        <v>77468.757870000001</v>
      </c>
      <c r="D471" s="838">
        <f t="shared" ref="D471:P471" si="282">D415</f>
        <v>71744.226325103533</v>
      </c>
      <c r="E471" s="838">
        <f t="shared" si="282"/>
        <v>71905.664509279202</v>
      </c>
      <c r="F471" s="838">
        <f t="shared" si="282"/>
        <v>72463.650378187333</v>
      </c>
      <c r="G471" s="838">
        <f t="shared" si="282"/>
        <v>73043.955681851803</v>
      </c>
      <c r="H471" s="838">
        <f t="shared" si="282"/>
        <v>73647.473197662854</v>
      </c>
      <c r="I471" s="838">
        <f t="shared" si="282"/>
        <v>74275.131414106334</v>
      </c>
      <c r="J471" s="838">
        <f t="shared" si="282"/>
        <v>74927.895959207555</v>
      </c>
      <c r="K471" s="838">
        <f t="shared" si="282"/>
        <v>75606.771086112829</v>
      </c>
      <c r="L471" s="838">
        <f t="shared" si="282"/>
        <v>76312.801218094333</v>
      </c>
      <c r="M471" s="838">
        <f t="shared" si="282"/>
        <v>77047.072555355073</v>
      </c>
      <c r="N471" s="838">
        <f t="shared" si="282"/>
        <v>77810.714746106241</v>
      </c>
      <c r="O471" s="838">
        <f t="shared" si="282"/>
        <v>78604.902624487469</v>
      </c>
      <c r="P471" s="838">
        <f t="shared" si="282"/>
        <v>79430.858018003943</v>
      </c>
    </row>
    <row r="472" spans="1:16" x14ac:dyDescent="0.2">
      <c r="A472" s="777" t="s">
        <v>704</v>
      </c>
      <c r="B472" s="766" t="s">
        <v>15</v>
      </c>
      <c r="C472" s="838">
        <f>C422</f>
        <v>234594.94238000002</v>
      </c>
      <c r="D472" s="838">
        <f t="shared" ref="D472:P472" si="283">D422</f>
        <v>260555.51813797676</v>
      </c>
      <c r="E472" s="838">
        <f t="shared" si="283"/>
        <v>284215.82862002327</v>
      </c>
      <c r="F472" s="838">
        <f t="shared" si="283"/>
        <v>390910.37265487714</v>
      </c>
      <c r="G472" s="838">
        <f t="shared" si="283"/>
        <v>491159.5893821597</v>
      </c>
      <c r="H472" s="838">
        <f t="shared" si="283"/>
        <v>591528.60340065917</v>
      </c>
      <c r="I472" s="838">
        <f t="shared" si="283"/>
        <v>695303.21890815848</v>
      </c>
      <c r="J472" s="838">
        <f t="shared" si="283"/>
        <v>800198.93706481496</v>
      </c>
      <c r="K472" s="838">
        <f t="shared" si="283"/>
        <v>822842.30331773753</v>
      </c>
      <c r="L472" s="838">
        <f t="shared" si="283"/>
        <v>850622.05701328407</v>
      </c>
      <c r="M472" s="838">
        <f t="shared" si="283"/>
        <v>879230.15688696981</v>
      </c>
      <c r="N472" s="838">
        <f t="shared" si="283"/>
        <v>908807.30430785485</v>
      </c>
      <c r="O472" s="838">
        <f t="shared" si="283"/>
        <v>939383.13140738255</v>
      </c>
      <c r="P472" s="838">
        <f t="shared" si="283"/>
        <v>923495.58691839711</v>
      </c>
    </row>
    <row r="473" spans="1:16" x14ac:dyDescent="0.2">
      <c r="A473" s="777" t="s">
        <v>705</v>
      </c>
      <c r="B473" s="766" t="s">
        <v>15</v>
      </c>
      <c r="C473" s="838">
        <f>C424+C426</f>
        <v>372908.6485791966</v>
      </c>
      <c r="D473" s="838">
        <f t="shared" ref="D473:P473" si="284">D424+D426</f>
        <v>267527.05770475551</v>
      </c>
      <c r="E473" s="838">
        <f t="shared" si="284"/>
        <v>282848.63024424954</v>
      </c>
      <c r="F473" s="838">
        <f t="shared" si="284"/>
        <v>273442.64822361991</v>
      </c>
      <c r="G473" s="838">
        <f t="shared" si="284"/>
        <v>253312.61930960661</v>
      </c>
      <c r="H473" s="838">
        <f t="shared" si="284"/>
        <v>231948.13696294618</v>
      </c>
      <c r="I473" s="838">
        <f t="shared" si="284"/>
        <v>217423.24919529737</v>
      </c>
      <c r="J473" s="838">
        <f t="shared" si="284"/>
        <v>195583.33055051509</v>
      </c>
      <c r="K473" s="838">
        <f t="shared" si="284"/>
        <v>198113.22679559508</v>
      </c>
      <c r="L473" s="838">
        <f t="shared" si="284"/>
        <v>200745.20378695941</v>
      </c>
      <c r="M473" s="838">
        <f t="shared" si="284"/>
        <v>203482.45985797828</v>
      </c>
      <c r="N473" s="838">
        <f t="shared" si="284"/>
        <v>206329.20617183793</v>
      </c>
      <c r="O473" s="838">
        <f t="shared" si="284"/>
        <v>209332.17175344346</v>
      </c>
      <c r="P473" s="838">
        <f t="shared" si="284"/>
        <v>213777.54699012428</v>
      </c>
    </row>
    <row r="474" spans="1:16" x14ac:dyDescent="0.2">
      <c r="A474" s="762"/>
      <c r="B474" s="762"/>
      <c r="C474" s="815"/>
      <c r="D474" s="815"/>
      <c r="E474" s="815"/>
      <c r="F474" s="815"/>
      <c r="G474" s="815"/>
      <c r="H474" s="815"/>
      <c r="I474" s="815"/>
      <c r="J474" s="815"/>
      <c r="K474" s="815"/>
      <c r="L474" s="815"/>
      <c r="M474" s="815"/>
      <c r="N474" s="815"/>
      <c r="O474" s="815"/>
      <c r="P474" s="815"/>
    </row>
    <row r="475" spans="1:16" x14ac:dyDescent="0.2">
      <c r="A475" s="767" t="s">
        <v>130</v>
      </c>
      <c r="B475" s="766" t="s">
        <v>15</v>
      </c>
      <c r="C475" s="841">
        <f>C478+C477</f>
        <v>-429925.39690859138</v>
      </c>
      <c r="D475" s="841">
        <f t="shared" ref="D475:P475" si="285">D478+D477</f>
        <v>-429404.39209347381</v>
      </c>
      <c r="E475" s="841">
        <f t="shared" si="285"/>
        <v>-183460.29213500844</v>
      </c>
      <c r="F475" s="841">
        <f t="shared" si="285"/>
        <v>139537.85741545958</v>
      </c>
      <c r="G475" s="841">
        <f t="shared" si="285"/>
        <v>569455.09805200459</v>
      </c>
      <c r="H475" s="841">
        <f t="shared" si="285"/>
        <v>965640.69299410132</v>
      </c>
      <c r="I475" s="841">
        <f t="shared" si="285"/>
        <v>1459219.9460204975</v>
      </c>
      <c r="J475" s="841">
        <f t="shared" si="285"/>
        <v>1503053.1255981089</v>
      </c>
      <c r="K475" s="841">
        <f t="shared" si="285"/>
        <v>1444112.464535509</v>
      </c>
      <c r="L475" s="841">
        <f t="shared" si="285"/>
        <v>1361128.6567184455</v>
      </c>
      <c r="M475" s="841">
        <f t="shared" si="285"/>
        <v>1216255.8323183926</v>
      </c>
      <c r="N475" s="841">
        <f t="shared" si="285"/>
        <v>1063212.8745737905</v>
      </c>
      <c r="O475" s="841">
        <f t="shared" si="285"/>
        <v>971948.95305041841</v>
      </c>
      <c r="P475" s="841">
        <f t="shared" si="285"/>
        <v>943414.03187314817</v>
      </c>
    </row>
    <row r="476" spans="1:16" x14ac:dyDescent="0.2">
      <c r="A476" s="762"/>
      <c r="B476" s="762"/>
      <c r="C476" s="815"/>
      <c r="D476" s="815"/>
      <c r="E476" s="815"/>
      <c r="F476" s="815"/>
      <c r="G476" s="815"/>
      <c r="H476" s="815"/>
      <c r="I476" s="815"/>
      <c r="J476" s="815"/>
      <c r="K476" s="815"/>
      <c r="L476" s="815"/>
      <c r="M476" s="815"/>
      <c r="N476" s="815"/>
      <c r="O476" s="815"/>
      <c r="P476" s="815"/>
    </row>
    <row r="477" spans="1:16" x14ac:dyDescent="0.2">
      <c r="A477" s="777" t="s">
        <v>25</v>
      </c>
      <c r="B477" s="766" t="s">
        <v>15</v>
      </c>
      <c r="C477" s="838">
        <f>C472</f>
        <v>234594.94238000002</v>
      </c>
      <c r="D477" s="838">
        <f t="shared" ref="D477:P477" si="286">D472</f>
        <v>260555.51813797676</v>
      </c>
      <c r="E477" s="838">
        <f t="shared" si="286"/>
        <v>284215.82862002327</v>
      </c>
      <c r="F477" s="838">
        <f t="shared" si="286"/>
        <v>390910.37265487714</v>
      </c>
      <c r="G477" s="838">
        <f t="shared" si="286"/>
        <v>491159.5893821597</v>
      </c>
      <c r="H477" s="838">
        <f t="shared" si="286"/>
        <v>591528.60340065917</v>
      </c>
      <c r="I477" s="838">
        <f t="shared" si="286"/>
        <v>695303.21890815848</v>
      </c>
      <c r="J477" s="838">
        <f t="shared" si="286"/>
        <v>800198.93706481496</v>
      </c>
      <c r="K477" s="838">
        <f t="shared" si="286"/>
        <v>822842.30331773753</v>
      </c>
      <c r="L477" s="838">
        <f t="shared" si="286"/>
        <v>850622.05701328407</v>
      </c>
      <c r="M477" s="838">
        <f t="shared" si="286"/>
        <v>879230.15688696981</v>
      </c>
      <c r="N477" s="838">
        <f t="shared" si="286"/>
        <v>908807.30430785485</v>
      </c>
      <c r="O477" s="838">
        <f t="shared" si="286"/>
        <v>939383.13140738255</v>
      </c>
      <c r="P477" s="838">
        <f t="shared" si="286"/>
        <v>923495.58691839711</v>
      </c>
    </row>
    <row r="478" spans="1:16" x14ac:dyDescent="0.2">
      <c r="A478" s="767" t="s">
        <v>131</v>
      </c>
      <c r="B478" s="766" t="str">
        <f>B477</f>
        <v>тыс. руб.</v>
      </c>
      <c r="C478" s="841">
        <f t="shared" ref="C478:P478" si="287">C458-C464</f>
        <v>-664520.33928859141</v>
      </c>
      <c r="D478" s="841">
        <f t="shared" si="287"/>
        <v>-689959.91023145057</v>
      </c>
      <c r="E478" s="841">
        <f t="shared" si="287"/>
        <v>-467676.1207550317</v>
      </c>
      <c r="F478" s="841">
        <f t="shared" si="287"/>
        <v>-251372.51523941755</v>
      </c>
      <c r="G478" s="841">
        <f t="shared" si="287"/>
        <v>78295.508669844829</v>
      </c>
      <c r="H478" s="841">
        <f t="shared" si="287"/>
        <v>374112.08959344216</v>
      </c>
      <c r="I478" s="841">
        <f t="shared" si="287"/>
        <v>763916.72711233888</v>
      </c>
      <c r="J478" s="841">
        <f t="shared" si="287"/>
        <v>702854.18853329401</v>
      </c>
      <c r="K478" s="841">
        <f t="shared" si="287"/>
        <v>621270.16121777147</v>
      </c>
      <c r="L478" s="841">
        <f t="shared" si="287"/>
        <v>510506.59970516153</v>
      </c>
      <c r="M478" s="841">
        <f t="shared" si="287"/>
        <v>337025.67543142289</v>
      </c>
      <c r="N478" s="841">
        <f t="shared" si="287"/>
        <v>154405.57026593573</v>
      </c>
      <c r="O478" s="841">
        <f t="shared" si="287"/>
        <v>32565.821643035859</v>
      </c>
      <c r="P478" s="841">
        <f t="shared" si="287"/>
        <v>19918.444954751059</v>
      </c>
    </row>
    <row r="479" spans="1:16" x14ac:dyDescent="0.2">
      <c r="A479" s="762"/>
      <c r="B479" s="762"/>
      <c r="C479" s="815"/>
      <c r="D479" s="815"/>
      <c r="E479" s="815"/>
      <c r="F479" s="815"/>
      <c r="G479" s="815"/>
      <c r="H479" s="815"/>
      <c r="I479" s="815"/>
      <c r="J479" s="815"/>
      <c r="K479" s="815"/>
      <c r="L479" s="815"/>
      <c r="M479" s="815"/>
      <c r="N479" s="815"/>
      <c r="O479" s="815"/>
      <c r="P479" s="815"/>
    </row>
    <row r="480" spans="1:16" x14ac:dyDescent="0.2">
      <c r="A480" s="789" t="s">
        <v>132</v>
      </c>
      <c r="B480" s="766" t="s">
        <v>15</v>
      </c>
      <c r="C480" s="838">
        <f>IF(C478&gt;0,C478/0.8*0.2,0)</f>
        <v>0</v>
      </c>
      <c r="D480" s="838">
        <f t="shared" ref="D480:P480" si="288">IF(D478&gt;0,D478/0.8*0.2,0)</f>
        <v>0</v>
      </c>
      <c r="E480" s="838">
        <f t="shared" si="288"/>
        <v>0</v>
      </c>
      <c r="F480" s="838">
        <f t="shared" si="288"/>
        <v>0</v>
      </c>
      <c r="G480" s="838">
        <f t="shared" si="288"/>
        <v>19573.877167461207</v>
      </c>
      <c r="H480" s="838">
        <f t="shared" si="288"/>
        <v>93528.022398360539</v>
      </c>
      <c r="I480" s="838">
        <f t="shared" si="288"/>
        <v>190979.18177808472</v>
      </c>
      <c r="J480" s="838">
        <f t="shared" si="288"/>
        <v>175713.5471333235</v>
      </c>
      <c r="K480" s="838">
        <f t="shared" si="288"/>
        <v>155317.54030444287</v>
      </c>
      <c r="L480" s="838">
        <f t="shared" si="288"/>
        <v>127626.64992629038</v>
      </c>
      <c r="M480" s="838">
        <f t="shared" si="288"/>
        <v>84256.418857855722</v>
      </c>
      <c r="N480" s="838">
        <f t="shared" si="288"/>
        <v>38601.392566483933</v>
      </c>
      <c r="O480" s="838">
        <f t="shared" si="288"/>
        <v>8141.4554107589647</v>
      </c>
      <c r="P480" s="838">
        <f t="shared" si="288"/>
        <v>4979.6112386877649</v>
      </c>
    </row>
    <row r="481" spans="1:16" x14ac:dyDescent="0.2">
      <c r="A481" s="767" t="s">
        <v>24</v>
      </c>
      <c r="B481" s="766" t="str">
        <f>B480</f>
        <v>тыс. руб.</v>
      </c>
      <c r="C481" s="841">
        <f>C478-C480</f>
        <v>-664520.33928859141</v>
      </c>
      <c r="D481" s="841">
        <f t="shared" ref="D481:P481" si="289">D478-D480</f>
        <v>-689959.91023145057</v>
      </c>
      <c r="E481" s="841">
        <f t="shared" si="289"/>
        <v>-467676.1207550317</v>
      </c>
      <c r="F481" s="841">
        <f t="shared" si="289"/>
        <v>-251372.51523941755</v>
      </c>
      <c r="G481" s="841">
        <f t="shared" si="289"/>
        <v>58721.631502383621</v>
      </c>
      <c r="H481" s="841">
        <f t="shared" si="289"/>
        <v>280584.06719508162</v>
      </c>
      <c r="I481" s="841">
        <f t="shared" si="289"/>
        <v>572937.54533425416</v>
      </c>
      <c r="J481" s="841">
        <f t="shared" si="289"/>
        <v>527140.64139997051</v>
      </c>
      <c r="K481" s="841">
        <f t="shared" si="289"/>
        <v>465952.6209133286</v>
      </c>
      <c r="L481" s="841">
        <f t="shared" si="289"/>
        <v>382879.94977887115</v>
      </c>
      <c r="M481" s="841">
        <f t="shared" si="289"/>
        <v>252769.25657356717</v>
      </c>
      <c r="N481" s="841">
        <f t="shared" si="289"/>
        <v>115804.1776994518</v>
      </c>
      <c r="O481" s="841">
        <f t="shared" si="289"/>
        <v>24424.366232276894</v>
      </c>
      <c r="P481" s="841">
        <f t="shared" si="289"/>
        <v>14938.833716063295</v>
      </c>
    </row>
    <row r="482" spans="1:16" s="139" customFormat="1" x14ac:dyDescent="0.2">
      <c r="A482" s="148" t="str">
        <f>+БДДС!A33</f>
        <v>(справочно) прогнозный уровень текущих платежей за газ</v>
      </c>
      <c r="B482" s="97"/>
      <c r="C482" s="898">
        <f>+БДДС!C33</f>
        <v>0.87130543328446797</v>
      </c>
      <c r="D482" s="898">
        <f>+БДДС!D33</f>
        <v>0.88505290964277739</v>
      </c>
      <c r="E482" s="898">
        <f>+БДДС!E33</f>
        <v>0.71312123584236731</v>
      </c>
      <c r="F482" s="898">
        <f>+БДДС!F33</f>
        <v>0.81682945142120789</v>
      </c>
      <c r="G482" s="898">
        <f>+БДДС!G33</f>
        <v>0.93386511392549942</v>
      </c>
      <c r="H482" s="898">
        <f>+БДДС!H33</f>
        <v>1</v>
      </c>
      <c r="I482" s="898">
        <f>+БДДС!I33</f>
        <v>1</v>
      </c>
      <c r="J482" s="898">
        <f>+БДДС!J33</f>
        <v>1</v>
      </c>
      <c r="K482" s="898">
        <f>+БДДС!K33</f>
        <v>1</v>
      </c>
      <c r="L482" s="898">
        <f>+БДДС!L33</f>
        <v>1</v>
      </c>
      <c r="M482" s="898">
        <f>+БДДС!M33</f>
        <v>1</v>
      </c>
      <c r="N482" s="898">
        <f>+БДДС!N33</f>
        <v>1</v>
      </c>
      <c r="O482" s="898">
        <f>+БДДС!O33</f>
        <v>1</v>
      </c>
      <c r="P482" s="898">
        <f>+БДДС!P33</f>
        <v>1</v>
      </c>
    </row>
    <row r="483" spans="1:16" x14ac:dyDescent="0.2">
      <c r="A483" s="763" t="s">
        <v>133</v>
      </c>
      <c r="B483" s="97"/>
      <c r="C483" s="825"/>
      <c r="D483" s="825"/>
      <c r="E483" s="825"/>
      <c r="F483" s="825"/>
      <c r="G483" s="825"/>
      <c r="H483" s="825"/>
      <c r="I483" s="825"/>
      <c r="J483" s="825"/>
      <c r="K483" s="825"/>
      <c r="L483" s="825"/>
      <c r="M483" s="825"/>
      <c r="N483" s="825"/>
      <c r="O483" s="825"/>
      <c r="P483" s="825"/>
    </row>
    <row r="484" spans="1:16" x14ac:dyDescent="0.2">
      <c r="A484" s="790" t="s">
        <v>24</v>
      </c>
      <c r="B484" s="766" t="s">
        <v>15</v>
      </c>
      <c r="C484" s="838">
        <f>C481</f>
        <v>-664520.33928859141</v>
      </c>
      <c r="D484" s="838">
        <f t="shared" ref="D484:P484" si="290">D481</f>
        <v>-689959.91023145057</v>
      </c>
      <c r="E484" s="838">
        <f t="shared" si="290"/>
        <v>-467676.1207550317</v>
      </c>
      <c r="F484" s="838">
        <f t="shared" si="290"/>
        <v>-251372.51523941755</v>
      </c>
      <c r="G484" s="838">
        <f t="shared" si="290"/>
        <v>58721.631502383621</v>
      </c>
      <c r="H484" s="838">
        <f t="shared" si="290"/>
        <v>280584.06719508162</v>
      </c>
      <c r="I484" s="838">
        <f t="shared" si="290"/>
        <v>572937.54533425416</v>
      </c>
      <c r="J484" s="838">
        <f t="shared" si="290"/>
        <v>527140.64139997051</v>
      </c>
      <c r="K484" s="838">
        <f t="shared" si="290"/>
        <v>465952.6209133286</v>
      </c>
      <c r="L484" s="838">
        <f t="shared" si="290"/>
        <v>382879.94977887115</v>
      </c>
      <c r="M484" s="838">
        <f t="shared" si="290"/>
        <v>252769.25657356717</v>
      </c>
      <c r="N484" s="838">
        <f t="shared" si="290"/>
        <v>115804.1776994518</v>
      </c>
      <c r="O484" s="838">
        <f t="shared" si="290"/>
        <v>24424.366232276894</v>
      </c>
      <c r="P484" s="838">
        <f t="shared" si="290"/>
        <v>14938.833716063295</v>
      </c>
    </row>
    <row r="485" spans="1:16" x14ac:dyDescent="0.2">
      <c r="A485" s="790" t="s">
        <v>25</v>
      </c>
      <c r="B485" s="766" t="s">
        <v>15</v>
      </c>
      <c r="C485" s="838">
        <f>C477</f>
        <v>234594.94238000002</v>
      </c>
      <c r="D485" s="838">
        <f t="shared" ref="D485:P485" si="291">D477</f>
        <v>260555.51813797676</v>
      </c>
      <c r="E485" s="838">
        <f t="shared" si="291"/>
        <v>284215.82862002327</v>
      </c>
      <c r="F485" s="838">
        <f t="shared" si="291"/>
        <v>390910.37265487714</v>
      </c>
      <c r="G485" s="838">
        <f t="shared" si="291"/>
        <v>491159.5893821597</v>
      </c>
      <c r="H485" s="838">
        <f t="shared" si="291"/>
        <v>591528.60340065917</v>
      </c>
      <c r="I485" s="838">
        <f t="shared" si="291"/>
        <v>695303.21890815848</v>
      </c>
      <c r="J485" s="838">
        <f t="shared" si="291"/>
        <v>800198.93706481496</v>
      </c>
      <c r="K485" s="838">
        <f t="shared" si="291"/>
        <v>822842.30331773753</v>
      </c>
      <c r="L485" s="838">
        <f t="shared" si="291"/>
        <v>850622.05701328407</v>
      </c>
      <c r="M485" s="838">
        <f t="shared" si="291"/>
        <v>879230.15688696981</v>
      </c>
      <c r="N485" s="838">
        <f t="shared" si="291"/>
        <v>908807.30430785485</v>
      </c>
      <c r="O485" s="838">
        <f t="shared" si="291"/>
        <v>939383.13140738255</v>
      </c>
      <c r="P485" s="838">
        <f t="shared" si="291"/>
        <v>923495.58691839711</v>
      </c>
    </row>
    <row r="486" spans="1:16" x14ac:dyDescent="0.2">
      <c r="A486" s="790"/>
      <c r="B486" s="757"/>
      <c r="C486" s="818"/>
      <c r="D486" s="818"/>
      <c r="E486" s="818"/>
      <c r="F486" s="818"/>
      <c r="G486" s="818"/>
      <c r="H486" s="818"/>
      <c r="I486" s="818"/>
      <c r="J486" s="818"/>
      <c r="K486" s="818"/>
      <c r="L486" s="818"/>
      <c r="M486" s="818"/>
      <c r="N486" s="818"/>
      <c r="O486" s="818"/>
      <c r="P486" s="818"/>
    </row>
    <row r="487" spans="1:16" x14ac:dyDescent="0.2">
      <c r="A487" s="790" t="s">
        <v>673</v>
      </c>
      <c r="B487" s="766" t="s">
        <v>15</v>
      </c>
      <c r="C487" s="838">
        <f>+C488+C492</f>
        <v>0</v>
      </c>
      <c r="D487" s="838">
        <f>+D488+D492</f>
        <v>0</v>
      </c>
      <c r="E487" s="838">
        <f>+E488+E492+E493</f>
        <v>1090576.5794189691</v>
      </c>
      <c r="F487" s="838">
        <f t="shared" ref="F487:I487" si="292">+F488+F492+F493</f>
        <v>1042180.5596707482</v>
      </c>
      <c r="G487" s="838">
        <f t="shared" si="292"/>
        <v>1003806.9864918017</v>
      </c>
      <c r="H487" s="838">
        <f t="shared" si="292"/>
        <v>1030884.507551837</v>
      </c>
      <c r="I487" s="838">
        <f t="shared" si="292"/>
        <v>1033273.0621602314</v>
      </c>
      <c r="J487" s="838">
        <f t="shared" ref="J487:P487" si="293">+J488+J492</f>
        <v>237041.39483074186</v>
      </c>
      <c r="K487" s="838">
        <f t="shared" si="293"/>
        <v>272561.55200634996</v>
      </c>
      <c r="L487" s="838">
        <f t="shared" si="293"/>
        <v>280658.81964281254</v>
      </c>
      <c r="M487" s="838">
        <f t="shared" si="293"/>
        <v>289979.96078042139</v>
      </c>
      <c r="N487" s="838">
        <f t="shared" si="293"/>
        <v>299578.53084982804</v>
      </c>
      <c r="O487" s="838">
        <f t="shared" si="293"/>
        <v>309496.78546357265</v>
      </c>
      <c r="P487" s="838">
        <f t="shared" si="293"/>
        <v>319744.2553712037</v>
      </c>
    </row>
    <row r="488" spans="1:16" x14ac:dyDescent="0.2">
      <c r="A488" s="790" t="s">
        <v>674</v>
      </c>
      <c r="B488" s="766" t="s">
        <v>15</v>
      </c>
      <c r="C488" s="838">
        <f t="shared" ref="C488:P488" si="294">SUM(C37,C45,C55,C69,C93)-C492-C493</f>
        <v>0</v>
      </c>
      <c r="D488" s="838">
        <f t="shared" si="294"/>
        <v>0</v>
      </c>
      <c r="E488" s="838">
        <f t="shared" si="294"/>
        <v>979861.94938752358</v>
      </c>
      <c r="F488" s="838">
        <f t="shared" si="294"/>
        <v>920007.4969835151</v>
      </c>
      <c r="G488" s="838">
        <f t="shared" si="294"/>
        <v>877832.97701059957</v>
      </c>
      <c r="H488" s="838">
        <f t="shared" si="294"/>
        <v>896266.37955245317</v>
      </c>
      <c r="I488" s="838">
        <f t="shared" si="294"/>
        <v>897439.34802824992</v>
      </c>
      <c r="J488" s="838">
        <f t="shared" si="294"/>
        <v>237041.39483074186</v>
      </c>
      <c r="K488" s="838">
        <f t="shared" si="294"/>
        <v>272561.55200634996</v>
      </c>
      <c r="L488" s="838">
        <f t="shared" si="294"/>
        <v>280658.81964281254</v>
      </c>
      <c r="M488" s="838">
        <f t="shared" si="294"/>
        <v>289979.96078042139</v>
      </c>
      <c r="N488" s="838">
        <f t="shared" si="294"/>
        <v>299578.53084982804</v>
      </c>
      <c r="O488" s="838">
        <f t="shared" si="294"/>
        <v>309496.78546357265</v>
      </c>
      <c r="P488" s="838">
        <f t="shared" si="294"/>
        <v>319744.2553712037</v>
      </c>
    </row>
    <row r="489" spans="1:16" s="750" customFormat="1" x14ac:dyDescent="0.2">
      <c r="A489" s="884" t="s">
        <v>600</v>
      </c>
      <c r="B489" s="787"/>
      <c r="C489" s="891">
        <f>+C488</f>
        <v>0</v>
      </c>
      <c r="D489" s="891">
        <f t="shared" ref="D489" si="295">+D488</f>
        <v>0</v>
      </c>
      <c r="E489" s="885">
        <f>+E485</f>
        <v>284215.82862002327</v>
      </c>
      <c r="F489" s="885">
        <f t="shared" ref="F489:I489" si="296">+F485</f>
        <v>390910.37265487714</v>
      </c>
      <c r="G489" s="885">
        <f t="shared" si="296"/>
        <v>491159.5893821597</v>
      </c>
      <c r="H489" s="885">
        <f t="shared" si="296"/>
        <v>591528.60340065917</v>
      </c>
      <c r="I489" s="885">
        <f t="shared" si="296"/>
        <v>695303.21890815848</v>
      </c>
      <c r="J489" s="891">
        <f>+J488</f>
        <v>237041.39483074186</v>
      </c>
      <c r="K489" s="891">
        <f t="shared" ref="K489:P489" si="297">+K488</f>
        <v>272561.55200634996</v>
      </c>
      <c r="L489" s="891">
        <f t="shared" si="297"/>
        <v>280658.81964281254</v>
      </c>
      <c r="M489" s="891">
        <f t="shared" si="297"/>
        <v>289979.96078042139</v>
      </c>
      <c r="N489" s="891">
        <f t="shared" si="297"/>
        <v>299578.53084982804</v>
      </c>
      <c r="O489" s="891">
        <f t="shared" si="297"/>
        <v>309496.78546357265</v>
      </c>
      <c r="P489" s="891">
        <f t="shared" si="297"/>
        <v>319744.2553712037</v>
      </c>
    </row>
    <row r="490" spans="1:16" s="750" customFormat="1" x14ac:dyDescent="0.2">
      <c r="A490" s="884" t="str">
        <f>+[1]Лист1!$B$14</f>
        <v>прибыль, направленная на инвестиции</v>
      </c>
      <c r="B490" s="787"/>
      <c r="C490" s="822"/>
      <c r="D490" s="822"/>
      <c r="E490" s="886">
        <f>+[1]Лист1!H$14</f>
        <v>331223.53290847165</v>
      </c>
      <c r="F490" s="886">
        <f>+[1]Лист1!I$14</f>
        <v>347214.4968193302</v>
      </c>
      <c r="G490" s="886">
        <f>+F490*1.04</f>
        <v>361103.07669210341</v>
      </c>
      <c r="H490" s="885">
        <f>+H488-H489-H493</f>
        <v>232695.93494761013</v>
      </c>
      <c r="I490" s="885">
        <f>+I488-I489-I493</f>
        <v>128878.70178330997</v>
      </c>
      <c r="J490" s="822"/>
      <c r="K490" s="822"/>
      <c r="L490" s="822"/>
      <c r="M490" s="822"/>
      <c r="N490" s="822"/>
      <c r="O490" s="822"/>
      <c r="P490" s="822"/>
    </row>
    <row r="491" spans="1:16" s="750" customFormat="1" x14ac:dyDescent="0.2">
      <c r="A491" s="884" t="str">
        <f>+[1]Лист1!$B$20</f>
        <v>прочие привлеченные средства</v>
      </c>
      <c r="B491" s="787"/>
      <c r="C491" s="822"/>
      <c r="D491" s="822"/>
      <c r="E491" s="885">
        <f>+E488-E489-E490-E493</f>
        <v>316284.24462278304</v>
      </c>
      <c r="F491" s="885">
        <f>+F488-F489-F490-F493</f>
        <v>122285.85161727462</v>
      </c>
      <c r="G491" s="885">
        <f>+G488-G489-G490-G493</f>
        <v>-37827.411749665691</v>
      </c>
      <c r="H491" s="822"/>
      <c r="I491" s="822"/>
      <c r="J491" s="822"/>
      <c r="K491" s="822"/>
      <c r="L491" s="822"/>
      <c r="M491" s="822"/>
      <c r="N491" s="822"/>
      <c r="O491" s="822"/>
      <c r="P491" s="822"/>
    </row>
    <row r="492" spans="1:16" x14ac:dyDescent="0.2">
      <c r="A492" s="790" t="s">
        <v>706</v>
      </c>
      <c r="B492" s="766" t="s">
        <v>15</v>
      </c>
      <c r="C492" s="818"/>
      <c r="D492" s="818"/>
      <c r="E492" s="839">
        <f>+[1]Лист1!$H$22</f>
        <v>62576.286795200002</v>
      </c>
      <c r="F492" s="839">
        <f>+[1]Лист1!$H$22</f>
        <v>62576.286795200002</v>
      </c>
      <c r="G492" s="839">
        <f>+[1]Лист1!$H$22</f>
        <v>62576.286795200002</v>
      </c>
      <c r="H492" s="839">
        <f>+[1]Лист1!$H$22</f>
        <v>62576.286795200002</v>
      </c>
      <c r="I492" s="839">
        <f>+[1]Лист1!$H$22</f>
        <v>62576.286795200002</v>
      </c>
      <c r="J492" s="818"/>
      <c r="K492" s="818"/>
      <c r="L492" s="818"/>
      <c r="M492" s="818"/>
      <c r="N492" s="818"/>
      <c r="O492" s="818"/>
      <c r="P492" s="818"/>
    </row>
    <row r="493" spans="1:16" s="750" customFormat="1" ht="22.5" x14ac:dyDescent="0.2">
      <c r="A493" s="908" t="s">
        <v>721</v>
      </c>
      <c r="B493" s="787"/>
      <c r="C493" s="822"/>
      <c r="D493" s="822"/>
      <c r="E493" s="886">
        <f>+[1]Лист1!H$15</f>
        <v>48138.343236245571</v>
      </c>
      <c r="F493" s="886">
        <f>+[1]Лист1!I$15</f>
        <v>59596.77589203314</v>
      </c>
      <c r="G493" s="886">
        <f>+[1]Лист1!J$15</f>
        <v>63397.722686002155</v>
      </c>
      <c r="H493" s="886">
        <f>+[1]Лист1!K$15</f>
        <v>72041.841204183889</v>
      </c>
      <c r="I493" s="886">
        <f>+[1]Лист1!L$15</f>
        <v>73257.427336781475</v>
      </c>
      <c r="J493" s="822"/>
      <c r="K493" s="822"/>
      <c r="L493" s="822"/>
      <c r="M493" s="822"/>
      <c r="N493" s="822"/>
      <c r="O493" s="822"/>
      <c r="P493" s="822"/>
    </row>
    <row r="494" spans="1:16" x14ac:dyDescent="0.2">
      <c r="A494" s="790"/>
      <c r="B494" s="757"/>
      <c r="C494" s="818"/>
      <c r="D494" s="818"/>
      <c r="E494" s="881">
        <v>1</v>
      </c>
      <c r="F494" s="881">
        <v>2</v>
      </c>
      <c r="G494" s="881">
        <v>3</v>
      </c>
      <c r="H494" s="881">
        <v>4</v>
      </c>
      <c r="I494" s="881">
        <v>5</v>
      </c>
      <c r="J494" s="881">
        <v>6</v>
      </c>
      <c r="K494" s="881">
        <v>7</v>
      </c>
      <c r="L494" s="881">
        <v>8</v>
      </c>
      <c r="M494" s="881">
        <v>9</v>
      </c>
      <c r="N494" s="881">
        <v>10</v>
      </c>
      <c r="O494" s="881">
        <v>11</v>
      </c>
      <c r="P494" s="881">
        <v>12</v>
      </c>
    </row>
    <row r="495" spans="1:16" x14ac:dyDescent="0.2">
      <c r="A495" s="781" t="s">
        <v>134</v>
      </c>
      <c r="B495" s="766" t="s">
        <v>15</v>
      </c>
      <c r="C495" s="841">
        <f>C484+C485-C488</f>
        <v>-429925.39690859138</v>
      </c>
      <c r="D495" s="841">
        <f t="shared" ref="D495:P495" si="298">D484+D485-D488</f>
        <v>-429404.39209347381</v>
      </c>
      <c r="E495" s="841">
        <f t="shared" si="298"/>
        <v>-1163322.241522532</v>
      </c>
      <c r="F495" s="841">
        <f t="shared" si="298"/>
        <v>-780469.63956805551</v>
      </c>
      <c r="G495" s="841">
        <f t="shared" si="298"/>
        <v>-327951.75612605619</v>
      </c>
      <c r="H495" s="841">
        <f t="shared" si="298"/>
        <v>-24153.708956712391</v>
      </c>
      <c r="I495" s="841">
        <f t="shared" si="298"/>
        <v>370801.4162141626</v>
      </c>
      <c r="J495" s="841">
        <f t="shared" si="298"/>
        <v>1090298.1836340437</v>
      </c>
      <c r="K495" s="841">
        <f t="shared" si="298"/>
        <v>1016233.3722247162</v>
      </c>
      <c r="L495" s="841">
        <f t="shared" si="298"/>
        <v>952843.18714934262</v>
      </c>
      <c r="M495" s="841">
        <f t="shared" si="298"/>
        <v>842019.45268011547</v>
      </c>
      <c r="N495" s="841">
        <f t="shared" si="298"/>
        <v>725032.95115747862</v>
      </c>
      <c r="O495" s="841">
        <f t="shared" si="298"/>
        <v>654310.71217608685</v>
      </c>
      <c r="P495" s="841">
        <f t="shared" si="298"/>
        <v>618690.16526325676</v>
      </c>
    </row>
    <row r="496" spans="1:16" x14ac:dyDescent="0.2">
      <c r="A496" s="791" t="s">
        <v>135</v>
      </c>
      <c r="B496" s="792" t="str">
        <f>B495</f>
        <v>тыс. руб.</v>
      </c>
      <c r="C496" s="845">
        <f>C495</f>
        <v>-429925.39690859138</v>
      </c>
      <c r="D496" s="845">
        <f>C496+D495</f>
        <v>-859329.7890020652</v>
      </c>
      <c r="E496" s="845">
        <f t="shared" ref="E496:P496" si="299">D496+E495</f>
        <v>-2022652.030524597</v>
      </c>
      <c r="F496" s="845">
        <f t="shared" si="299"/>
        <v>-2803121.6700926526</v>
      </c>
      <c r="G496" s="845">
        <f t="shared" si="299"/>
        <v>-3131073.426218709</v>
      </c>
      <c r="H496" s="845">
        <f t="shared" si="299"/>
        <v>-3155227.1351754214</v>
      </c>
      <c r="I496" s="845">
        <f t="shared" si="299"/>
        <v>-2784425.7189612589</v>
      </c>
      <c r="J496" s="845">
        <f t="shared" si="299"/>
        <v>-1694127.5353272152</v>
      </c>
      <c r="K496" s="845">
        <f t="shared" si="299"/>
        <v>-677894.16310249898</v>
      </c>
      <c r="L496" s="845">
        <f t="shared" si="299"/>
        <v>274949.02404684364</v>
      </c>
      <c r="M496" s="845">
        <f t="shared" si="299"/>
        <v>1116968.476726959</v>
      </c>
      <c r="N496" s="845">
        <f t="shared" si="299"/>
        <v>1842001.4278844376</v>
      </c>
      <c r="O496" s="845">
        <f t="shared" si="299"/>
        <v>2496312.1400605245</v>
      </c>
      <c r="P496" s="845">
        <f t="shared" si="299"/>
        <v>3115002.3053237814</v>
      </c>
    </row>
    <row r="497" spans="1:16" x14ac:dyDescent="0.2">
      <c r="A497" s="791" t="s">
        <v>256</v>
      </c>
      <c r="B497" s="792" t="s">
        <v>88</v>
      </c>
      <c r="C497" s="882" t="str">
        <f>IF(C496&lt;0,"нет",IF(C496&gt;0,C$494,0))</f>
        <v>нет</v>
      </c>
      <c r="D497" s="882" t="str">
        <f t="shared" ref="D497:P497" si="300">IF(D496&lt;0,"нет",IF(D496&gt;0,D$494,0))</f>
        <v>нет</v>
      </c>
      <c r="E497" s="882" t="str">
        <f t="shared" si="300"/>
        <v>нет</v>
      </c>
      <c r="F497" s="882" t="str">
        <f t="shared" si="300"/>
        <v>нет</v>
      </c>
      <c r="G497" s="882" t="str">
        <f t="shared" si="300"/>
        <v>нет</v>
      </c>
      <c r="H497" s="882" t="str">
        <f t="shared" si="300"/>
        <v>нет</v>
      </c>
      <c r="I497" s="882" t="str">
        <f t="shared" si="300"/>
        <v>нет</v>
      </c>
      <c r="J497" s="882" t="str">
        <f t="shared" si="300"/>
        <v>нет</v>
      </c>
      <c r="K497" s="882" t="str">
        <f t="shared" si="300"/>
        <v>нет</v>
      </c>
      <c r="L497" s="882">
        <f t="shared" si="300"/>
        <v>8</v>
      </c>
      <c r="M497" s="882">
        <f t="shared" si="300"/>
        <v>9</v>
      </c>
      <c r="N497" s="882">
        <f t="shared" si="300"/>
        <v>10</v>
      </c>
      <c r="O497" s="882">
        <f t="shared" si="300"/>
        <v>11</v>
      </c>
      <c r="P497" s="882">
        <f t="shared" si="300"/>
        <v>12</v>
      </c>
    </row>
    <row r="498" spans="1:16" x14ac:dyDescent="0.2">
      <c r="A498" s="791"/>
      <c r="B498" s="792"/>
      <c r="C498" s="826"/>
      <c r="D498" s="826"/>
      <c r="E498" s="826"/>
      <c r="F498" s="826"/>
      <c r="G498" s="815"/>
      <c r="H498" s="815"/>
      <c r="I498" s="815"/>
      <c r="J498" s="815"/>
      <c r="K498" s="815"/>
      <c r="L498" s="815"/>
      <c r="M498" s="815"/>
      <c r="N498" s="815"/>
      <c r="O498" s="815"/>
      <c r="P498" s="815"/>
    </row>
    <row r="499" spans="1:16" s="750" customFormat="1" x14ac:dyDescent="0.2">
      <c r="A499" s="836" t="s">
        <v>27</v>
      </c>
      <c r="B499" s="786"/>
      <c r="C499" s="837">
        <f>+'[2]СВОД 1 В СВОД'!F$632</f>
        <v>1</v>
      </c>
      <c r="D499" s="837">
        <f>+'[2]СВОД 1 В СВОД'!G$632</f>
        <v>0.89285714285714279</v>
      </c>
      <c r="E499" s="837">
        <f>+'[2]СВОД 1 В СВОД'!H$632</f>
        <v>0.79719387755102034</v>
      </c>
      <c r="F499" s="837">
        <f>+'[2]СВОД 1 В СВОД'!I$632</f>
        <v>0.71178024781341087</v>
      </c>
      <c r="G499" s="837">
        <f>+'[2]СВОД 1 В СВОД'!J$632</f>
        <v>0.63551807840483121</v>
      </c>
      <c r="H499" s="837">
        <f>+'[2]СВОД 1 В СВОД'!K$632</f>
        <v>0.56742685571859919</v>
      </c>
      <c r="I499" s="837">
        <f>+'[2]СВОД 1 В СВОД'!L$632</f>
        <v>0.50663112117732068</v>
      </c>
      <c r="J499" s="837">
        <f>+'[2]СВОД 1 В СВОД'!M$632</f>
        <v>0.45234921533689343</v>
      </c>
      <c r="K499" s="837">
        <f>+'[2]СВОД 1 В СВОД'!N$632</f>
        <v>0.4038832279793691</v>
      </c>
      <c r="L499" s="837">
        <f>+'[2]СВОД 1 В СВОД'!O$632</f>
        <v>0.36061002498157957</v>
      </c>
      <c r="M499" s="837">
        <f>+'[2]СВОД 1 В СВОД'!P$632</f>
        <v>0.32197323659069599</v>
      </c>
      <c r="N499" s="837">
        <f>+'[2]СВОД 1 В СВОД'!Q$632</f>
        <v>0.28747610409883567</v>
      </c>
      <c r="O499" s="837">
        <f>+'[2]СВОД 1 В СВОД'!R$632</f>
        <v>0.25667509294538904</v>
      </c>
      <c r="P499" s="837">
        <f>+'[2]СВОД 1 В СВОД'!S$632</f>
        <v>0.22917419012981158</v>
      </c>
    </row>
    <row r="500" spans="1:16" x14ac:dyDescent="0.2">
      <c r="A500" s="781" t="s">
        <v>136</v>
      </c>
      <c r="B500" s="766" t="s">
        <v>15</v>
      </c>
      <c r="C500" s="841">
        <f>C495*C499</f>
        <v>-429925.39690859138</v>
      </c>
      <c r="D500" s="841">
        <f>D495*D499</f>
        <v>-383396.77865488728</v>
      </c>
      <c r="E500" s="841">
        <f>E495*E499</f>
        <v>-927393.36856069183</v>
      </c>
      <c r="F500" s="841">
        <f>F495*F499</f>
        <v>-555522.873462594</v>
      </c>
      <c r="G500" s="841">
        <f>G495*G499</f>
        <v>-208419.26986272106</v>
      </c>
      <c r="H500" s="841">
        <f t="shared" ref="H500:P500" si="301">H495*H499</f>
        <v>-13705.463127249479</v>
      </c>
      <c r="I500" s="841">
        <f t="shared" si="301"/>
        <v>187859.53723071952</v>
      </c>
      <c r="J500" s="841">
        <f t="shared" si="301"/>
        <v>493195.52785009978</v>
      </c>
      <c r="K500" s="841">
        <f t="shared" si="301"/>
        <v>410439.6147544781</v>
      </c>
      <c r="L500" s="841">
        <f>L495*L499</f>
        <v>343604.80552145233</v>
      </c>
      <c r="M500" s="841">
        <f t="shared" si="301"/>
        <v>271107.72845174314</v>
      </c>
      <c r="N500" s="841">
        <f t="shared" si="301"/>
        <v>208429.64814203337</v>
      </c>
      <c r="O500" s="841">
        <f t="shared" si="301"/>
        <v>167945.26286296078</v>
      </c>
      <c r="P500" s="841">
        <f t="shared" si="301"/>
        <v>141787.81756548616</v>
      </c>
    </row>
    <row r="501" spans="1:16" x14ac:dyDescent="0.2">
      <c r="A501" s="791" t="s">
        <v>135</v>
      </c>
      <c r="B501" s="792" t="str">
        <f>B500</f>
        <v>тыс. руб.</v>
      </c>
      <c r="C501" s="845">
        <f>C500</f>
        <v>-429925.39690859138</v>
      </c>
      <c r="D501" s="845">
        <f>C501+D500</f>
        <v>-813322.17556347861</v>
      </c>
      <c r="E501" s="845">
        <f>D501+E500</f>
        <v>-1740715.5441241704</v>
      </c>
      <c r="F501" s="845">
        <f>E501+F500</f>
        <v>-2296238.4175867643</v>
      </c>
      <c r="G501" s="845">
        <f>F501+G500</f>
        <v>-2504657.6874494855</v>
      </c>
      <c r="H501" s="845">
        <f t="shared" ref="H501:P501" si="302">G501+H500</f>
        <v>-2518363.1505767349</v>
      </c>
      <c r="I501" s="845">
        <f t="shared" si="302"/>
        <v>-2330503.6133460156</v>
      </c>
      <c r="J501" s="845">
        <f t="shared" si="302"/>
        <v>-1837308.0854959157</v>
      </c>
      <c r="K501" s="845">
        <f t="shared" si="302"/>
        <v>-1426868.4707414377</v>
      </c>
      <c r="L501" s="845">
        <f t="shared" si="302"/>
        <v>-1083263.6652199854</v>
      </c>
      <c r="M501" s="845">
        <f t="shared" si="302"/>
        <v>-812155.93676824227</v>
      </c>
      <c r="N501" s="845">
        <f t="shared" si="302"/>
        <v>-603726.2886262089</v>
      </c>
      <c r="O501" s="845">
        <f t="shared" si="302"/>
        <v>-435781.02576324809</v>
      </c>
      <c r="P501" s="845">
        <f t="shared" si="302"/>
        <v>-293993.20819776191</v>
      </c>
    </row>
    <row r="502" spans="1:16" x14ac:dyDescent="0.2">
      <c r="A502" s="791" t="s">
        <v>256</v>
      </c>
      <c r="B502" s="792" t="s">
        <v>88</v>
      </c>
      <c r="C502" s="883" t="str">
        <f>IF(C501&lt;0,"нет",IF(AND(C501&gt;0,#REF!="нет"),C494,0))</f>
        <v>нет</v>
      </c>
      <c r="D502" s="883" t="str">
        <f t="shared" ref="D502" si="303">IF(D501&lt;0,"нет",IF(AND(D501&gt;0,C502="нет"),D494,0))</f>
        <v>нет</v>
      </c>
      <c r="E502" s="883" t="str">
        <f t="shared" ref="E502" si="304">IF(E501&lt;0,"нет",IF(AND(E501&gt;0,D502="нет"),E494,0))</f>
        <v>нет</v>
      </c>
      <c r="F502" s="883" t="str">
        <f t="shared" ref="F502" si="305">IF(F501&lt;0,"нет",IF(AND(F501&gt;0,E502="нет"),F494,0))</f>
        <v>нет</v>
      </c>
      <c r="G502" s="883" t="str">
        <f t="shared" ref="G502" si="306">IF(G501&lt;0,"нет",IF(AND(G501&gt;0,F502="нет"),G494,0))</f>
        <v>нет</v>
      </c>
      <c r="H502" s="883" t="str">
        <f t="shared" ref="H502" si="307">IF(H501&lt;0,"нет",IF(AND(H501&gt;0,G502="нет"),H494,0))</f>
        <v>нет</v>
      </c>
      <c r="I502" s="883" t="str">
        <f t="shared" ref="I502" si="308">IF(I501&lt;0,"нет",IF(AND(I501&gt;0,H502="нет"),I494,0))</f>
        <v>нет</v>
      </c>
      <c r="J502" s="883" t="str">
        <f t="shared" ref="J502" si="309">IF(J501&lt;0,"нет",IF(AND(J501&gt;0,I502="нет"),J494,0))</f>
        <v>нет</v>
      </c>
      <c r="K502" s="883" t="str">
        <f t="shared" ref="K502" si="310">IF(K501&lt;0,"нет",IF(AND(K501&gt;0,J502="нет"),K494,0))</f>
        <v>нет</v>
      </c>
      <c r="L502" s="883" t="str">
        <f t="shared" ref="L502" si="311">IF(L501&lt;0,"нет",IF(AND(L501&gt;0,K502="нет"),L494,0))</f>
        <v>нет</v>
      </c>
      <c r="M502" s="883" t="str">
        <f t="shared" ref="M502" si="312">IF(M501&lt;0,"нет",IF(AND(M501&gt;0,L502="нет"),M494,0))</f>
        <v>нет</v>
      </c>
      <c r="N502" s="883" t="str">
        <f t="shared" ref="N502" si="313">IF(N501&lt;0,"нет",IF(AND(N501&gt;0,M502="нет"),N494,0))</f>
        <v>нет</v>
      </c>
      <c r="O502" s="883" t="str">
        <f t="shared" ref="O502" si="314">IF(O501&lt;0,"нет",IF(AND(O501&gt;0,N502="нет"),O494,0))</f>
        <v>нет</v>
      </c>
      <c r="P502" s="883" t="str">
        <f t="shared" ref="P502" si="315">IF(P501&lt;0,"нет",IF(AND(P501&gt;0,O502="нет"),P494,0))</f>
        <v>нет</v>
      </c>
    </row>
    <row r="503" spans="1:16" ht="12" thickBot="1" x14ac:dyDescent="0.25">
      <c r="A503" s="762"/>
      <c r="B503" s="762"/>
      <c r="C503" s="903"/>
      <c r="D503" s="815"/>
      <c r="E503" s="815"/>
      <c r="F503" s="815"/>
      <c r="G503" s="815"/>
      <c r="H503" s="815"/>
      <c r="I503" s="815"/>
      <c r="J503" s="815"/>
      <c r="K503" s="815"/>
      <c r="L503" s="815"/>
      <c r="M503" s="815"/>
      <c r="N503" s="815"/>
      <c r="O503" s="815"/>
      <c r="P503" s="815"/>
    </row>
    <row r="504" spans="1:16" ht="12" thickBot="1" x14ac:dyDescent="0.25">
      <c r="A504" s="793" t="s">
        <v>137</v>
      </c>
      <c r="B504" s="901" t="s">
        <v>15</v>
      </c>
      <c r="C504" s="906">
        <f>SUM(C500:P500)</f>
        <v>-293993.20819776191</v>
      </c>
      <c r="D504" s="902"/>
      <c r="E504" s="814"/>
      <c r="F504" s="814"/>
      <c r="G504" s="814"/>
      <c r="H504" s="814"/>
      <c r="I504" s="814"/>
      <c r="J504" s="814"/>
      <c r="K504" s="814"/>
      <c r="L504" s="814"/>
      <c r="M504" s="814"/>
      <c r="N504" s="814"/>
      <c r="O504" s="814"/>
      <c r="P504" s="814"/>
    </row>
    <row r="505" spans="1:16" ht="12" thickBot="1" x14ac:dyDescent="0.25">
      <c r="A505" s="793" t="s">
        <v>138</v>
      </c>
      <c r="B505" s="904" t="s">
        <v>88</v>
      </c>
      <c r="C505" s="906">
        <f>MIN(C497:P497)</f>
        <v>8</v>
      </c>
      <c r="D505" s="902"/>
      <c r="E505" s="814"/>
      <c r="F505" s="814"/>
      <c r="G505" s="814"/>
      <c r="H505" s="814"/>
      <c r="I505" s="814"/>
      <c r="J505" s="814"/>
      <c r="K505" s="814"/>
      <c r="L505" s="814"/>
      <c r="M505" s="814"/>
      <c r="N505" s="814"/>
      <c r="O505" s="814"/>
      <c r="P505" s="814"/>
    </row>
    <row r="506" spans="1:16" ht="12" thickBot="1" x14ac:dyDescent="0.25">
      <c r="A506" s="793" t="s">
        <v>139</v>
      </c>
      <c r="B506" s="904" t="s">
        <v>88</v>
      </c>
      <c r="C506" s="906">
        <f>MIN(C502:P502)</f>
        <v>0</v>
      </c>
      <c r="D506" s="902"/>
      <c r="E506" s="814"/>
      <c r="F506" s="814"/>
      <c r="G506" s="814"/>
      <c r="H506" s="814"/>
      <c r="I506" s="814"/>
      <c r="J506" s="814"/>
      <c r="K506" s="814"/>
      <c r="L506" s="814"/>
      <c r="M506" s="814"/>
      <c r="N506" s="814"/>
      <c r="O506" s="814"/>
      <c r="P506" s="814"/>
    </row>
    <row r="507" spans="1:16" ht="12" thickBot="1" x14ac:dyDescent="0.25">
      <c r="A507" s="793" t="s">
        <v>140</v>
      </c>
      <c r="B507" s="904" t="s">
        <v>29</v>
      </c>
      <c r="C507" s="907">
        <f>IRR(C495:P495)</f>
        <v>0.10037946160788414</v>
      </c>
      <c r="D507" s="902"/>
      <c r="E507" s="814"/>
      <c r="F507" s="814"/>
      <c r="G507" s="814"/>
      <c r="H507" s="814"/>
      <c r="I507" s="814"/>
      <c r="J507" s="814"/>
      <c r="K507" s="814"/>
      <c r="L507" s="814"/>
      <c r="M507" s="814"/>
      <c r="N507" s="814"/>
      <c r="O507" s="814"/>
      <c r="P507" s="814"/>
    </row>
    <row r="508" spans="1:16" x14ac:dyDescent="0.2">
      <c r="A508" s="794"/>
      <c r="B508" s="762"/>
      <c r="C508" s="905"/>
      <c r="D508" s="815"/>
      <c r="E508" s="815"/>
      <c r="F508" s="815"/>
      <c r="G508" s="815"/>
      <c r="H508" s="815"/>
      <c r="I508" s="815"/>
      <c r="J508" s="815"/>
      <c r="K508" s="815"/>
      <c r="L508" s="815"/>
      <c r="M508" s="815"/>
      <c r="N508" s="815"/>
      <c r="O508" s="815"/>
      <c r="P508" s="815"/>
    </row>
    <row r="509" spans="1:16" s="797" customFormat="1" hidden="1" outlineLevel="1" x14ac:dyDescent="0.2">
      <c r="A509" s="795" t="s">
        <v>254</v>
      </c>
      <c r="B509" s="796"/>
      <c r="C509" s="827"/>
      <c r="D509" s="827"/>
      <c r="E509" s="827"/>
      <c r="F509" s="827"/>
      <c r="G509" s="827"/>
      <c r="H509" s="827"/>
      <c r="I509" s="827"/>
      <c r="J509" s="827"/>
      <c r="K509" s="827"/>
      <c r="L509" s="827"/>
      <c r="M509" s="827"/>
      <c r="N509" s="827"/>
      <c r="O509" s="827"/>
      <c r="P509" s="827"/>
    </row>
    <row r="510" spans="1:16" s="797" customFormat="1" hidden="1" outlineLevel="1" x14ac:dyDescent="0.2">
      <c r="A510" s="798"/>
      <c r="B510" s="798"/>
      <c r="C510" s="827"/>
      <c r="D510" s="827"/>
      <c r="E510" s="827"/>
      <c r="F510" s="827"/>
      <c r="G510" s="827"/>
      <c r="H510" s="827"/>
      <c r="I510" s="827"/>
      <c r="J510" s="827"/>
      <c r="K510" s="827"/>
      <c r="L510" s="827"/>
      <c r="M510" s="827"/>
      <c r="N510" s="827"/>
      <c r="O510" s="827"/>
      <c r="P510" s="827"/>
    </row>
    <row r="511" spans="1:16" s="797" customFormat="1" hidden="1" outlineLevel="1" x14ac:dyDescent="0.2">
      <c r="A511" s="799" t="s">
        <v>113</v>
      </c>
      <c r="B511" s="800" t="s">
        <v>15</v>
      </c>
      <c r="C511" s="828">
        <f>SUM(C512:C518)</f>
        <v>194153.79518249774</v>
      </c>
      <c r="D511" s="828">
        <f t="shared" ref="D511:P511" si="316">SUM(D512:D518)</f>
        <v>232497.49213757779</v>
      </c>
      <c r="E511" s="828">
        <f t="shared" si="316"/>
        <v>271619.35806101747</v>
      </c>
      <c r="F511" s="828">
        <f t="shared" si="316"/>
        <v>381501.25681845238</v>
      </c>
      <c r="G511" s="828">
        <f t="shared" si="316"/>
        <v>479060.66911056585</v>
      </c>
      <c r="H511" s="828">
        <f t="shared" si="316"/>
        <v>576356.82546564844</v>
      </c>
      <c r="I511" s="828">
        <f t="shared" si="316"/>
        <v>673567.61179619469</v>
      </c>
      <c r="J511" s="828">
        <f t="shared" si="316"/>
        <v>754776.54627043905</v>
      </c>
      <c r="K511" s="828">
        <f t="shared" si="316"/>
        <v>765137.07954351057</v>
      </c>
      <c r="L511" s="828">
        <f t="shared" si="316"/>
        <v>778350.9343524389</v>
      </c>
      <c r="M511" s="828">
        <f t="shared" si="316"/>
        <v>791927.60666770663</v>
      </c>
      <c r="N511" s="828">
        <f t="shared" si="316"/>
        <v>805967.1205490923</v>
      </c>
      <c r="O511" s="828">
        <f t="shared" si="316"/>
        <v>820482.22528190748</v>
      </c>
      <c r="P511" s="828">
        <f t="shared" si="316"/>
        <v>789038.03213837417</v>
      </c>
    </row>
    <row r="512" spans="1:16" s="797" customFormat="1" hidden="1" outlineLevel="1" x14ac:dyDescent="0.2">
      <c r="A512" s="801" t="s">
        <v>141</v>
      </c>
      <c r="B512" s="802" t="s">
        <v>15</v>
      </c>
      <c r="C512" s="829">
        <v>0</v>
      </c>
      <c r="D512" s="829">
        <v>0</v>
      </c>
      <c r="E512" s="829">
        <v>0</v>
      </c>
      <c r="F512" s="829">
        <v>0</v>
      </c>
      <c r="G512" s="829">
        <v>0</v>
      </c>
      <c r="H512" s="829">
        <v>0</v>
      </c>
      <c r="I512" s="829">
        <v>0</v>
      </c>
      <c r="J512" s="829">
        <v>0</v>
      </c>
      <c r="K512" s="829">
        <v>0</v>
      </c>
      <c r="L512" s="829">
        <v>0</v>
      </c>
      <c r="M512" s="829">
        <v>0</v>
      </c>
      <c r="N512" s="829">
        <v>0</v>
      </c>
      <c r="O512" s="829">
        <v>0</v>
      </c>
      <c r="P512" s="829">
        <v>0</v>
      </c>
    </row>
    <row r="513" spans="1:16" s="797" customFormat="1" hidden="1" outlineLevel="1" x14ac:dyDescent="0.2">
      <c r="A513" s="801" t="s">
        <v>342</v>
      </c>
      <c r="B513" s="802" t="s">
        <v>15</v>
      </c>
      <c r="C513" s="829">
        <f>+'ТЭЦ-1'!C133</f>
        <v>10118.323410437441</v>
      </c>
      <c r="D513" s="829">
        <f>+'ТЭЦ-1'!D133</f>
        <v>9896.3162456164737</v>
      </c>
      <c r="E513" s="829">
        <f>+'ТЭЦ-1'!E133</f>
        <v>9933.74798606285</v>
      </c>
      <c r="F513" s="829">
        <f>+'ТЭЦ-1'!F133</f>
        <v>11078.655926509226</v>
      </c>
      <c r="G513" s="829">
        <f>+'ТЭЦ-1'!G133</f>
        <v>12930.363066955602</v>
      </c>
      <c r="H513" s="829">
        <f>+'ТЭЦ-1'!H133</f>
        <v>15974.568207401979</v>
      </c>
      <c r="I513" s="829">
        <f>+'ТЭЦ-1'!I133</f>
        <v>18562.964947848355</v>
      </c>
      <c r="J513" s="829">
        <f>+'ТЭЦ-1'!J133</f>
        <v>19197.689866160817</v>
      </c>
      <c r="K513" s="829">
        <f>+'ТЭЦ-1'!K133</f>
        <v>19414.992404259796</v>
      </c>
      <c r="L513" s="829">
        <f>+'ТЭЦ-1'!L133</f>
        <v>19651.336689908145</v>
      </c>
      <c r="M513" s="829">
        <f>+'ТЭЦ-1'!M133</f>
        <v>19894.200051699467</v>
      </c>
      <c r="N513" s="829">
        <f>+'ТЭЦ-1'!N133</f>
        <v>20144.15374206024</v>
      </c>
      <c r="O513" s="829">
        <f>+'ТЭЦ-1'!O133</f>
        <v>20401.393333274751</v>
      </c>
      <c r="P513" s="829">
        <f>+'ТЭЦ-1'!P133</f>
        <v>9505.0036167133658</v>
      </c>
    </row>
    <row r="514" spans="1:16" s="797" customFormat="1" hidden="1" outlineLevel="1" x14ac:dyDescent="0.2">
      <c r="A514" s="801" t="s">
        <v>343</v>
      </c>
      <c r="B514" s="802" t="s">
        <v>15</v>
      </c>
      <c r="C514" s="829">
        <f>+'ТЭЦ-3'!C149+'ТЭЦ-3'!C154</f>
        <v>895.75802657569011</v>
      </c>
      <c r="D514" s="829">
        <f>+'ТЭЦ-3'!D149+'ТЭЦ-3'!D154</f>
        <v>1006.8900661141939</v>
      </c>
      <c r="E514" s="829">
        <f>+'ТЭЦ-3'!E149+'ТЭЦ-3'!E154</f>
        <v>1049.7470878394524</v>
      </c>
      <c r="F514" s="829">
        <f>+'ТЭЦ-3'!F149+'ТЭЦ-3'!F154</f>
        <v>1077.0396010361476</v>
      </c>
      <c r="G514" s="829">
        <f>+'ТЭЦ-3'!G149+'ТЭЦ-3'!G154</f>
        <v>1097.9828371865344</v>
      </c>
      <c r="H514" s="829">
        <f>+'ТЭЦ-3'!H149+'ТЭЦ-3'!H154</f>
        <v>1118.1921447395971</v>
      </c>
      <c r="I514" s="829">
        <f>+'ТЭЦ-3'!I149+'ТЭЦ-3'!I154</f>
        <v>1148.1586793225524</v>
      </c>
      <c r="J514" s="829">
        <f>+'ТЭЦ-3'!J149+'ТЭЦ-3'!J154</f>
        <v>1167.0403192762631</v>
      </c>
      <c r="K514" s="829">
        <f>+'ТЭЦ-3'!K149+'ТЭЦ-3'!K154</f>
        <v>1204.6851834269794</v>
      </c>
      <c r="L514" s="829">
        <f>+'ТЭЦ-3'!L149+'ТЭЦ-3'!L154</f>
        <v>1256.0980487975539</v>
      </c>
      <c r="M514" s="829">
        <f>+'ТЭЦ-3'!M149+'ТЭЦ-3'!M154</f>
        <v>1308.9955164563073</v>
      </c>
      <c r="N514" s="829">
        <f>+'ТЭЦ-3'!N149+'ТЭЦ-3'!N154</f>
        <v>1364.0677483101992</v>
      </c>
      <c r="O514" s="829">
        <f>+'ТЭЦ-3'!O149+'ТЭЦ-3'!O154</f>
        <v>1421.4034511963987</v>
      </c>
      <c r="P514" s="829">
        <f>+'ТЭЦ-3'!P149+'ТЭЦ-3'!P154</f>
        <v>1481.0949295652101</v>
      </c>
    </row>
    <row r="515" spans="1:16" s="797" customFormat="1" hidden="1" outlineLevel="1" x14ac:dyDescent="0.2">
      <c r="A515" s="801" t="s">
        <v>344</v>
      </c>
      <c r="B515" s="802" t="s">
        <v>15</v>
      </c>
      <c r="C515" s="829">
        <f>+'ТЭЦ-4'!C160+'ТЭЦ-4'!C155</f>
        <v>1561.8045374707144</v>
      </c>
      <c r="D515" s="829">
        <f>+'ТЭЦ-4'!D160+'ТЭЦ-4'!D155</f>
        <v>3041.775944793204</v>
      </c>
      <c r="E515" s="829">
        <f>+'ТЭЦ-4'!E160+'ТЭЦ-4'!E155</f>
        <v>3163.4469825849324</v>
      </c>
      <c r="F515" s="829">
        <f>+'ТЭЦ-4'!F160+'ТЭЦ-4'!F155</f>
        <v>3289.9848618883298</v>
      </c>
      <c r="G515" s="829">
        <f>+'ТЭЦ-4'!G160+'ТЭЦ-4'!G155</f>
        <v>3421.584256363863</v>
      </c>
      <c r="H515" s="829">
        <f>+'ТЭЦ-4'!H160+'ТЭЦ-4'!H155</f>
        <v>3558.4476266184179</v>
      </c>
      <c r="I515" s="829">
        <f>+'ТЭЦ-4'!I160+'ТЭЦ-4'!I155</f>
        <v>3700.7855316831547</v>
      </c>
      <c r="J515" s="829">
        <f>+'ТЭЦ-4'!J160+'ТЭЦ-4'!J155</f>
        <v>3848.8169529504808</v>
      </c>
      <c r="K515" s="829">
        <f>+'ТЭЦ-4'!K160+'ТЭЦ-4'!K155</f>
        <v>4002.7696310685001</v>
      </c>
      <c r="L515" s="829">
        <f>+'ТЭЦ-4'!L160+'ТЭЦ-4'!L155</f>
        <v>4162.88041631124</v>
      </c>
      <c r="M515" s="829">
        <f>+'ТЭЦ-4'!M160+'ТЭЦ-4'!M155</f>
        <v>4329.3956329636894</v>
      </c>
      <c r="N515" s="829">
        <f>+'ТЭЦ-4'!N160+'ТЭЦ-4'!N155</f>
        <v>4502.5714582822375</v>
      </c>
      <c r="O515" s="829">
        <f>+'ТЭЦ-4'!O160+'ТЭЦ-4'!O155</f>
        <v>4682.6743166135275</v>
      </c>
      <c r="P515" s="829">
        <f>+'ТЭЦ-4'!P160+'ТЭЦ-4'!P155</f>
        <v>4869.9812892780692</v>
      </c>
    </row>
    <row r="516" spans="1:16" s="797" customFormat="1" hidden="1" outlineLevel="1" x14ac:dyDescent="0.2">
      <c r="A516" s="801" t="s">
        <v>345</v>
      </c>
      <c r="B516" s="802" t="s">
        <v>15</v>
      </c>
      <c r="C516" s="829">
        <f>+Кот.!C274+Кот.!C278</f>
        <v>5304.9187751215877</v>
      </c>
      <c r="D516" s="829">
        <f>+Кот.!D274+Кот.!D278</f>
        <v>7455.5695208766647</v>
      </c>
      <c r="E516" s="829">
        <f>+Кот.!E274+Кот.!E278</f>
        <v>7467.8115831517307</v>
      </c>
      <c r="F516" s="829">
        <f>+Кот.!F274+Кот.!F278</f>
        <v>7480.5433279177996</v>
      </c>
      <c r="G516" s="829">
        <f>+Кот.!G274+Кот.!G278</f>
        <v>7493.7843424745115</v>
      </c>
      <c r="H516" s="829">
        <f>+Кот.!H274+Кот.!H278</f>
        <v>7507.5549976134926</v>
      </c>
      <c r="I516" s="829">
        <f>+Кот.!I274+Кот.!I278</f>
        <v>7521.8764789580318</v>
      </c>
      <c r="J516" s="829">
        <f>+Кот.!J274+Кот.!J278</f>
        <v>7536.7708195563528</v>
      </c>
      <c r="K516" s="829">
        <f>+Кот.!K274+Кот.!K278</f>
        <v>7552.2609337786071</v>
      </c>
      <c r="L516" s="829">
        <f>+Кот.!L274+Кот.!L278</f>
        <v>7568.3706525697517</v>
      </c>
      <c r="M516" s="829">
        <f>+Кот.!M274+Кот.!M278</f>
        <v>7585.1247601125415</v>
      </c>
      <c r="N516" s="829">
        <f>+Кот.!N274+Кот.!N278</f>
        <v>7602.5490319570426</v>
      </c>
      <c r="O516" s="829">
        <f>+Кот.!O274+Кот.!O278</f>
        <v>7620.6702746753244</v>
      </c>
      <c r="P516" s="829">
        <f>+Кот.!P274+Кот.!P278</f>
        <v>7639.5163671023374</v>
      </c>
    </row>
    <row r="517" spans="1:16" s="797" customFormat="1" hidden="1" outlineLevel="1" x14ac:dyDescent="0.2">
      <c r="A517" s="801" t="s">
        <v>448</v>
      </c>
      <c r="B517" s="802" t="s">
        <v>15</v>
      </c>
      <c r="C517" s="829">
        <f>+Сети!C104</f>
        <v>176272.99043289231</v>
      </c>
      <c r="D517" s="829">
        <f>+Сети!D104</f>
        <v>211096.94036017725</v>
      </c>
      <c r="E517" s="829">
        <f>+Сети!E104</f>
        <v>250004.60442137852</v>
      </c>
      <c r="F517" s="829">
        <f>+Сети!F104</f>
        <v>358575.03310110088</v>
      </c>
      <c r="G517" s="829">
        <f>+Сети!G104</f>
        <v>454116.95460758533</v>
      </c>
      <c r="H517" s="829">
        <f>+Сети!H104</f>
        <v>548198.06248927501</v>
      </c>
      <c r="I517" s="829">
        <f>+Сети!I104</f>
        <v>642633.82615838258</v>
      </c>
      <c r="J517" s="829">
        <f>+Сети!J104</f>
        <v>723026.22831249516</v>
      </c>
      <c r="K517" s="829">
        <f>+Сети!K104</f>
        <v>732962.37139097671</v>
      </c>
      <c r="L517" s="829">
        <f>+Сети!L104</f>
        <v>745712.24854485225</v>
      </c>
      <c r="M517" s="829">
        <f>+Сети!M104</f>
        <v>758809.89070647466</v>
      </c>
      <c r="N517" s="829">
        <f>+Сети!N104</f>
        <v>772353.77856848261</v>
      </c>
      <c r="O517" s="829">
        <f>+Сети!O104</f>
        <v>786356.08390614751</v>
      </c>
      <c r="P517" s="829">
        <f>+Сети!P104</f>
        <v>765542.43593571521</v>
      </c>
    </row>
    <row r="518" spans="1:16" s="797" customFormat="1" hidden="1" outlineLevel="1" x14ac:dyDescent="0.2">
      <c r="A518" s="801"/>
      <c r="B518" s="802"/>
      <c r="C518" s="829"/>
      <c r="D518" s="829"/>
      <c r="E518" s="829"/>
      <c r="F518" s="829"/>
      <c r="G518" s="829"/>
      <c r="H518" s="829"/>
      <c r="I518" s="829"/>
      <c r="J518" s="829"/>
      <c r="K518" s="829"/>
      <c r="L518" s="829"/>
      <c r="M518" s="829"/>
      <c r="N518" s="829"/>
      <c r="O518" s="829"/>
      <c r="P518" s="829"/>
    </row>
    <row r="519" spans="1:16" s="797" customFormat="1" hidden="1" outlineLevel="1" x14ac:dyDescent="0.2">
      <c r="A519" s="799" t="s">
        <v>129</v>
      </c>
      <c r="B519" s="800" t="s">
        <v>15</v>
      </c>
      <c r="C519" s="828">
        <f>SUM(C520:C529)</f>
        <v>33699.989623076923</v>
      </c>
      <c r="D519" s="828">
        <f t="shared" ref="D519:P519" si="317">SUM(D520:D529)</f>
        <v>40292.625285511698</v>
      </c>
      <c r="E519" s="828">
        <f t="shared" si="317"/>
        <v>58343.772556369251</v>
      </c>
      <c r="F519" s="828">
        <f t="shared" si="317"/>
        <v>72617.846418957837</v>
      </c>
      <c r="G519" s="828">
        <f t="shared" si="317"/>
        <v>84747.420370998123</v>
      </c>
      <c r="H519" s="828">
        <f t="shared" si="317"/>
        <v>95455.155829372976</v>
      </c>
      <c r="I519" s="828">
        <f t="shared" si="317"/>
        <v>104162.322383444</v>
      </c>
      <c r="J519" s="828">
        <f t="shared" si="317"/>
        <v>92825.099527526283</v>
      </c>
      <c r="K519" s="828">
        <f t="shared" si="317"/>
        <v>81409.81912665139</v>
      </c>
      <c r="L519" s="828">
        <f t="shared" si="317"/>
        <v>70004.371874439617</v>
      </c>
      <c r="M519" s="828">
        <f t="shared" si="317"/>
        <v>58220.6752184789</v>
      </c>
      <c r="N519" s="828">
        <f t="shared" si="317"/>
        <v>46049.660342897463</v>
      </c>
      <c r="O519" s="828">
        <f t="shared" si="317"/>
        <v>33478.613887481624</v>
      </c>
      <c r="P519" s="828">
        <f t="shared" si="317"/>
        <v>21539.290026182822</v>
      </c>
    </row>
    <row r="520" spans="1:16" s="797" customFormat="1" hidden="1" outlineLevel="1" x14ac:dyDescent="0.2">
      <c r="A520" s="803" t="s">
        <v>346</v>
      </c>
      <c r="B520" s="800" t="s">
        <v>15</v>
      </c>
      <c r="C520" s="830">
        <f>+'ТЭЦ-1'!C128</f>
        <v>1540.7661580000001</v>
      </c>
      <c r="D520" s="830">
        <f>+'ТЭЦ-1'!D128</f>
        <v>1318.758993179033</v>
      </c>
      <c r="E520" s="830">
        <f>+'ТЭЦ-1'!E128</f>
        <v>1356.1907336254096</v>
      </c>
      <c r="F520" s="830">
        <f>+'ТЭЦ-1'!F128</f>
        <v>1473.1986740717859</v>
      </c>
      <c r="G520" s="830">
        <f>+'ТЭЦ-1'!G128</f>
        <v>1832.5058145181622</v>
      </c>
      <c r="H520" s="830">
        <f>+'ТЭЦ-1'!H128</f>
        <v>2133.7109549645384</v>
      </c>
      <c r="I520" s="830">
        <f>+'ТЭЦ-1'!I128</f>
        <v>1968.9076954109146</v>
      </c>
      <c r="J520" s="830">
        <f>+'ТЭЦ-1'!J128</f>
        <v>1693.332613723378</v>
      </c>
      <c r="K520" s="830">
        <f>+'ТЭЦ-1'!K128</f>
        <v>1412.8134342492328</v>
      </c>
      <c r="L520" s="830">
        <f>+'ТЭЦ-1'!L128</f>
        <v>1124.0270023244609</v>
      </c>
      <c r="M520" s="830">
        <f>+'ТЭЦ-1'!M128</f>
        <v>826.82499501546511</v>
      </c>
      <c r="N520" s="830">
        <f>+'ТЭЦ-1'!N128</f>
        <v>520.95939474872625</v>
      </c>
      <c r="O520" s="830">
        <f>+'ТЭЦ-1'!O128</f>
        <v>206.17773426271754</v>
      </c>
      <c r="P520" s="830">
        <f>+'ТЭЦ-1'!P128</f>
        <v>133.28842295347951</v>
      </c>
    </row>
    <row r="521" spans="1:16" s="797" customFormat="1" hidden="1" outlineLevel="1" x14ac:dyDescent="0.2">
      <c r="A521" s="803" t="s">
        <v>347</v>
      </c>
      <c r="B521" s="800" t="s">
        <v>15</v>
      </c>
      <c r="C521" s="830">
        <f>+'ТЭЦ-3'!C156</f>
        <v>9756.1390647692315</v>
      </c>
      <c r="D521" s="830">
        <f>+'ТЭЦ-3'!D156</f>
        <v>8581.4501462849348</v>
      </c>
      <c r="E521" s="830">
        <f>+'ТЭЦ-3'!E156</f>
        <v>8941.8563479589884</v>
      </c>
      <c r="F521" s="830">
        <f>+'ТЭЦ-3'!F156</f>
        <v>9279.1025868653123</v>
      </c>
      <c r="G521" s="830">
        <f>+'ТЭЦ-3'!G156</f>
        <v>9636.6572313786364</v>
      </c>
      <c r="H521" s="830">
        <f>+'ТЭЦ-3'!H156</f>
        <v>10013.024451378362</v>
      </c>
      <c r="I521" s="830">
        <f>+'ТЭЦ-3'!I156</f>
        <v>10405.452092453304</v>
      </c>
      <c r="J521" s="830">
        <f>+'ТЭЦ-3'!J156</f>
        <v>10813.730251061641</v>
      </c>
      <c r="K521" s="830">
        <f>+'ТЭЦ-3'!K156</f>
        <v>10857.004224524966</v>
      </c>
      <c r="L521" s="830">
        <f>+'ТЭЦ-3'!L156</f>
        <v>11312.710897396741</v>
      </c>
      <c r="M521" s="830">
        <f>+'ТЭЦ-3'!M156</f>
        <v>11782.84666151135</v>
      </c>
      <c r="N521" s="830">
        <f>+'ТЭЦ-3'!N156</f>
        <v>12272.178895730189</v>
      </c>
      <c r="O521" s="830">
        <f>+'ТЭЦ-3'!O156</f>
        <v>12781.486859921026</v>
      </c>
      <c r="P521" s="830">
        <f>+'ТЭЦ-3'!P156</f>
        <v>13311.581312106366</v>
      </c>
    </row>
    <row r="522" spans="1:16" s="797" customFormat="1" hidden="1" outlineLevel="1" x14ac:dyDescent="0.2">
      <c r="A522" s="803" t="s">
        <v>348</v>
      </c>
      <c r="B522" s="800" t="s">
        <v>15</v>
      </c>
      <c r="C522" s="830">
        <f>+'ТЭЦ-4'!C162</f>
        <v>6972.0323903076924</v>
      </c>
      <c r="D522" s="830">
        <f>+'ТЭЦ-4'!D162</f>
        <v>6013.3960978895029</v>
      </c>
      <c r="E522" s="830">
        <f>+'ТЭЦ-4'!E162</f>
        <v>6715.1172717571171</v>
      </c>
      <c r="F522" s="830">
        <f>+'ТЭЦ-4'!F162</f>
        <v>6812.7171960586766</v>
      </c>
      <c r="G522" s="830">
        <f>+'ТЭЦ-4'!G162</f>
        <v>7207.9697446376931</v>
      </c>
      <c r="H522" s="830">
        <f>+'ТЭЦ-4'!H162</f>
        <v>6932.8398065115043</v>
      </c>
      <c r="I522" s="830">
        <f>+'ТЭЦ-4'!I162</f>
        <v>8377.5488683853164</v>
      </c>
      <c r="J522" s="830">
        <f>+'ТЭЦ-4'!J162</f>
        <v>7358.315611696984</v>
      </c>
      <c r="K522" s="830">
        <f>+'ТЭЦ-4'!K162</f>
        <v>6382.4236268648665</v>
      </c>
      <c r="L522" s="830">
        <f>+'ТЭЦ-4'!L162</f>
        <v>5375.9546443320978</v>
      </c>
      <c r="M522" s="830">
        <f>+'ТЭЦ-4'!M162</f>
        <v>4340.2089022543678</v>
      </c>
      <c r="N522" s="830">
        <f>+'ТЭЦ-4'!N162</f>
        <v>3274.2690907006536</v>
      </c>
      <c r="O522" s="830">
        <f>+'ТЭЦ-4'!O162</f>
        <v>2177.2569068846087</v>
      </c>
      <c r="P522" s="830">
        <f>+'ТЭЦ-4'!P162</f>
        <v>1048.2665287219534</v>
      </c>
    </row>
    <row r="523" spans="1:16" s="797" customFormat="1" hidden="1" outlineLevel="1" x14ac:dyDescent="0.2">
      <c r="A523" s="803" t="s">
        <v>349</v>
      </c>
      <c r="B523" s="800" t="s">
        <v>15</v>
      </c>
      <c r="C523" s="830">
        <f>+Кот.!C280</f>
        <v>123.02700000000002</v>
      </c>
      <c r="D523" s="830">
        <f>+Кот.!D280</f>
        <v>207.6208688500067</v>
      </c>
      <c r="E523" s="830">
        <f>+Кот.!E280</f>
        <v>527.34496251824669</v>
      </c>
      <c r="F523" s="830">
        <f>+Кот.!F280</f>
        <v>2198.6522561864867</v>
      </c>
      <c r="G523" s="830">
        <f>+Кот.!G280</f>
        <v>3023.1509498547275</v>
      </c>
      <c r="H523" s="830">
        <f>+Кот.!H280</f>
        <v>4685.9584693418501</v>
      </c>
      <c r="I523" s="830">
        <f>+Кот.!I280</f>
        <v>4219.8970204282014</v>
      </c>
      <c r="J523" s="830">
        <f>+Кот.!J280</f>
        <v>3816.1084061886472</v>
      </c>
      <c r="K523" s="830">
        <f>+Кот.!K280</f>
        <v>3398.3379484816837</v>
      </c>
      <c r="L523" s="830">
        <f>+Кот.!L280</f>
        <v>2968.4538323475335</v>
      </c>
      <c r="M523" s="830">
        <f>+Кот.!M280</f>
        <v>2526.0366024821747</v>
      </c>
      <c r="N523" s="830">
        <f>+Кот.!N280</f>
        <v>2070.7228491327915</v>
      </c>
      <c r="O523" s="830">
        <f>+Кот.!O280</f>
        <v>1602.1365788874473</v>
      </c>
      <c r="P523" s="830">
        <f>+Кот.!P280</f>
        <v>1119.8908960416222</v>
      </c>
    </row>
    <row r="524" spans="1:16" s="797" customFormat="1" hidden="1" outlineLevel="1" x14ac:dyDescent="0.2">
      <c r="A524" s="803" t="s">
        <v>449</v>
      </c>
      <c r="B524" s="800" t="s">
        <v>15</v>
      </c>
      <c r="C524" s="830">
        <f>+Сети!C99</f>
        <v>15308.025010000001</v>
      </c>
      <c r="D524" s="830">
        <f>+Сети!D99</f>
        <v>24171.39917930822</v>
      </c>
      <c r="E524" s="830">
        <f>+Сети!E99</f>
        <v>40803.263240509485</v>
      </c>
      <c r="F524" s="830">
        <f>+Сети!F99</f>
        <v>52854.175705775575</v>
      </c>
      <c r="G524" s="830">
        <f>+Сети!G99</f>
        <v>63047.136630608904</v>
      </c>
      <c r="H524" s="830">
        <f>+Сети!H99</f>
        <v>71689.62214717672</v>
      </c>
      <c r="I524" s="830">
        <f>+Сети!I99</f>
        <v>79190.516706766255</v>
      </c>
      <c r="J524" s="830">
        <f>+Сети!J99</f>
        <v>69143.612644855632</v>
      </c>
      <c r="K524" s="830">
        <f>+Сети!K99</f>
        <v>59359.239892530641</v>
      </c>
      <c r="L524" s="830">
        <f>+Сети!L99</f>
        <v>49223.225498038788</v>
      </c>
      <c r="M524" s="830">
        <f>+Сети!M99</f>
        <v>38744.758057215542</v>
      </c>
      <c r="N524" s="830">
        <f>+Сети!N99</f>
        <v>27911.5301125851</v>
      </c>
      <c r="O524" s="830">
        <f>+Сети!O99</f>
        <v>16711.55580752583</v>
      </c>
      <c r="P524" s="830">
        <f>+Сети!P99</f>
        <v>5926.2628663593996</v>
      </c>
    </row>
    <row r="525" spans="1:16" s="797" customFormat="1" hidden="1" outlineLevel="1" x14ac:dyDescent="0.2">
      <c r="A525" s="803"/>
      <c r="B525" s="800"/>
      <c r="C525" s="830"/>
      <c r="D525" s="830"/>
      <c r="E525" s="830"/>
      <c r="F525" s="830"/>
      <c r="G525" s="830"/>
      <c r="H525" s="830"/>
      <c r="I525" s="830"/>
      <c r="J525" s="830"/>
      <c r="K525" s="830"/>
      <c r="L525" s="830"/>
      <c r="M525" s="830"/>
      <c r="N525" s="830"/>
      <c r="O525" s="830"/>
      <c r="P525" s="830"/>
    </row>
    <row r="526" spans="1:16" s="797" customFormat="1" hidden="1" outlineLevel="1" x14ac:dyDescent="0.2">
      <c r="A526" s="803" t="s">
        <v>350</v>
      </c>
      <c r="B526" s="800" t="s">
        <v>15</v>
      </c>
      <c r="C526" s="830">
        <v>0</v>
      </c>
      <c r="D526" s="830">
        <v>0</v>
      </c>
      <c r="E526" s="830">
        <f>'ТЭЦ-1'!C132</f>
        <v>0</v>
      </c>
      <c r="F526" s="830">
        <f>'ТЭЦ-1'!D132</f>
        <v>0</v>
      </c>
      <c r="G526" s="830">
        <f>'ТЭЦ-1'!E132</f>
        <v>0</v>
      </c>
      <c r="H526" s="830">
        <f>'ТЭЦ-1'!F132</f>
        <v>0</v>
      </c>
      <c r="I526" s="830">
        <f>'ТЭЦ-1'!G132</f>
        <v>0</v>
      </c>
      <c r="J526" s="830">
        <f>'ТЭЦ-1'!H132</f>
        <v>0</v>
      </c>
      <c r="K526" s="830">
        <f>'ТЭЦ-1'!I132</f>
        <v>0</v>
      </c>
      <c r="L526" s="830">
        <f>'ТЭЦ-1'!J132</f>
        <v>0</v>
      </c>
      <c r="M526" s="830">
        <f>'ТЭЦ-1'!K132</f>
        <v>0</v>
      </c>
      <c r="N526" s="830">
        <f>'ТЭЦ-1'!L132</f>
        <v>0</v>
      </c>
      <c r="O526" s="830">
        <f>'ТЭЦ-1'!M132</f>
        <v>0</v>
      </c>
      <c r="P526" s="830">
        <f>'ТЭЦ-1'!N132</f>
        <v>0</v>
      </c>
    </row>
    <row r="527" spans="1:16" s="797" customFormat="1" hidden="1" outlineLevel="1" x14ac:dyDescent="0.2">
      <c r="A527" s="803" t="s">
        <v>351</v>
      </c>
      <c r="B527" s="800" t="s">
        <v>15</v>
      </c>
      <c r="C527" s="830">
        <v>0</v>
      </c>
      <c r="D527" s="830">
        <v>0</v>
      </c>
      <c r="E527" s="830">
        <v>0</v>
      </c>
      <c r="F527" s="830">
        <v>0</v>
      </c>
      <c r="G527" s="830">
        <v>0</v>
      </c>
      <c r="H527" s="830">
        <v>0</v>
      </c>
      <c r="I527" s="830">
        <v>0</v>
      </c>
      <c r="J527" s="830">
        <v>0</v>
      </c>
      <c r="K527" s="830">
        <v>0</v>
      </c>
      <c r="L527" s="830">
        <v>0</v>
      </c>
      <c r="M527" s="830">
        <v>0</v>
      </c>
      <c r="N527" s="830">
        <v>0</v>
      </c>
      <c r="O527" s="830">
        <v>0</v>
      </c>
      <c r="P527" s="830">
        <v>0</v>
      </c>
    </row>
    <row r="528" spans="1:16" s="797" customFormat="1" hidden="1" outlineLevel="1" x14ac:dyDescent="0.2">
      <c r="A528" s="803" t="s">
        <v>352</v>
      </c>
      <c r="B528" s="800" t="s">
        <v>15</v>
      </c>
      <c r="C528" s="830">
        <v>0</v>
      </c>
      <c r="D528" s="830">
        <v>0</v>
      </c>
      <c r="E528" s="830">
        <f>'ТЭЦ-1'!C134</f>
        <v>0</v>
      </c>
      <c r="F528" s="830">
        <f>'ТЭЦ-1'!D134</f>
        <v>0</v>
      </c>
      <c r="G528" s="830">
        <f>'ТЭЦ-1'!E134</f>
        <v>0</v>
      </c>
      <c r="H528" s="830">
        <f>'ТЭЦ-1'!F134</f>
        <v>0</v>
      </c>
      <c r="I528" s="830">
        <f>'ТЭЦ-1'!G134</f>
        <v>0</v>
      </c>
      <c r="J528" s="830">
        <f>'ТЭЦ-1'!H134</f>
        <v>0</v>
      </c>
      <c r="K528" s="830">
        <f>'ТЭЦ-1'!I134</f>
        <v>0</v>
      </c>
      <c r="L528" s="830">
        <f>'ТЭЦ-1'!J134</f>
        <v>0</v>
      </c>
      <c r="M528" s="830">
        <f>'ТЭЦ-1'!K134</f>
        <v>0</v>
      </c>
      <c r="N528" s="830">
        <f>'ТЭЦ-1'!L134</f>
        <v>0</v>
      </c>
      <c r="O528" s="830">
        <f>'ТЭЦ-1'!M134</f>
        <v>0</v>
      </c>
      <c r="P528" s="830">
        <f>'ТЭЦ-1'!N134</f>
        <v>0</v>
      </c>
    </row>
    <row r="529" spans="1:16" s="797" customFormat="1" hidden="1" outlineLevel="1" x14ac:dyDescent="0.2">
      <c r="A529" s="803" t="s">
        <v>353</v>
      </c>
      <c r="B529" s="800" t="s">
        <v>15</v>
      </c>
      <c r="C529" s="830">
        <v>0</v>
      </c>
      <c r="D529" s="830">
        <v>0</v>
      </c>
      <c r="E529" s="830">
        <f>'ТЭЦ-1'!C135</f>
        <v>0</v>
      </c>
      <c r="F529" s="830">
        <f>'ТЭЦ-1'!D135</f>
        <v>0</v>
      </c>
      <c r="G529" s="830">
        <f>'ТЭЦ-1'!E135</f>
        <v>0</v>
      </c>
      <c r="H529" s="830">
        <f>'ТЭЦ-1'!F135</f>
        <v>0</v>
      </c>
      <c r="I529" s="830">
        <f>'ТЭЦ-1'!G135</f>
        <v>0</v>
      </c>
      <c r="J529" s="830">
        <f>'ТЭЦ-1'!H135</f>
        <v>0</v>
      </c>
      <c r="K529" s="830">
        <f>'ТЭЦ-1'!I135</f>
        <v>0</v>
      </c>
      <c r="L529" s="830">
        <f>'ТЭЦ-1'!J135</f>
        <v>0</v>
      </c>
      <c r="M529" s="830">
        <f>'ТЭЦ-1'!K135</f>
        <v>0</v>
      </c>
      <c r="N529" s="830">
        <f>'ТЭЦ-1'!L135</f>
        <v>0</v>
      </c>
      <c r="O529" s="830">
        <f>'ТЭЦ-1'!M135</f>
        <v>0</v>
      </c>
      <c r="P529" s="830">
        <f>'ТЭЦ-1'!N135</f>
        <v>0</v>
      </c>
    </row>
    <row r="530" spans="1:16" s="797" customFormat="1" hidden="1" outlineLevel="1" x14ac:dyDescent="0.2">
      <c r="A530" s="803"/>
      <c r="B530" s="800"/>
      <c r="C530" s="830"/>
      <c r="D530" s="830"/>
      <c r="E530" s="830"/>
      <c r="F530" s="830"/>
      <c r="G530" s="830"/>
      <c r="H530" s="830"/>
      <c r="I530" s="830"/>
      <c r="J530" s="830"/>
      <c r="K530" s="830"/>
      <c r="L530" s="830"/>
      <c r="M530" s="830"/>
      <c r="N530" s="830"/>
      <c r="O530" s="830"/>
      <c r="P530" s="830"/>
    </row>
    <row r="531" spans="1:16" s="797" customFormat="1" hidden="1" outlineLevel="1" x14ac:dyDescent="0.2">
      <c r="A531" s="798"/>
      <c r="B531" s="798"/>
      <c r="C531" s="827"/>
      <c r="D531" s="827"/>
      <c r="E531" s="827"/>
      <c r="F531" s="827"/>
      <c r="G531" s="827"/>
      <c r="H531" s="827"/>
      <c r="I531" s="827"/>
      <c r="J531" s="827"/>
      <c r="K531" s="827"/>
      <c r="L531" s="827"/>
      <c r="M531" s="827"/>
      <c r="N531" s="827"/>
      <c r="O531" s="827"/>
      <c r="P531" s="827"/>
    </row>
    <row r="532" spans="1:16" s="797" customFormat="1" hidden="1" outlineLevel="1" x14ac:dyDescent="0.2">
      <c r="A532" s="799" t="s">
        <v>130</v>
      </c>
      <c r="B532" s="796" t="s">
        <v>15</v>
      </c>
      <c r="C532" s="828">
        <f>C511 - C519</f>
        <v>160453.80555942081</v>
      </c>
      <c r="D532" s="828">
        <f t="shared" ref="D532:P532" si="318">D511 - D519</f>
        <v>192204.8668520661</v>
      </c>
      <c r="E532" s="828">
        <f>E511 - E519</f>
        <v>213275.58550464822</v>
      </c>
      <c r="F532" s="828">
        <f t="shared" si="318"/>
        <v>308883.41039949458</v>
      </c>
      <c r="G532" s="828">
        <f t="shared" si="318"/>
        <v>394313.2487395677</v>
      </c>
      <c r="H532" s="828">
        <f t="shared" si="318"/>
        <v>480901.66963627544</v>
      </c>
      <c r="I532" s="828">
        <f t="shared" si="318"/>
        <v>569405.28941275063</v>
      </c>
      <c r="J532" s="828">
        <f t="shared" si="318"/>
        <v>661951.44674291275</v>
      </c>
      <c r="K532" s="828">
        <f t="shared" si="318"/>
        <v>683727.26041685918</v>
      </c>
      <c r="L532" s="828">
        <f t="shared" si="318"/>
        <v>708346.56247799925</v>
      </c>
      <c r="M532" s="828">
        <f t="shared" si="318"/>
        <v>733706.93144922773</v>
      </c>
      <c r="N532" s="828">
        <f t="shared" si="318"/>
        <v>759917.46020619478</v>
      </c>
      <c r="O532" s="828">
        <f t="shared" si="318"/>
        <v>787003.61139442585</v>
      </c>
      <c r="P532" s="828">
        <f t="shared" si="318"/>
        <v>767498.74211219139</v>
      </c>
    </row>
    <row r="533" spans="1:16" s="797" customFormat="1" hidden="1" outlineLevel="1" x14ac:dyDescent="0.2">
      <c r="A533" s="798"/>
      <c r="B533" s="798"/>
      <c r="C533" s="827"/>
      <c r="D533" s="827"/>
      <c r="E533" s="827"/>
      <c r="F533" s="827"/>
      <c r="G533" s="827"/>
      <c r="H533" s="827"/>
      <c r="I533" s="827"/>
      <c r="J533" s="827"/>
      <c r="K533" s="827"/>
      <c r="L533" s="827"/>
      <c r="M533" s="827"/>
      <c r="N533" s="827"/>
      <c r="O533" s="827"/>
      <c r="P533" s="827"/>
    </row>
    <row r="534" spans="1:16" s="797" customFormat="1" hidden="1" outlineLevel="1" x14ac:dyDescent="0.2">
      <c r="A534" s="803" t="s">
        <v>25</v>
      </c>
      <c r="B534" s="796" t="s">
        <v>15</v>
      </c>
      <c r="C534" s="830">
        <f t="shared" ref="C534:P534" si="319">C477</f>
        <v>234594.94238000002</v>
      </c>
      <c r="D534" s="830">
        <f t="shared" si="319"/>
        <v>260555.51813797676</v>
      </c>
      <c r="E534" s="830">
        <f t="shared" si="319"/>
        <v>284215.82862002327</v>
      </c>
      <c r="F534" s="830">
        <f t="shared" si="319"/>
        <v>390910.37265487714</v>
      </c>
      <c r="G534" s="830">
        <f t="shared" si="319"/>
        <v>491159.5893821597</v>
      </c>
      <c r="H534" s="830">
        <f t="shared" si="319"/>
        <v>591528.60340065917</v>
      </c>
      <c r="I534" s="830">
        <f t="shared" si="319"/>
        <v>695303.21890815848</v>
      </c>
      <c r="J534" s="830">
        <f t="shared" si="319"/>
        <v>800198.93706481496</v>
      </c>
      <c r="K534" s="830">
        <f t="shared" si="319"/>
        <v>822842.30331773753</v>
      </c>
      <c r="L534" s="830">
        <f t="shared" si="319"/>
        <v>850622.05701328407</v>
      </c>
      <c r="M534" s="830">
        <f t="shared" si="319"/>
        <v>879230.15688696981</v>
      </c>
      <c r="N534" s="830">
        <f t="shared" si="319"/>
        <v>908807.30430785485</v>
      </c>
      <c r="O534" s="830">
        <f t="shared" si="319"/>
        <v>939383.13140738255</v>
      </c>
      <c r="P534" s="830">
        <f t="shared" si="319"/>
        <v>923495.58691839711</v>
      </c>
    </row>
    <row r="535" spans="1:16" s="797" customFormat="1" hidden="1" outlineLevel="1" x14ac:dyDescent="0.2">
      <c r="A535" s="799" t="s">
        <v>131</v>
      </c>
      <c r="B535" s="804" t="s">
        <v>15</v>
      </c>
      <c r="C535" s="828">
        <f t="shared" ref="C535:O535" si="320">C532-C534</f>
        <v>-74141.13682057921</v>
      </c>
      <c r="D535" s="828">
        <f>D532-D534</f>
        <v>-68350.651285910659</v>
      </c>
      <c r="E535" s="828">
        <f t="shared" si="320"/>
        <v>-70940.243115375051</v>
      </c>
      <c r="F535" s="828">
        <f t="shared" si="320"/>
        <v>-82026.962255382561</v>
      </c>
      <c r="G535" s="828">
        <f t="shared" si="320"/>
        <v>-96846.340642591997</v>
      </c>
      <c r="H535" s="828">
        <f t="shared" si="320"/>
        <v>-110626.93376438372</v>
      </c>
      <c r="I535" s="828">
        <f t="shared" si="320"/>
        <v>-125897.92949540785</v>
      </c>
      <c r="J535" s="828">
        <f t="shared" si="320"/>
        <v>-138247.49032190221</v>
      </c>
      <c r="K535" s="828">
        <f t="shared" si="320"/>
        <v>-139115.04290087835</v>
      </c>
      <c r="L535" s="828">
        <f t="shared" si="320"/>
        <v>-142275.49453528482</v>
      </c>
      <c r="M535" s="828">
        <f t="shared" si="320"/>
        <v>-145523.22543774208</v>
      </c>
      <c r="N535" s="828">
        <f t="shared" si="320"/>
        <v>-148889.84410166007</v>
      </c>
      <c r="O535" s="828">
        <f t="shared" si="320"/>
        <v>-152379.52001295669</v>
      </c>
      <c r="P535" s="828">
        <f>P532-P534</f>
        <v>-155996.84480620571</v>
      </c>
    </row>
    <row r="536" spans="1:16" s="797" customFormat="1" hidden="1" outlineLevel="1" x14ac:dyDescent="0.2">
      <c r="A536" s="798"/>
      <c r="B536" s="798"/>
      <c r="C536" s="827"/>
      <c r="D536" s="827"/>
      <c r="E536" s="827"/>
      <c r="F536" s="827"/>
      <c r="G536" s="827"/>
      <c r="H536" s="827"/>
      <c r="I536" s="827"/>
      <c r="J536" s="827"/>
      <c r="K536" s="827"/>
      <c r="L536" s="827"/>
      <c r="M536" s="827"/>
      <c r="N536" s="827"/>
      <c r="O536" s="827"/>
      <c r="P536" s="827"/>
    </row>
    <row r="537" spans="1:16" s="797" customFormat="1" hidden="1" outlineLevel="1" x14ac:dyDescent="0.2">
      <c r="A537" s="805" t="s">
        <v>132</v>
      </c>
      <c r="B537" s="796" t="s">
        <v>15</v>
      </c>
      <c r="C537" s="830">
        <f>IF(C535&gt;0,#REF!*C535,0)</f>
        <v>0</v>
      </c>
      <c r="D537" s="830">
        <f>IF(D535&gt;0,#REF!*D535,0)</f>
        <v>0</v>
      </c>
      <c r="E537" s="830">
        <f>IF(E535&gt;0,#REF!*E535,0)</f>
        <v>0</v>
      </c>
      <c r="F537" s="830">
        <f>IF(F535&gt;0,#REF!*F535,0)</f>
        <v>0</v>
      </c>
      <c r="G537" s="830">
        <f>IF(G535&gt;0,#REF!*G535,0)</f>
        <v>0</v>
      </c>
      <c r="H537" s="830">
        <f>IF(H535&gt;0,#REF!*H535,0)</f>
        <v>0</v>
      </c>
      <c r="I537" s="830">
        <f>IF(I535&gt;0,#REF!*I535,0)</f>
        <v>0</v>
      </c>
      <c r="J537" s="830">
        <f>IF(J535&gt;0,#REF!*J535,0)</f>
        <v>0</v>
      </c>
      <c r="K537" s="830">
        <f>IF(K535&gt;0,#REF!*K535,0)</f>
        <v>0</v>
      </c>
      <c r="L537" s="830">
        <f>IF(L535&gt;0,#REF!*L535,0)</f>
        <v>0</v>
      </c>
      <c r="M537" s="830">
        <f>IF(M535&gt;0,#REF!*M535,0)</f>
        <v>0</v>
      </c>
      <c r="N537" s="830">
        <f>IF(N535&gt;0,#REF!*N535,0)</f>
        <v>0</v>
      </c>
      <c r="O537" s="830">
        <f>IF(O535&gt;0,#REF!*O535,0)</f>
        <v>0</v>
      </c>
      <c r="P537" s="830">
        <f>IF(P535&gt;0,#REF!*P535,0)</f>
        <v>0</v>
      </c>
    </row>
    <row r="538" spans="1:16" s="797" customFormat="1" hidden="1" outlineLevel="1" x14ac:dyDescent="0.2">
      <c r="A538" s="799" t="s">
        <v>24</v>
      </c>
      <c r="B538" s="804" t="s">
        <v>15</v>
      </c>
      <c r="C538" s="828">
        <f>C535-C537</f>
        <v>-74141.13682057921</v>
      </c>
      <c r="D538" s="828">
        <f>D535-D537</f>
        <v>-68350.651285910659</v>
      </c>
      <c r="E538" s="828">
        <f>E535-E537</f>
        <v>-70940.243115375051</v>
      </c>
      <c r="F538" s="828">
        <f>F535-F537</f>
        <v>-82026.962255382561</v>
      </c>
      <c r="G538" s="828">
        <f>G535-G537</f>
        <v>-96846.340642591997</v>
      </c>
      <c r="H538" s="828">
        <f t="shared" ref="H538:P538" si="321">H535-H537</f>
        <v>-110626.93376438372</v>
      </c>
      <c r="I538" s="828">
        <f t="shared" si="321"/>
        <v>-125897.92949540785</v>
      </c>
      <c r="J538" s="828">
        <f t="shared" si="321"/>
        <v>-138247.49032190221</v>
      </c>
      <c r="K538" s="828">
        <f t="shared" si="321"/>
        <v>-139115.04290087835</v>
      </c>
      <c r="L538" s="828">
        <f t="shared" si="321"/>
        <v>-142275.49453528482</v>
      </c>
      <c r="M538" s="828">
        <f t="shared" si="321"/>
        <v>-145523.22543774208</v>
      </c>
      <c r="N538" s="828">
        <f t="shared" si="321"/>
        <v>-148889.84410166007</v>
      </c>
      <c r="O538" s="828">
        <f t="shared" si="321"/>
        <v>-152379.52001295669</v>
      </c>
      <c r="P538" s="828">
        <f t="shared" si="321"/>
        <v>-155996.84480620571</v>
      </c>
    </row>
    <row r="539" spans="1:16" s="797" customFormat="1" hidden="1" outlineLevel="1" x14ac:dyDescent="0.2">
      <c r="A539" s="798"/>
      <c r="B539" s="798"/>
      <c r="C539" s="827"/>
      <c r="D539" s="827"/>
      <c r="E539" s="827"/>
      <c r="F539" s="827"/>
      <c r="G539" s="827"/>
      <c r="H539" s="827"/>
      <c r="I539" s="827"/>
      <c r="J539" s="827"/>
      <c r="K539" s="827"/>
      <c r="L539" s="827"/>
      <c r="M539" s="827"/>
      <c r="N539" s="827"/>
      <c r="O539" s="827"/>
      <c r="P539" s="827"/>
    </row>
    <row r="540" spans="1:16" s="797" customFormat="1" hidden="1" outlineLevel="1" x14ac:dyDescent="0.2">
      <c r="A540" s="795" t="s">
        <v>133</v>
      </c>
      <c r="B540" s="806"/>
      <c r="C540" s="831"/>
      <c r="D540" s="831"/>
      <c r="E540" s="832" t="s">
        <v>54</v>
      </c>
      <c r="F540" s="832" t="s">
        <v>55</v>
      </c>
      <c r="G540" s="832" t="s">
        <v>56</v>
      </c>
      <c r="H540" s="832" t="s">
        <v>57</v>
      </c>
      <c r="I540" s="832" t="s">
        <v>58</v>
      </c>
      <c r="J540" s="832" t="s">
        <v>59</v>
      </c>
      <c r="K540" s="832" t="s">
        <v>60</v>
      </c>
      <c r="L540" s="832" t="s">
        <v>61</v>
      </c>
      <c r="M540" s="832" t="s">
        <v>62</v>
      </c>
      <c r="N540" s="832" t="s">
        <v>63</v>
      </c>
      <c r="O540" s="832" t="s">
        <v>64</v>
      </c>
      <c r="P540" s="832" t="s">
        <v>65</v>
      </c>
    </row>
    <row r="541" spans="1:16" s="797" customFormat="1" hidden="1" outlineLevel="1" x14ac:dyDescent="0.2">
      <c r="A541" s="807" t="s">
        <v>24</v>
      </c>
      <c r="B541" s="796" t="s">
        <v>15</v>
      </c>
      <c r="C541" s="833">
        <f>C538</f>
        <v>-74141.13682057921</v>
      </c>
      <c r="D541" s="833">
        <f>D538</f>
        <v>-68350.651285910659</v>
      </c>
      <c r="E541" s="833">
        <f t="shared" ref="E541:P541" si="322">E538</f>
        <v>-70940.243115375051</v>
      </c>
      <c r="F541" s="833">
        <f t="shared" si="322"/>
        <v>-82026.962255382561</v>
      </c>
      <c r="G541" s="833">
        <f t="shared" si="322"/>
        <v>-96846.340642591997</v>
      </c>
      <c r="H541" s="833">
        <f t="shared" si="322"/>
        <v>-110626.93376438372</v>
      </c>
      <c r="I541" s="833">
        <f t="shared" si="322"/>
        <v>-125897.92949540785</v>
      </c>
      <c r="J541" s="833">
        <f t="shared" si="322"/>
        <v>-138247.49032190221</v>
      </c>
      <c r="K541" s="833">
        <f t="shared" si="322"/>
        <v>-139115.04290087835</v>
      </c>
      <c r="L541" s="833">
        <f t="shared" si="322"/>
        <v>-142275.49453528482</v>
      </c>
      <c r="M541" s="833">
        <f t="shared" si="322"/>
        <v>-145523.22543774208</v>
      </c>
      <c r="N541" s="833">
        <f t="shared" si="322"/>
        <v>-148889.84410166007</v>
      </c>
      <c r="O541" s="833">
        <f t="shared" si="322"/>
        <v>-152379.52001295669</v>
      </c>
      <c r="P541" s="833">
        <f t="shared" si="322"/>
        <v>-155996.84480620571</v>
      </c>
    </row>
    <row r="542" spans="1:16" s="797" customFormat="1" hidden="1" outlineLevel="1" x14ac:dyDescent="0.2">
      <c r="A542" s="807" t="s">
        <v>25</v>
      </c>
      <c r="B542" s="796" t="s">
        <v>15</v>
      </c>
      <c r="C542" s="833">
        <f>C534</f>
        <v>234594.94238000002</v>
      </c>
      <c r="D542" s="833">
        <f t="shared" ref="D542:P542" si="323">D534</f>
        <v>260555.51813797676</v>
      </c>
      <c r="E542" s="833">
        <f t="shared" si="323"/>
        <v>284215.82862002327</v>
      </c>
      <c r="F542" s="833">
        <f t="shared" si="323"/>
        <v>390910.37265487714</v>
      </c>
      <c r="G542" s="833">
        <f t="shared" si="323"/>
        <v>491159.5893821597</v>
      </c>
      <c r="H542" s="833">
        <f t="shared" si="323"/>
        <v>591528.60340065917</v>
      </c>
      <c r="I542" s="833">
        <f t="shared" si="323"/>
        <v>695303.21890815848</v>
      </c>
      <c r="J542" s="833">
        <f t="shared" si="323"/>
        <v>800198.93706481496</v>
      </c>
      <c r="K542" s="833">
        <f t="shared" si="323"/>
        <v>822842.30331773753</v>
      </c>
      <c r="L542" s="833">
        <f t="shared" si="323"/>
        <v>850622.05701328407</v>
      </c>
      <c r="M542" s="833">
        <f t="shared" si="323"/>
        <v>879230.15688696981</v>
      </c>
      <c r="N542" s="833">
        <f t="shared" si="323"/>
        <v>908807.30430785485</v>
      </c>
      <c r="O542" s="833">
        <f t="shared" si="323"/>
        <v>939383.13140738255</v>
      </c>
      <c r="P542" s="833">
        <f t="shared" si="323"/>
        <v>923495.58691839711</v>
      </c>
    </row>
    <row r="543" spans="1:16" s="797" customFormat="1" hidden="1" outlineLevel="1" x14ac:dyDescent="0.2">
      <c r="A543" s="807" t="s">
        <v>26</v>
      </c>
      <c r="B543" s="796" t="s">
        <v>15</v>
      </c>
      <c r="C543" s="833">
        <f>C488</f>
        <v>0</v>
      </c>
      <c r="D543" s="833">
        <f t="shared" ref="D543:P543" si="324">D488</f>
        <v>0</v>
      </c>
      <c r="E543" s="833">
        <f t="shared" si="324"/>
        <v>979861.94938752358</v>
      </c>
      <c r="F543" s="833">
        <f t="shared" si="324"/>
        <v>920007.4969835151</v>
      </c>
      <c r="G543" s="833">
        <f t="shared" si="324"/>
        <v>877832.97701059957</v>
      </c>
      <c r="H543" s="833">
        <f t="shared" si="324"/>
        <v>896266.37955245317</v>
      </c>
      <c r="I543" s="833">
        <f t="shared" si="324"/>
        <v>897439.34802824992</v>
      </c>
      <c r="J543" s="833">
        <f t="shared" si="324"/>
        <v>237041.39483074186</v>
      </c>
      <c r="K543" s="833">
        <f t="shared" si="324"/>
        <v>272561.55200634996</v>
      </c>
      <c r="L543" s="833">
        <f t="shared" si="324"/>
        <v>280658.81964281254</v>
      </c>
      <c r="M543" s="833">
        <f t="shared" si="324"/>
        <v>289979.96078042139</v>
      </c>
      <c r="N543" s="833">
        <f t="shared" si="324"/>
        <v>299578.53084982804</v>
      </c>
      <c r="O543" s="833">
        <f t="shared" si="324"/>
        <v>309496.78546357265</v>
      </c>
      <c r="P543" s="833">
        <f t="shared" si="324"/>
        <v>319744.2553712037</v>
      </c>
    </row>
    <row r="544" spans="1:16" s="797" customFormat="1" hidden="1" outlineLevel="1" x14ac:dyDescent="0.2">
      <c r="A544" s="807"/>
      <c r="B544" s="796"/>
      <c r="C544" s="830"/>
      <c r="D544" s="830"/>
      <c r="E544" s="830"/>
      <c r="F544" s="830"/>
      <c r="G544" s="830"/>
      <c r="H544" s="830"/>
      <c r="I544" s="830"/>
      <c r="J544" s="830"/>
      <c r="K544" s="830"/>
      <c r="L544" s="830"/>
      <c r="M544" s="830"/>
      <c r="N544" s="830"/>
      <c r="O544" s="830"/>
      <c r="P544" s="830"/>
    </row>
    <row r="545" spans="1:16" s="797" customFormat="1" hidden="1" outlineLevel="1" x14ac:dyDescent="0.2">
      <c r="A545" s="808" t="s">
        <v>134</v>
      </c>
      <c r="B545" s="804" t="s">
        <v>15</v>
      </c>
      <c r="C545" s="828">
        <f>C541+C542-C543</f>
        <v>160453.80555942081</v>
      </c>
      <c r="D545" s="828">
        <f>D541+D542-D543</f>
        <v>192204.8668520661</v>
      </c>
      <c r="E545" s="828">
        <f>E541+E542-E543</f>
        <v>-766586.3638828753</v>
      </c>
      <c r="F545" s="828">
        <f t="shared" ref="F545:P545" si="325">F541+F542-F543</f>
        <v>-611124.08658402052</v>
      </c>
      <c r="G545" s="828">
        <f t="shared" si="325"/>
        <v>-483519.72827103187</v>
      </c>
      <c r="H545" s="828">
        <f>H541+H542-H543</f>
        <v>-415364.70991617773</v>
      </c>
      <c r="I545" s="828">
        <f t="shared" si="325"/>
        <v>-328034.05861549929</v>
      </c>
      <c r="J545" s="828">
        <f t="shared" si="325"/>
        <v>424910.05191217089</v>
      </c>
      <c r="K545" s="828">
        <f t="shared" si="325"/>
        <v>411165.70841050922</v>
      </c>
      <c r="L545" s="828">
        <f t="shared" si="325"/>
        <v>427687.74283518671</v>
      </c>
      <c r="M545" s="828">
        <f t="shared" si="325"/>
        <v>443726.97066880635</v>
      </c>
      <c r="N545" s="828">
        <f t="shared" si="325"/>
        <v>460338.92935636675</v>
      </c>
      <c r="O545" s="828">
        <f t="shared" si="325"/>
        <v>477506.8259308532</v>
      </c>
      <c r="P545" s="828">
        <f t="shared" si="325"/>
        <v>447754.48674098769</v>
      </c>
    </row>
    <row r="546" spans="1:16" s="797" customFormat="1" hidden="1" outlineLevel="1" x14ac:dyDescent="0.2">
      <c r="A546" s="809" t="s">
        <v>135</v>
      </c>
      <c r="B546" s="810" t="s">
        <v>15</v>
      </c>
      <c r="C546" s="827">
        <f>C545</f>
        <v>160453.80555942081</v>
      </c>
      <c r="D546" s="827">
        <f>C546+D545</f>
        <v>352658.67241148691</v>
      </c>
      <c r="E546" s="827">
        <f>D546+E545</f>
        <v>-413927.69147138839</v>
      </c>
      <c r="F546" s="827">
        <f>E546+F545</f>
        <v>-1025051.778055409</v>
      </c>
      <c r="G546" s="827">
        <f>F546+G545</f>
        <v>-1508571.5063264407</v>
      </c>
      <c r="H546" s="827">
        <f t="shared" ref="H546:P546" si="326">G546+H545</f>
        <v>-1923936.2162426184</v>
      </c>
      <c r="I546" s="827">
        <f t="shared" si="326"/>
        <v>-2251970.2748581176</v>
      </c>
      <c r="J546" s="827">
        <f t="shared" si="326"/>
        <v>-1827060.2229459467</v>
      </c>
      <c r="K546" s="827">
        <f t="shared" si="326"/>
        <v>-1415894.5145354376</v>
      </c>
      <c r="L546" s="827">
        <f t="shared" si="326"/>
        <v>-988206.77170025092</v>
      </c>
      <c r="M546" s="827">
        <f t="shared" si="326"/>
        <v>-544479.80103144457</v>
      </c>
      <c r="N546" s="827">
        <f t="shared" si="326"/>
        <v>-84140.871675077826</v>
      </c>
      <c r="O546" s="827">
        <f t="shared" si="326"/>
        <v>393365.95425577537</v>
      </c>
      <c r="P546" s="827">
        <f t="shared" si="326"/>
        <v>841120.44099676306</v>
      </c>
    </row>
    <row r="547" spans="1:16" s="797" customFormat="1" hidden="1" outlineLevel="1" x14ac:dyDescent="0.2">
      <c r="A547" s="809" t="s">
        <v>256</v>
      </c>
      <c r="B547" s="810" t="s">
        <v>88</v>
      </c>
      <c r="C547" s="834">
        <f>IF(C546&lt;0,"нет",IF(C546&gt;0,C494,0))</f>
        <v>0</v>
      </c>
      <c r="D547" s="834">
        <f t="shared" ref="D547:P547" si="327">IF(D546&lt;0,"нет",IF(AND(D546&gt;0,C547="нет"),D494,0))</f>
        <v>0</v>
      </c>
      <c r="E547" s="834" t="str">
        <f t="shared" si="327"/>
        <v>нет</v>
      </c>
      <c r="F547" s="834" t="str">
        <f t="shared" si="327"/>
        <v>нет</v>
      </c>
      <c r="G547" s="834" t="str">
        <f t="shared" si="327"/>
        <v>нет</v>
      </c>
      <c r="H547" s="834" t="str">
        <f t="shared" si="327"/>
        <v>нет</v>
      </c>
      <c r="I547" s="834" t="str">
        <f t="shared" si="327"/>
        <v>нет</v>
      </c>
      <c r="J547" s="834" t="str">
        <f t="shared" si="327"/>
        <v>нет</v>
      </c>
      <c r="K547" s="834" t="str">
        <f t="shared" si="327"/>
        <v>нет</v>
      </c>
      <c r="L547" s="834" t="str">
        <f t="shared" si="327"/>
        <v>нет</v>
      </c>
      <c r="M547" s="834" t="str">
        <f t="shared" si="327"/>
        <v>нет</v>
      </c>
      <c r="N547" s="834" t="str">
        <f t="shared" si="327"/>
        <v>нет</v>
      </c>
      <c r="O547" s="834">
        <f t="shared" si="327"/>
        <v>11</v>
      </c>
      <c r="P547" s="834">
        <f t="shared" si="327"/>
        <v>0</v>
      </c>
    </row>
    <row r="548" spans="1:16" s="797" customFormat="1" hidden="1" outlineLevel="1" x14ac:dyDescent="0.2">
      <c r="A548" s="798"/>
      <c r="B548" s="798"/>
      <c r="C548" s="827"/>
      <c r="D548" s="827"/>
      <c r="E548" s="827"/>
      <c r="F548" s="827"/>
      <c r="G548" s="827"/>
      <c r="H548" s="827"/>
      <c r="I548" s="827"/>
      <c r="J548" s="827"/>
      <c r="K548" s="827"/>
      <c r="L548" s="827"/>
      <c r="M548" s="827"/>
      <c r="N548" s="827"/>
      <c r="O548" s="827"/>
      <c r="P548" s="827"/>
    </row>
    <row r="549" spans="1:16" s="797" customFormat="1" hidden="1" outlineLevel="1" x14ac:dyDescent="0.2">
      <c r="A549" s="811" t="s">
        <v>27</v>
      </c>
      <c r="B549" s="798"/>
      <c r="C549" s="827">
        <f>+C499</f>
        <v>1</v>
      </c>
      <c r="D549" s="827">
        <f t="shared" ref="D549:P549" si="328">+D499</f>
        <v>0.89285714285714279</v>
      </c>
      <c r="E549" s="827">
        <f t="shared" si="328"/>
        <v>0.79719387755102034</v>
      </c>
      <c r="F549" s="827">
        <f t="shared" si="328"/>
        <v>0.71178024781341087</v>
      </c>
      <c r="G549" s="827">
        <f t="shared" si="328"/>
        <v>0.63551807840483121</v>
      </c>
      <c r="H549" s="827">
        <f t="shared" si="328"/>
        <v>0.56742685571859919</v>
      </c>
      <c r="I549" s="827">
        <f t="shared" si="328"/>
        <v>0.50663112117732068</v>
      </c>
      <c r="J549" s="827">
        <f t="shared" si="328"/>
        <v>0.45234921533689343</v>
      </c>
      <c r="K549" s="827">
        <f t="shared" si="328"/>
        <v>0.4038832279793691</v>
      </c>
      <c r="L549" s="827">
        <f t="shared" si="328"/>
        <v>0.36061002498157957</v>
      </c>
      <c r="M549" s="827">
        <f t="shared" si="328"/>
        <v>0.32197323659069599</v>
      </c>
      <c r="N549" s="827">
        <f t="shared" si="328"/>
        <v>0.28747610409883567</v>
      </c>
      <c r="O549" s="827">
        <f t="shared" si="328"/>
        <v>0.25667509294538904</v>
      </c>
      <c r="P549" s="827">
        <f t="shared" si="328"/>
        <v>0.22917419012981158</v>
      </c>
    </row>
    <row r="550" spans="1:16" s="797" customFormat="1" hidden="1" outlineLevel="1" x14ac:dyDescent="0.2">
      <c r="A550" s="808" t="s">
        <v>136</v>
      </c>
      <c r="B550" s="804" t="s">
        <v>15</v>
      </c>
      <c r="C550" s="828">
        <f>C545*C549</f>
        <v>160453.80555942081</v>
      </c>
      <c r="D550" s="828">
        <f>D545*D549</f>
        <v>171611.4882607733</v>
      </c>
      <c r="E550" s="828">
        <f t="shared" ref="E550:O550" si="329">E545*E549</f>
        <v>-611117.95590152685</v>
      </c>
      <c r="F550" s="828">
        <f t="shared" si="329"/>
        <v>-434986.05379351851</v>
      </c>
      <c r="G550" s="828">
        <f t="shared" si="329"/>
        <v>-307285.5285816323</v>
      </c>
      <c r="H550" s="828">
        <f t="shared" si="329"/>
        <v>-235689.09132420478</v>
      </c>
      <c r="I550" s="828">
        <f t="shared" si="329"/>
        <v>-166192.26290071732</v>
      </c>
      <c r="J550" s="828">
        <f t="shared" si="329"/>
        <v>192207.72857122915</v>
      </c>
      <c r="K550" s="828">
        <f t="shared" si="329"/>
        <v>166062.9335472605</v>
      </c>
      <c r="L550" s="828">
        <f t="shared" si="329"/>
        <v>154228.48762811205</v>
      </c>
      <c r="M550" s="828">
        <f t="shared" si="329"/>
        <v>142868.20890882041</v>
      </c>
      <c r="N550" s="828">
        <f t="shared" si="329"/>
        <v>132336.44197639744</v>
      </c>
      <c r="O550" s="828">
        <f t="shared" si="329"/>
        <v>122564.10892785944</v>
      </c>
      <c r="P550" s="828">
        <f>P545*P549</f>
        <v>102613.77187585531</v>
      </c>
    </row>
    <row r="551" spans="1:16" s="797" customFormat="1" hidden="1" outlineLevel="1" x14ac:dyDescent="0.2">
      <c r="A551" s="809" t="s">
        <v>135</v>
      </c>
      <c r="B551" s="810" t="s">
        <v>15</v>
      </c>
      <c r="C551" s="827">
        <f>C550</f>
        <v>160453.80555942081</v>
      </c>
      <c r="D551" s="827">
        <f>C551+D550</f>
        <v>332065.29382019409</v>
      </c>
      <c r="E551" s="827">
        <f>D551+E550</f>
        <v>-279052.66208133276</v>
      </c>
      <c r="F551" s="827">
        <f>E551+F550</f>
        <v>-714038.71587485122</v>
      </c>
      <c r="G551" s="827">
        <f>F551+G550</f>
        <v>-1021324.2444564835</v>
      </c>
      <c r="H551" s="827">
        <f t="shared" ref="H551:O551" si="330">G551+H550</f>
        <v>-1257013.3357806883</v>
      </c>
      <c r="I551" s="827">
        <f t="shared" si="330"/>
        <v>-1423205.5986814057</v>
      </c>
      <c r="J551" s="827">
        <f t="shared" si="330"/>
        <v>-1230997.8701101765</v>
      </c>
      <c r="K551" s="827">
        <f>J551+K550</f>
        <v>-1064934.936562916</v>
      </c>
      <c r="L551" s="827">
        <f t="shared" si="330"/>
        <v>-910706.44893480395</v>
      </c>
      <c r="M551" s="827">
        <f t="shared" si="330"/>
        <v>-767838.24002598354</v>
      </c>
      <c r="N551" s="827">
        <f t="shared" si="330"/>
        <v>-635501.79804958613</v>
      </c>
      <c r="O551" s="827">
        <f t="shared" si="330"/>
        <v>-512937.68912172667</v>
      </c>
      <c r="P551" s="827">
        <f>O551+P550</f>
        <v>-410323.91724587139</v>
      </c>
    </row>
    <row r="552" spans="1:16" s="797" customFormat="1" hidden="1" outlineLevel="1" x14ac:dyDescent="0.2">
      <c r="A552" s="809" t="s">
        <v>256</v>
      </c>
      <c r="B552" s="810" t="s">
        <v>88</v>
      </c>
      <c r="C552" s="834">
        <f>IF(C551&lt;0,"нет",IF(C551&gt;0,C494,0))</f>
        <v>0</v>
      </c>
      <c r="D552" s="834">
        <f t="shared" ref="D552:P552" si="331">IF(D551&lt;0,"нет",IF(AND(D551&gt;0,C552="нет"),D494,0))</f>
        <v>0</v>
      </c>
      <c r="E552" s="834" t="str">
        <f t="shared" si="331"/>
        <v>нет</v>
      </c>
      <c r="F552" s="834" t="str">
        <f t="shared" si="331"/>
        <v>нет</v>
      </c>
      <c r="G552" s="834" t="str">
        <f t="shared" si="331"/>
        <v>нет</v>
      </c>
      <c r="H552" s="834" t="str">
        <f t="shared" si="331"/>
        <v>нет</v>
      </c>
      <c r="I552" s="834" t="str">
        <f t="shared" si="331"/>
        <v>нет</v>
      </c>
      <c r="J552" s="834" t="str">
        <f t="shared" si="331"/>
        <v>нет</v>
      </c>
      <c r="K552" s="834" t="str">
        <f t="shared" si="331"/>
        <v>нет</v>
      </c>
      <c r="L552" s="834" t="str">
        <f t="shared" si="331"/>
        <v>нет</v>
      </c>
      <c r="M552" s="834" t="str">
        <f t="shared" si="331"/>
        <v>нет</v>
      </c>
      <c r="N552" s="834" t="str">
        <f t="shared" si="331"/>
        <v>нет</v>
      </c>
      <c r="O552" s="834" t="str">
        <f t="shared" si="331"/>
        <v>нет</v>
      </c>
      <c r="P552" s="834" t="str">
        <f t="shared" si="331"/>
        <v>нет</v>
      </c>
    </row>
    <row r="553" spans="1:16" s="797" customFormat="1" hidden="1" outlineLevel="1" x14ac:dyDescent="0.2">
      <c r="A553" s="798"/>
      <c r="B553" s="798"/>
      <c r="C553" s="827"/>
      <c r="D553" s="827"/>
      <c r="E553" s="827"/>
      <c r="F553" s="827"/>
      <c r="G553" s="827"/>
      <c r="H553" s="827"/>
      <c r="I553" s="827"/>
      <c r="J553" s="827"/>
      <c r="K553" s="827"/>
      <c r="L553" s="827"/>
      <c r="M553" s="827"/>
      <c r="N553" s="827"/>
      <c r="O553" s="827"/>
      <c r="P553" s="827"/>
    </row>
    <row r="554" spans="1:16" s="797" customFormat="1" hidden="1" outlineLevel="1" x14ac:dyDescent="0.2">
      <c r="A554" s="812" t="s">
        <v>137</v>
      </c>
      <c r="B554" s="796" t="s">
        <v>15</v>
      </c>
      <c r="C554" s="835"/>
      <c r="D554" s="835"/>
      <c r="E554" s="835"/>
      <c r="F554" s="835"/>
      <c r="G554" s="835"/>
      <c r="H554" s="835"/>
      <c r="I554" s="835"/>
      <c r="J554" s="835"/>
      <c r="K554" s="835"/>
      <c r="L554" s="835"/>
      <c r="M554" s="835"/>
      <c r="N554" s="835"/>
      <c r="O554" s="835"/>
      <c r="P554" s="835"/>
    </row>
    <row r="555" spans="1:16" s="797" customFormat="1" hidden="1" outlineLevel="1" x14ac:dyDescent="0.2">
      <c r="A555" s="812" t="s">
        <v>138</v>
      </c>
      <c r="B555" s="796" t="s">
        <v>88</v>
      </c>
      <c r="C555" s="835"/>
      <c r="D555" s="835"/>
      <c r="E555" s="835"/>
      <c r="F555" s="835"/>
      <c r="G555" s="835"/>
      <c r="H555" s="835"/>
      <c r="I555" s="835"/>
      <c r="J555" s="835"/>
      <c r="K555" s="835"/>
      <c r="L555" s="835"/>
      <c r="M555" s="835"/>
      <c r="N555" s="835"/>
      <c r="O555" s="835"/>
      <c r="P555" s="835"/>
    </row>
    <row r="556" spans="1:16" s="797" customFormat="1" hidden="1" outlineLevel="1" x14ac:dyDescent="0.2">
      <c r="A556" s="812" t="s">
        <v>139</v>
      </c>
      <c r="B556" s="796" t="s">
        <v>88</v>
      </c>
      <c r="C556" s="835"/>
      <c r="D556" s="835"/>
      <c r="E556" s="835"/>
      <c r="F556" s="835"/>
      <c r="G556" s="835"/>
      <c r="H556" s="835"/>
      <c r="I556" s="835"/>
      <c r="J556" s="835"/>
      <c r="K556" s="835"/>
      <c r="L556" s="835"/>
      <c r="M556" s="835"/>
      <c r="N556" s="835"/>
      <c r="O556" s="835"/>
      <c r="P556" s="835"/>
    </row>
    <row r="557" spans="1:16" s="797" customFormat="1" hidden="1" outlineLevel="1" x14ac:dyDescent="0.2">
      <c r="A557" s="812" t="s">
        <v>140</v>
      </c>
      <c r="B557" s="796" t="s">
        <v>29</v>
      </c>
      <c r="C557" s="835"/>
      <c r="D557" s="835"/>
      <c r="E557" s="835"/>
      <c r="F557" s="835"/>
      <c r="G557" s="835"/>
      <c r="H557" s="835"/>
      <c r="I557" s="835"/>
      <c r="J557" s="835"/>
      <c r="K557" s="835"/>
      <c r="L557" s="835"/>
      <c r="M557" s="835"/>
      <c r="N557" s="835"/>
      <c r="O557" s="835"/>
      <c r="P557" s="835"/>
    </row>
    <row r="558" spans="1:16" collapsed="1" x14ac:dyDescent="0.2">
      <c r="A558" s="755"/>
    </row>
  </sheetData>
  <mergeCells count="1">
    <mergeCell ref="A94:A97"/>
  </mergeCells>
  <conditionalFormatting sqref="C531:P531 C510:P510 C474:P474 C463:P463 C457:P457">
    <cfRule type="cellIs" dxfId="0" priority="26" operator="notEqual">
      <formula>0</formula>
    </cfRule>
  </conditionalFormatting>
  <printOptions horizontalCentered="1"/>
  <pageMargins left="0.23622047244094491" right="0.23622047244094491" top="0.55118110236220474" bottom="0.35433070866141736" header="0.31496062992125984" footer="0.31496062992125984"/>
  <pageSetup paperSize="9" pageOrder="overThenDown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Z69"/>
  <sheetViews>
    <sheetView tabSelected="1" view="pageBreakPreview" zoomScaleNormal="100" zoomScaleSheetLayoutView="100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R39" sqref="R39"/>
    </sheetView>
  </sheetViews>
  <sheetFormatPr defaultRowHeight="11.25" x14ac:dyDescent="0.2"/>
  <cols>
    <col min="1" max="1" width="40.42578125" style="634" customWidth="1"/>
    <col min="2" max="2" width="9.140625" style="634"/>
    <col min="3" max="16" width="10.140625" style="634" customWidth="1"/>
    <col min="17" max="17" width="2.85546875" style="634" customWidth="1"/>
    <col min="18" max="18" width="26.85546875" style="232" customWidth="1"/>
    <col min="19" max="19" width="9.140625" style="634"/>
    <col min="20" max="25" width="10.42578125" style="634" customWidth="1"/>
    <col min="26" max="26" width="10.140625" style="634" customWidth="1"/>
    <col min="27" max="16384" width="9.140625" style="634"/>
  </cols>
  <sheetData>
    <row r="1" spans="1:18" ht="22.5" customHeight="1" x14ac:dyDescent="0.2">
      <c r="A1" s="924" t="s">
        <v>722</v>
      </c>
      <c r="B1" s="924"/>
    </row>
    <row r="2" spans="1:18" s="633" customFormat="1" ht="22.5" x14ac:dyDescent="0.2">
      <c r="A2" s="631" t="s">
        <v>14</v>
      </c>
      <c r="B2" s="631" t="s">
        <v>82</v>
      </c>
      <c r="C2" s="900" t="str">
        <f>+'ТЭЦ-1'!C3</f>
        <v>2017 (факт)</v>
      </c>
      <c r="D2" s="892" t="str">
        <f>+'ТЭЦ-1'!D3</f>
        <v>2018 (база)</v>
      </c>
      <c r="E2" s="892">
        <f>+'ТЭЦ-1'!E3</f>
        <v>2019</v>
      </c>
      <c r="F2" s="892">
        <f>+'ТЭЦ-1'!F3</f>
        <v>2020</v>
      </c>
      <c r="G2" s="892">
        <f>+'ТЭЦ-1'!G3</f>
        <v>2021</v>
      </c>
      <c r="H2" s="892">
        <f>+'ТЭЦ-1'!H3</f>
        <v>2022</v>
      </c>
      <c r="I2" s="892">
        <f>+'ТЭЦ-1'!I3</f>
        <v>2023</v>
      </c>
      <c r="J2" s="892">
        <f>+'ТЭЦ-1'!J3</f>
        <v>2024</v>
      </c>
      <c r="K2" s="892">
        <f>+'ТЭЦ-1'!K3</f>
        <v>2025</v>
      </c>
      <c r="L2" s="892">
        <f>+'ТЭЦ-1'!L3</f>
        <v>2026</v>
      </c>
      <c r="M2" s="892">
        <f>+'ТЭЦ-1'!M3</f>
        <v>2027</v>
      </c>
      <c r="N2" s="892">
        <f>+'ТЭЦ-1'!N3</f>
        <v>2028</v>
      </c>
      <c r="O2" s="892">
        <f>+'ТЭЦ-1'!O3</f>
        <v>2029</v>
      </c>
      <c r="P2" s="892">
        <f>+'ТЭЦ-1'!P3</f>
        <v>2030</v>
      </c>
      <c r="R2" s="144"/>
    </row>
    <row r="3" spans="1:18" s="893" customFormat="1" x14ac:dyDescent="0.2">
      <c r="A3" s="631">
        <f>COLUMN()</f>
        <v>1</v>
      </c>
      <c r="B3" s="631">
        <f>COLUMN()</f>
        <v>2</v>
      </c>
      <c r="C3" s="631">
        <f>COLUMN()</f>
        <v>3</v>
      </c>
      <c r="D3" s="631">
        <f>COLUMN()</f>
        <v>4</v>
      </c>
      <c r="E3" s="631">
        <f>COLUMN()</f>
        <v>5</v>
      </c>
      <c r="F3" s="631">
        <f>COLUMN()</f>
        <v>6</v>
      </c>
      <c r="G3" s="631">
        <f>COLUMN()</f>
        <v>7</v>
      </c>
      <c r="H3" s="631">
        <f>COLUMN()</f>
        <v>8</v>
      </c>
      <c r="I3" s="631">
        <f>COLUMN()</f>
        <v>9</v>
      </c>
      <c r="J3" s="631">
        <f>COLUMN()</f>
        <v>10</v>
      </c>
      <c r="K3" s="631">
        <f>COLUMN()</f>
        <v>11</v>
      </c>
      <c r="L3" s="631">
        <f>COLUMN()</f>
        <v>12</v>
      </c>
      <c r="M3" s="631">
        <f>COLUMN()</f>
        <v>13</v>
      </c>
      <c r="N3" s="631">
        <f>COLUMN()</f>
        <v>14</v>
      </c>
      <c r="O3" s="631">
        <f>COLUMN()</f>
        <v>15</v>
      </c>
      <c r="P3" s="631">
        <f>COLUMN()</f>
        <v>16</v>
      </c>
      <c r="R3" s="139"/>
    </row>
    <row r="4" spans="1:18" ht="22.5" x14ac:dyDescent="0.2">
      <c r="A4" s="6" t="s">
        <v>708</v>
      </c>
      <c r="B4" s="894" t="s">
        <v>15</v>
      </c>
      <c r="C4" s="889">
        <f>SUM(C5:C9)</f>
        <v>5139853.9813647615</v>
      </c>
      <c r="D4" s="889">
        <f t="shared" ref="D4:P4" si="0">SUM(D5:D9)</f>
        <v>5716033.2259977143</v>
      </c>
      <c r="E4" s="889">
        <f t="shared" si="0"/>
        <v>6118897.7886188487</v>
      </c>
      <c r="F4" s="889">
        <f t="shared" si="0"/>
        <v>6572689.2075823918</v>
      </c>
      <c r="G4" s="889">
        <f t="shared" si="0"/>
        <v>7139104.1345193908</v>
      </c>
      <c r="H4" s="889">
        <f t="shared" si="0"/>
        <v>7691668.7216004692</v>
      </c>
      <c r="I4" s="889">
        <f t="shared" si="0"/>
        <v>8350066.2566550616</v>
      </c>
      <c r="J4" s="889">
        <f t="shared" si="0"/>
        <v>8552436.8615687899</v>
      </c>
      <c r="K4" s="889">
        <f t="shared" si="0"/>
        <v>8746403.8107212149</v>
      </c>
      <c r="L4" s="889">
        <f t="shared" si="0"/>
        <v>8943910.0392311476</v>
      </c>
      <c r="M4" s="889">
        <f t="shared" si="0"/>
        <v>9050902.5304885488</v>
      </c>
      <c r="N4" s="889">
        <f t="shared" si="0"/>
        <v>9158916.0739402045</v>
      </c>
      <c r="O4" s="889">
        <f t="shared" si="0"/>
        <v>9338234.4547290821</v>
      </c>
      <c r="P4" s="889">
        <f t="shared" si="0"/>
        <v>9592480.0893885307</v>
      </c>
    </row>
    <row r="5" spans="1:18" x14ac:dyDescent="0.2">
      <c r="A5" s="887" t="s">
        <v>710</v>
      </c>
      <c r="B5" s="894" t="s">
        <v>15</v>
      </c>
      <c r="C5" s="697">
        <f>+Фин.модель!C459</f>
        <v>1597244.1134754075</v>
      </c>
      <c r="D5" s="697">
        <f>+Фин.модель!D459</f>
        <v>1791658.0463581537</v>
      </c>
      <c r="E5" s="697">
        <f>+Фин.модель!E459</f>
        <v>1815201.8925317738</v>
      </c>
      <c r="F5" s="697">
        <f>+Фин.модель!F459</f>
        <v>1839387.3101803618</v>
      </c>
      <c r="G5" s="697">
        <f>+Фин.модель!G459</f>
        <v>1864237.8844699082</v>
      </c>
      <c r="H5" s="697">
        <f>+Фин.модель!H459</f>
        <v>1854875.1096189558</v>
      </c>
      <c r="I5" s="697">
        <f>+Фин.модель!I459</f>
        <v>1889743.9627646164</v>
      </c>
      <c r="J5" s="697">
        <f>+Фин.модель!J459</f>
        <v>1924680.1604642377</v>
      </c>
      <c r="K5" s="697">
        <f>+Фин.модель!K459</f>
        <v>1951711.2987910958</v>
      </c>
      <c r="L5" s="697">
        <f>+Фин.модель!L459</f>
        <v>1979510.770735878</v>
      </c>
      <c r="M5" s="697">
        <f>+Фин.модель!M459</f>
        <v>2008107.1410429874</v>
      </c>
      <c r="N5" s="697">
        <f>+Фин.модель!N459</f>
        <v>2037530.1018528212</v>
      </c>
      <c r="O5" s="697">
        <f>+Фин.модель!O459</f>
        <v>2067810.5177260116</v>
      </c>
      <c r="P5" s="697">
        <f>+Фин.модель!P459</f>
        <v>2098980.4724700311</v>
      </c>
    </row>
    <row r="6" spans="1:18" x14ac:dyDescent="0.2">
      <c r="A6" s="887" t="s">
        <v>712</v>
      </c>
      <c r="B6" s="894" t="s">
        <v>15</v>
      </c>
      <c r="C6" s="697">
        <f>+Фин.модель!C265+Сети!C109</f>
        <v>3423348.9186693528</v>
      </c>
      <c r="D6" s="697">
        <f>+Фин.модель!D265+Сети!D109</f>
        <v>3803390.8972495236</v>
      </c>
      <c r="E6" s="697">
        <f>+Фин.модель!E265+Сети!E109</f>
        <v>4177872.242401436</v>
      </c>
      <c r="F6" s="697">
        <f>+Фин.модель!F265+Сети!F109</f>
        <v>4602445.2975689666</v>
      </c>
      <c r="G6" s="697">
        <f>+Фин.модель!G265+Сети!G109</f>
        <v>5141756.2587476615</v>
      </c>
      <c r="H6" s="697">
        <f>+Фин.модель!H265+Сети!H109</f>
        <v>5703009.4341028733</v>
      </c>
      <c r="I6" s="697">
        <f>+Фин.модель!I265+Сети!I109</f>
        <v>6321186.7488966584</v>
      </c>
      <c r="J6" s="697">
        <f>+Фин.модель!J265+Сети!J109</f>
        <v>6483055.7343110144</v>
      </c>
      <c r="K6" s="697">
        <f>+Фин.модель!K265+Сети!K109</f>
        <v>6644204.3913613195</v>
      </c>
      <c r="L6" s="697">
        <f>+Фин.модель!L265+Сети!L109</f>
        <v>6807891.6231037201</v>
      </c>
      <c r="M6" s="697">
        <f>+Фин.модель!M265+Сети!M109</f>
        <v>6880027.4382383497</v>
      </c>
      <c r="N6" s="697">
        <f>+Фин.модель!N265+Сети!N109</f>
        <v>6952107.3028318835</v>
      </c>
      <c r="O6" s="697">
        <f>+Фин.модель!O265+Сети!O109</f>
        <v>7094374.1209773486</v>
      </c>
      <c r="P6" s="697">
        <f>+Фин.модель!P265+Сети!P109</f>
        <v>7310407.8082517497</v>
      </c>
    </row>
    <row r="7" spans="1:18" x14ac:dyDescent="0.2">
      <c r="A7" s="887" t="s">
        <v>711</v>
      </c>
      <c r="B7" s="894" t="s">
        <v>15</v>
      </c>
      <c r="C7" s="697">
        <f>+Фин.модель!C303</f>
        <v>104252.98781999998</v>
      </c>
      <c r="D7" s="697">
        <f>+Фин.модель!D303</f>
        <v>105376.00253403702</v>
      </c>
      <c r="E7" s="697">
        <f>+Фин.модель!E303</f>
        <v>109591.04263539851</v>
      </c>
      <c r="F7" s="697">
        <f>+Фин.модель!F303</f>
        <v>113974.68434081445</v>
      </c>
      <c r="G7" s="697">
        <f>+Фин.модель!G303</f>
        <v>115552.79918988256</v>
      </c>
      <c r="H7" s="697">
        <f>+Фин.модель!H303</f>
        <v>115524.69808222383</v>
      </c>
      <c r="I7" s="697">
        <f>+Фин.модель!I303</f>
        <v>120145.68600551278</v>
      </c>
      <c r="J7" s="697">
        <f>+Фин.модель!J303</f>
        <v>124951.51344573328</v>
      </c>
      <c r="K7" s="697">
        <f>+Фин.модель!K303</f>
        <v>129948.6890870815</v>
      </c>
      <c r="L7" s="697">
        <f>+Фин.модель!L303</f>
        <v>135146.63665056473</v>
      </c>
      <c r="M7" s="697">
        <f>+Фин.модель!M303</f>
        <v>140552.50211658736</v>
      </c>
      <c r="N7" s="697">
        <f>+Фин.модель!N303</f>
        <v>146174.60220125085</v>
      </c>
      <c r="O7" s="697">
        <f>+Фин.модель!O303</f>
        <v>152021.58628930087</v>
      </c>
      <c r="P7" s="697">
        <f>+Фин.модель!P303</f>
        <v>158102.44974087292</v>
      </c>
    </row>
    <row r="8" spans="1:18" x14ac:dyDescent="0.2">
      <c r="A8" s="887" t="str">
        <f>+Фин.модель!A286</f>
        <v>Выручка от прочих видов деятельности</v>
      </c>
      <c r="B8" s="894" t="s">
        <v>15</v>
      </c>
      <c r="C8" s="697">
        <f>+Фин.модель!C286</f>
        <v>15007.9614</v>
      </c>
      <c r="D8" s="697">
        <f>+Фин.модель!D286</f>
        <v>15608.279855999999</v>
      </c>
      <c r="E8" s="697">
        <f>+Фин.модель!E286</f>
        <v>16232.611050240001</v>
      </c>
      <c r="F8" s="697">
        <f>+Фин.модель!F286</f>
        <v>16881.915492249598</v>
      </c>
      <c r="G8" s="697">
        <f>+Фин.модель!G286</f>
        <v>17557.192111939585</v>
      </c>
      <c r="H8" s="697">
        <f>+Фин.модель!H286</f>
        <v>18259.479796417167</v>
      </c>
      <c r="I8" s="697">
        <f>+Фин.модель!I286</f>
        <v>18989.858988273856</v>
      </c>
      <c r="J8" s="697">
        <f>+Фин.модель!J286</f>
        <v>19749.453347804811</v>
      </c>
      <c r="K8" s="697">
        <f>+Фин.модель!K286</f>
        <v>20539.431481717005</v>
      </c>
      <c r="L8" s="697">
        <f>+Фин.модель!L286</f>
        <v>21361.008740985686</v>
      </c>
      <c r="M8" s="697">
        <f>+Фин.модель!M286</f>
        <v>22215.449090625116</v>
      </c>
      <c r="N8" s="697">
        <f>+Фин.модель!N286</f>
        <v>23104.067054250121</v>
      </c>
      <c r="O8" s="697">
        <f>+Фин.модель!O286</f>
        <v>24028.229736420126</v>
      </c>
      <c r="P8" s="697">
        <f>+Фин.модель!P286</f>
        <v>24989.358925876935</v>
      </c>
    </row>
    <row r="9" spans="1:18" x14ac:dyDescent="0.2">
      <c r="A9" s="644"/>
      <c r="B9" s="644"/>
      <c r="C9" s="644"/>
      <c r="D9" s="644"/>
      <c r="E9" s="644"/>
      <c r="F9" s="644"/>
      <c r="G9" s="644"/>
      <c r="H9" s="644"/>
      <c r="I9" s="644"/>
      <c r="J9" s="644"/>
      <c r="K9" s="644"/>
      <c r="L9" s="644"/>
      <c r="M9" s="644"/>
      <c r="N9" s="644"/>
      <c r="O9" s="644"/>
      <c r="P9" s="644"/>
    </row>
    <row r="10" spans="1:18" ht="22.5" x14ac:dyDescent="0.2">
      <c r="A10" s="6" t="s">
        <v>707</v>
      </c>
      <c r="B10" s="894" t="s">
        <v>15</v>
      </c>
      <c r="C10" s="889">
        <f t="shared" ref="C10:P10" si="1">SUM(C11:C19)</f>
        <v>5569779.3782733502</v>
      </c>
      <c r="D10" s="889">
        <f t="shared" si="1"/>
        <v>6145437.6180911884</v>
      </c>
      <c r="E10" s="889">
        <f t="shared" si="1"/>
        <v>6302358.0807538573</v>
      </c>
      <c r="F10" s="889">
        <f t="shared" si="1"/>
        <v>6433151.3501669345</v>
      </c>
      <c r="G10" s="889">
        <f t="shared" si="1"/>
        <v>6569649.0364673883</v>
      </c>
      <c r="H10" s="889">
        <f t="shared" si="1"/>
        <v>6726028.0286063692</v>
      </c>
      <c r="I10" s="889">
        <f t="shared" si="1"/>
        <v>6890846.3106345637</v>
      </c>
      <c r="J10" s="889">
        <f t="shared" si="1"/>
        <v>7049383.7359706815</v>
      </c>
      <c r="K10" s="889">
        <f t="shared" si="1"/>
        <v>7302291.3461857066</v>
      </c>
      <c r="L10" s="889">
        <f t="shared" si="1"/>
        <v>7582781.3825127017</v>
      </c>
      <c r="M10" s="889">
        <f t="shared" si="1"/>
        <v>7834646.6981701553</v>
      </c>
      <c r="N10" s="889">
        <f t="shared" si="1"/>
        <v>8095703.1993664159</v>
      </c>
      <c r="O10" s="889">
        <f t="shared" si="1"/>
        <v>8366285.5016786633</v>
      </c>
      <c r="P10" s="889">
        <f t="shared" si="1"/>
        <v>8649066.0575153828</v>
      </c>
    </row>
    <row r="11" spans="1:18" x14ac:dyDescent="0.2">
      <c r="A11" s="887" t="s">
        <v>120</v>
      </c>
      <c r="B11" s="894" t="s">
        <v>15</v>
      </c>
      <c r="C11" s="697">
        <f>+Фин.модель!C465</f>
        <v>3340664.7062179474</v>
      </c>
      <c r="D11" s="697">
        <f>+Фин.модель!D465</f>
        <v>3735669.9570124671</v>
      </c>
      <c r="E11" s="697">
        <f>+Фин.модель!E465</f>
        <v>3887300.2732036347</v>
      </c>
      <c r="F11" s="697">
        <f>+Фин.модель!F465</f>
        <v>3935528.2236649296</v>
      </c>
      <c r="G11" s="697">
        <f>+Фин.модель!G465</f>
        <v>4000219.0847057267</v>
      </c>
      <c r="H11" s="697">
        <f>+Фин.модель!H465</f>
        <v>4085118.2730054311</v>
      </c>
      <c r="I11" s="697">
        <f>+Фин.модель!I465</f>
        <v>4180160.8380871881</v>
      </c>
      <c r="J11" s="697">
        <f>+Фин.модель!J465</f>
        <v>4283256.612572534</v>
      </c>
      <c r="K11" s="697">
        <f>+Фин.модель!K465</f>
        <v>4474702.3487654999</v>
      </c>
      <c r="L11" s="697">
        <f>+Фин.модель!L465</f>
        <v>4673806.3046885775</v>
      </c>
      <c r="M11" s="697">
        <f>+Фин.модель!M465</f>
        <v>4841301.0475392351</v>
      </c>
      <c r="N11" s="697">
        <f>+Фин.модель!N465</f>
        <v>5014613.8184280861</v>
      </c>
      <c r="O11" s="697">
        <f>+Фин.модель!O465</f>
        <v>5193942.9287272422</v>
      </c>
      <c r="P11" s="697">
        <f>+Фин.модель!P465</f>
        <v>5379493.3444829686</v>
      </c>
    </row>
    <row r="12" spans="1:18" x14ac:dyDescent="0.2">
      <c r="A12" s="887" t="s">
        <v>121</v>
      </c>
      <c r="B12" s="894" t="s">
        <v>15</v>
      </c>
      <c r="C12" s="697">
        <f>+Фин.модель!C466</f>
        <v>854172.05766661849</v>
      </c>
      <c r="D12" s="697">
        <f>+Фин.модель!D466</f>
        <v>998107.41351907956</v>
      </c>
      <c r="E12" s="697">
        <f>+Фин.модель!E466</f>
        <v>1042707.5551724558</v>
      </c>
      <c r="F12" s="697">
        <f>+Фин.модель!F466</f>
        <v>1081953.2413570532</v>
      </c>
      <c r="G12" s="697">
        <f>+Фин.модель!G466</f>
        <v>1118463.8322513544</v>
      </c>
      <c r="H12" s="697">
        <f>+Фин.модель!H466</f>
        <v>1159369.8606822942</v>
      </c>
      <c r="I12" s="697">
        <f>+Фин.модель!I466</f>
        <v>1203344.3653674116</v>
      </c>
      <c r="J12" s="697">
        <f>+Фин.модель!J466</f>
        <v>1247120.9220148232</v>
      </c>
      <c r="K12" s="697">
        <f>+Фин.модель!K466</f>
        <v>1293277.6178783509</v>
      </c>
      <c r="L12" s="697">
        <f>+Фин.модель!L466</f>
        <v>1345648.7418330561</v>
      </c>
      <c r="M12" s="697">
        <f>+Фин.модель!M466</f>
        <v>1400001.2276720423</v>
      </c>
      <c r="N12" s="697">
        <f>+Фин.модель!N466</f>
        <v>1456539.493470262</v>
      </c>
      <c r="O12" s="697">
        <f>+Фин.модель!O466</f>
        <v>1515351.3109809458</v>
      </c>
      <c r="P12" s="697">
        <f>+Фин.модель!P466</f>
        <v>1576527.972617792</v>
      </c>
    </row>
    <row r="13" spans="1:18" x14ac:dyDescent="0.2">
      <c r="A13" s="887" t="s">
        <v>709</v>
      </c>
      <c r="B13" s="894" t="s">
        <v>15</v>
      </c>
      <c r="C13" s="697">
        <f>+Фин.модель!C467</f>
        <v>327318.15905000002</v>
      </c>
      <c r="D13" s="697">
        <f>+Фин.модель!D467</f>
        <v>408399.57947708026</v>
      </c>
      <c r="E13" s="697">
        <f>+Фин.модель!E467</f>
        <v>320185.45025821845</v>
      </c>
      <c r="F13" s="697">
        <f>+Фин.модель!F467</f>
        <v>330681.69909581653</v>
      </c>
      <c r="G13" s="697">
        <f>+Фин.модель!G467</f>
        <v>340740.15930304769</v>
      </c>
      <c r="H13" s="697">
        <f>+Фин.модель!H467</f>
        <v>351019.81040600239</v>
      </c>
      <c r="I13" s="697">
        <f>+Фин.модель!I467</f>
        <v>362742.08233694389</v>
      </c>
      <c r="J13" s="697">
        <f>+Фин.модель!J467</f>
        <v>373517.45649658918</v>
      </c>
      <c r="K13" s="697">
        <f>+Фин.модель!K467</f>
        <v>386799.42238080449</v>
      </c>
      <c r="L13" s="697">
        <f>+Фин.модель!L467</f>
        <v>402025.99484619766</v>
      </c>
      <c r="M13" s="697">
        <f>+Фин.модель!M467</f>
        <v>417795.71224807965</v>
      </c>
      <c r="N13" s="697">
        <f>+Фин.модель!N467</f>
        <v>434203.00311509997</v>
      </c>
      <c r="O13" s="697">
        <f>+Фин.модель!O467</f>
        <v>451273.56820111221</v>
      </c>
      <c r="P13" s="697">
        <f>+Фин.модель!P467</f>
        <v>469034.14197695616</v>
      </c>
    </row>
    <row r="14" spans="1:18" x14ac:dyDescent="0.2">
      <c r="A14" s="887" t="s">
        <v>125</v>
      </c>
      <c r="B14" s="894" t="s">
        <v>15</v>
      </c>
      <c r="C14" s="697">
        <f>+Фин.модель!C468</f>
        <v>155658.81893076201</v>
      </c>
      <c r="D14" s="697">
        <f>+Фин.модель!D468</f>
        <v>172550.14977428142</v>
      </c>
      <c r="E14" s="697">
        <f>+Фин.модель!E468</f>
        <v>179434.83275682101</v>
      </c>
      <c r="F14" s="697">
        <f>+Фин.модель!F468</f>
        <v>179090.96807670005</v>
      </c>
      <c r="G14" s="697">
        <f>+Фин.модель!G468</f>
        <v>173310.48216475055</v>
      </c>
      <c r="H14" s="697">
        <f>+Фин.модель!H468</f>
        <v>165863.96283746196</v>
      </c>
      <c r="I14" s="697">
        <f>+Фин.модель!I468</f>
        <v>163773.55254487833</v>
      </c>
      <c r="J14" s="697">
        <f>+Фин.модель!J468</f>
        <v>153694.06453494873</v>
      </c>
      <c r="K14" s="697">
        <f>+Фин.модель!K468</f>
        <v>152110.69254281337</v>
      </c>
      <c r="L14" s="697">
        <f>+Фин.модель!L468</f>
        <v>158242.10270674803</v>
      </c>
      <c r="M14" s="697">
        <f>+Фин.модель!M468</f>
        <v>164609.50294223253</v>
      </c>
      <c r="N14" s="697">
        <f>+Фин.модель!N468</f>
        <v>171232.55294755404</v>
      </c>
      <c r="O14" s="697">
        <f>+Фин.модель!O468</f>
        <v>178121.50652113691</v>
      </c>
      <c r="P14" s="697">
        <f>+Фин.модель!P468</f>
        <v>185287.02841276169</v>
      </c>
    </row>
    <row r="15" spans="1:18" x14ac:dyDescent="0.2">
      <c r="A15" s="887" t="s">
        <v>126</v>
      </c>
      <c r="B15" s="894" t="s">
        <v>15</v>
      </c>
      <c r="C15" s="697">
        <f>+Фин.модель!C469</f>
        <v>265343.44563581457</v>
      </c>
      <c r="D15" s="697">
        <f>+Фин.модель!D469</f>
        <v>254535.24758502448</v>
      </c>
      <c r="E15" s="697">
        <f>+Фин.модель!E469</f>
        <v>282231.36984188063</v>
      </c>
      <c r="F15" s="697">
        <f>+Фин.модель!F469</f>
        <v>304398.80392229185</v>
      </c>
      <c r="G15" s="697">
        <f>+Фин.модель!G469</f>
        <v>324336.4749731106</v>
      </c>
      <c r="H15" s="697">
        <f>+Фин.модель!H469</f>
        <v>343094.88146686577</v>
      </c>
      <c r="I15" s="697">
        <f>+Фин.модель!I469</f>
        <v>360701.8235659335</v>
      </c>
      <c r="J15" s="697">
        <f>+Фин.модель!J469</f>
        <v>357904.34734058299</v>
      </c>
      <c r="K15" s="697">
        <f>+Фин.модель!K469</f>
        <v>354564.65147665405</v>
      </c>
      <c r="L15" s="697">
        <f>+Фин.модель!L469</f>
        <v>354272.85256290389</v>
      </c>
      <c r="M15" s="697">
        <f>+Фин.модель!M469</f>
        <v>353995.48164861253</v>
      </c>
      <c r="N15" s="697">
        <f>+Фин.модель!N469</f>
        <v>353796.38424096187</v>
      </c>
      <c r="O15" s="697">
        <f>+Фин.модель!O469</f>
        <v>353681.62630266399</v>
      </c>
      <c r="P15" s="697">
        <f>+Фин.модель!P469</f>
        <v>354702.4969782792</v>
      </c>
    </row>
    <row r="16" spans="1:18" x14ac:dyDescent="0.2">
      <c r="A16" s="887" t="s">
        <v>717</v>
      </c>
      <c r="B16" s="894" t="s">
        <v>15</v>
      </c>
      <c r="C16" s="697">
        <f>+Фин.модель!C403+Фин.модель!C404+Фин.модель!C405</f>
        <v>255205.630992544</v>
      </c>
      <c r="D16" s="697">
        <f>+Фин.модель!D403+Фин.модель!D404+Фин.модель!D405</f>
        <v>265160.12978442642</v>
      </c>
      <c r="E16" s="697">
        <f>+Фин.модель!E403+Фин.модель!E404+Фин.модель!E405</f>
        <v>266843.85424392426</v>
      </c>
      <c r="F16" s="697">
        <f>+Фин.модель!F403+Фин.модель!F404+Фин.модель!F405</f>
        <v>266164.81531538407</v>
      </c>
      <c r="G16" s="697">
        <f>+Фин.модель!G403+Фин.модель!G404+Фин.модель!G405</f>
        <v>265847.83293075277</v>
      </c>
      <c r="H16" s="697">
        <f>+Фин.модель!H403+Фин.модель!H404+Фин.модель!H405</f>
        <v>260932.27967755657</v>
      </c>
      <c r="I16" s="697">
        <f>+Фин.модель!I403+Фин.модель!I404+Фин.модель!I405</f>
        <v>248339.77258914974</v>
      </c>
      <c r="J16" s="697">
        <f>+Фин.модель!J403+Фин.модель!J404+Фин.модель!J405</f>
        <v>248005.83934187569</v>
      </c>
      <c r="K16" s="697">
        <f>+Фин.модель!K403+Фин.модель!K404+Фин.модель!K405</f>
        <v>248786.91222881695</v>
      </c>
      <c r="L16" s="697">
        <f>+Фин.модель!L403+Фин.модель!L404+Фин.модель!L405</f>
        <v>250378.73275044136</v>
      </c>
      <c r="M16" s="697">
        <f>+Фин.модель!M403+Фин.модель!M404+Фин.модель!M405</f>
        <v>251982.35191548517</v>
      </c>
      <c r="N16" s="697">
        <f>+Фин.модель!N403+Фин.модель!N404+Фин.модель!N405</f>
        <v>253597.8675345298</v>
      </c>
      <c r="O16" s="697">
        <f>+Фин.модель!O403+Фин.модель!O404+Фин.модель!O405</f>
        <v>255225.37830551353</v>
      </c>
      <c r="P16" s="697">
        <f>+Фин.модель!P403+Фин.модель!P404+Фин.модель!P405</f>
        <v>256864.98382244114</v>
      </c>
    </row>
    <row r="17" spans="1:25" x14ac:dyDescent="0.2">
      <c r="A17" s="887" t="s">
        <v>718</v>
      </c>
      <c r="B17" s="894" t="s">
        <v>15</v>
      </c>
      <c r="C17" s="697">
        <f>+Фин.модель!C470-C16</f>
        <v>105314.02877966489</v>
      </c>
      <c r="D17" s="697">
        <f>+Фин.модель!D470-D16</f>
        <v>159787.14604012622</v>
      </c>
      <c r="E17" s="697">
        <f>+Фин.модель!E470-E16</f>
        <v>164580.76042132999</v>
      </c>
      <c r="F17" s="697">
        <f>+Фин.модель!F470-F16</f>
        <v>168728.16238255339</v>
      </c>
      <c r="G17" s="697">
        <f>+Фин.модель!G470-G16</f>
        <v>172014.08560485288</v>
      </c>
      <c r="H17" s="697">
        <f>+Фин.модель!H470-H16</f>
        <v>177174.50817299852</v>
      </c>
      <c r="I17" s="697">
        <f>+Фин.модель!I470-I16</f>
        <v>178917.2072360499</v>
      </c>
      <c r="J17" s="697">
        <f>+Фин.модель!J470-J16</f>
        <v>182877.73721778399</v>
      </c>
      <c r="K17" s="697">
        <f>+Фин.модель!K470-K16</f>
        <v>188364.06933431752</v>
      </c>
      <c r="L17" s="697">
        <f>+Фин.модель!L470-L16</f>
        <v>194014.99141434708</v>
      </c>
      <c r="M17" s="697">
        <f>+Фин.модель!M470-M16</f>
        <v>199835.4411567775</v>
      </c>
      <c r="N17" s="697">
        <f>+Фин.модель!N470-N16</f>
        <v>205830.50439148079</v>
      </c>
      <c r="O17" s="697">
        <f>+Фин.модель!O470-O16</f>
        <v>212005.41952322528</v>
      </c>
      <c r="P17" s="697">
        <f>+Фин.модель!P470-P16</f>
        <v>218365.58210892201</v>
      </c>
    </row>
    <row r="18" spans="1:25" x14ac:dyDescent="0.2">
      <c r="A18" s="887" t="s">
        <v>127</v>
      </c>
      <c r="B18" s="894" t="s">
        <v>15</v>
      </c>
      <c r="C18" s="697">
        <f>+Фин.модель!C471</f>
        <v>77468.757870000001</v>
      </c>
      <c r="D18" s="697">
        <f>+Фин.модель!D471</f>
        <v>71744.226325103533</v>
      </c>
      <c r="E18" s="697">
        <f>+Фин.модель!E471</f>
        <v>71905.664509279202</v>
      </c>
      <c r="F18" s="697">
        <f>+Фин.модель!F471</f>
        <v>72463.650378187333</v>
      </c>
      <c r="G18" s="697">
        <f>+Фин.модель!G471</f>
        <v>73043.955681851803</v>
      </c>
      <c r="H18" s="697">
        <f>+Фин.модель!H471</f>
        <v>73647.473197662854</v>
      </c>
      <c r="I18" s="697">
        <f>+Фин.модель!I471</f>
        <v>74275.131414106334</v>
      </c>
      <c r="J18" s="697">
        <f>+Фин.модель!J471</f>
        <v>74927.895959207555</v>
      </c>
      <c r="K18" s="697">
        <f>+Фин.модель!K471</f>
        <v>75606.771086112829</v>
      </c>
      <c r="L18" s="697">
        <f>+Фин.модель!L471</f>
        <v>76312.801218094333</v>
      </c>
      <c r="M18" s="697">
        <f>+Фин.модель!M471</f>
        <v>77047.072555355073</v>
      </c>
      <c r="N18" s="697">
        <f>+Фин.модель!N471</f>
        <v>77810.714746106241</v>
      </c>
      <c r="O18" s="697">
        <f>+Фин.модель!O471</f>
        <v>78604.902624487469</v>
      </c>
      <c r="P18" s="697">
        <f>+Фин.модель!P471</f>
        <v>79430.858018003943</v>
      </c>
    </row>
    <row r="19" spans="1:25" x14ac:dyDescent="0.2">
      <c r="A19" s="887" t="s">
        <v>713</v>
      </c>
      <c r="B19" s="894" t="s">
        <v>15</v>
      </c>
      <c r="C19" s="697">
        <f>+Фин.модель!C424</f>
        <v>188633.77312999999</v>
      </c>
      <c r="D19" s="697">
        <f>+Фин.модель!D424</f>
        <v>79483.768573599998</v>
      </c>
      <c r="E19" s="697">
        <f>+Фин.модель!E424</f>
        <v>87168.320346313587</v>
      </c>
      <c r="F19" s="697">
        <f>+Фин.модель!F424</f>
        <v>94141.785974018683</v>
      </c>
      <c r="G19" s="697">
        <f>+Фин.модель!G424</f>
        <v>101673.12885194019</v>
      </c>
      <c r="H19" s="697">
        <f>+Фин.модель!H424</f>
        <v>109806.9791600954</v>
      </c>
      <c r="I19" s="697">
        <f>+Фин.модель!I424</f>
        <v>118591.53749290305</v>
      </c>
      <c r="J19" s="697">
        <f>+Фин.модель!J424</f>
        <v>128078.8604923353</v>
      </c>
      <c r="K19" s="697">
        <f>+Фин.модель!K424</f>
        <v>128078.8604923353</v>
      </c>
      <c r="L19" s="697">
        <f>+Фин.модель!L424</f>
        <v>128078.8604923353</v>
      </c>
      <c r="M19" s="697">
        <f>+Фин.модель!M424</f>
        <v>128078.8604923353</v>
      </c>
      <c r="N19" s="697">
        <f>+Фин.модель!N424</f>
        <v>128078.8604923353</v>
      </c>
      <c r="O19" s="697">
        <f>+Фин.модель!O424</f>
        <v>128078.8604923353</v>
      </c>
      <c r="P19" s="697">
        <f>+Фин.модель!P424</f>
        <v>129359.64909725865</v>
      </c>
    </row>
    <row r="20" spans="1:25" x14ac:dyDescent="0.2">
      <c r="A20" s="644"/>
      <c r="B20" s="644"/>
      <c r="C20" s="644"/>
      <c r="D20" s="644"/>
      <c r="E20" s="644"/>
      <c r="F20" s="644"/>
      <c r="G20" s="644"/>
      <c r="H20" s="644"/>
      <c r="I20" s="644"/>
      <c r="J20" s="644"/>
      <c r="K20" s="644"/>
      <c r="L20" s="644"/>
      <c r="M20" s="644"/>
      <c r="N20" s="644"/>
      <c r="O20" s="644"/>
      <c r="P20" s="644"/>
    </row>
    <row r="21" spans="1:25" x14ac:dyDescent="0.2">
      <c r="A21" s="644" t="s">
        <v>132</v>
      </c>
      <c r="B21" s="894" t="s">
        <v>15</v>
      </c>
      <c r="C21" s="697">
        <f>+Фин.модель!C480</f>
        <v>0</v>
      </c>
      <c r="D21" s="697">
        <f>+Фин.модель!D480</f>
        <v>0</v>
      </c>
      <c r="E21" s="697">
        <f>+Фин.модель!E480</f>
        <v>0</v>
      </c>
      <c r="F21" s="697">
        <f>+Фин.модель!F480</f>
        <v>0</v>
      </c>
      <c r="G21" s="697">
        <f>+Фин.модель!G480</f>
        <v>19573.877167461207</v>
      </c>
      <c r="H21" s="697">
        <f>+Фин.модель!H480</f>
        <v>93528.022398360539</v>
      </c>
      <c r="I21" s="697">
        <f>+Фин.модель!I480</f>
        <v>190979.18177808472</v>
      </c>
      <c r="J21" s="697">
        <f>+Фин.модель!J480</f>
        <v>175713.5471333235</v>
      </c>
      <c r="K21" s="697">
        <f>+Фин.модель!K480</f>
        <v>155317.54030444287</v>
      </c>
      <c r="L21" s="697">
        <f>+Фин.модель!L480</f>
        <v>127626.64992629038</v>
      </c>
      <c r="M21" s="697">
        <f>+Фин.модель!M480</f>
        <v>84256.418857855722</v>
      </c>
      <c r="N21" s="697">
        <f>+Фин.модель!N480</f>
        <v>38601.392566483933</v>
      </c>
      <c r="O21" s="697">
        <f>+Фин.модель!O480</f>
        <v>8141.4554107589647</v>
      </c>
      <c r="P21" s="697">
        <f>+Фин.модель!P480</f>
        <v>4979.6112386877649</v>
      </c>
    </row>
    <row r="22" spans="1:25" x14ac:dyDescent="0.2">
      <c r="A22" s="644"/>
      <c r="B22" s="644"/>
      <c r="C22" s="644"/>
      <c r="D22" s="644"/>
      <c r="E22" s="644"/>
      <c r="F22" s="644"/>
      <c r="G22" s="644"/>
      <c r="H22" s="644"/>
      <c r="I22" s="644"/>
      <c r="J22" s="644"/>
      <c r="K22" s="644"/>
      <c r="L22" s="644"/>
      <c r="M22" s="644"/>
      <c r="N22" s="644"/>
      <c r="O22" s="644"/>
      <c r="P22" s="644"/>
    </row>
    <row r="23" spans="1:25" ht="22.5" x14ac:dyDescent="0.2">
      <c r="A23" s="6" t="s">
        <v>714</v>
      </c>
      <c r="B23" s="894" t="s">
        <v>15</v>
      </c>
      <c r="C23" s="889">
        <f>SUM(C24:C26)</f>
        <v>0</v>
      </c>
      <c r="D23" s="889">
        <f t="shared" ref="D23:P23" si="2">SUM(D24:D26)</f>
        <v>0</v>
      </c>
      <c r="E23" s="889">
        <f t="shared" si="2"/>
        <v>931723.6061512779</v>
      </c>
      <c r="F23" s="889">
        <f t="shared" si="2"/>
        <v>860410.72109148197</v>
      </c>
      <c r="G23" s="889">
        <f t="shared" si="2"/>
        <v>814435.25432459742</v>
      </c>
      <c r="H23" s="889">
        <f t="shared" si="2"/>
        <v>824224.5383482693</v>
      </c>
      <c r="I23" s="889">
        <f t="shared" si="2"/>
        <v>824181.9206914684</v>
      </c>
      <c r="J23" s="889">
        <f t="shared" si="2"/>
        <v>237041.39483074186</v>
      </c>
      <c r="K23" s="889">
        <f t="shared" si="2"/>
        <v>272561.55200634996</v>
      </c>
      <c r="L23" s="889">
        <f t="shared" si="2"/>
        <v>280658.81964281254</v>
      </c>
      <c r="M23" s="889">
        <f t="shared" si="2"/>
        <v>289979.96078042139</v>
      </c>
      <c r="N23" s="889">
        <f t="shared" si="2"/>
        <v>299578.53084982804</v>
      </c>
      <c r="O23" s="889">
        <f t="shared" si="2"/>
        <v>309496.78546357265</v>
      </c>
      <c r="P23" s="889">
        <f t="shared" si="2"/>
        <v>319744.2553712037</v>
      </c>
    </row>
    <row r="24" spans="1:25" x14ac:dyDescent="0.2">
      <c r="A24" s="44" t="s">
        <v>716</v>
      </c>
      <c r="B24" s="894" t="s">
        <v>15</v>
      </c>
      <c r="C24" s="697">
        <f>+Фин.модель!C489</f>
        <v>0</v>
      </c>
      <c r="D24" s="697">
        <f>+Фин.модель!D489</f>
        <v>0</v>
      </c>
      <c r="E24" s="697">
        <f>+Фин.модель!E489</f>
        <v>284215.82862002327</v>
      </c>
      <c r="F24" s="697">
        <f>+Фин.модель!F489</f>
        <v>390910.37265487714</v>
      </c>
      <c r="G24" s="697">
        <f>+Фин.модель!G489</f>
        <v>491159.5893821597</v>
      </c>
      <c r="H24" s="697">
        <f>+Фин.модель!H489</f>
        <v>591528.60340065917</v>
      </c>
      <c r="I24" s="697">
        <f>+Фин.модель!I489</f>
        <v>695303.21890815848</v>
      </c>
      <c r="J24" s="697">
        <f>+Фин.модель!J489</f>
        <v>237041.39483074186</v>
      </c>
      <c r="K24" s="697">
        <f>+Фин.модель!K489</f>
        <v>272561.55200634996</v>
      </c>
      <c r="L24" s="697">
        <f>+Фин.модель!L489</f>
        <v>280658.81964281254</v>
      </c>
      <c r="M24" s="697">
        <f>+Фин.модель!M489</f>
        <v>289979.96078042139</v>
      </c>
      <c r="N24" s="697">
        <f>+Фин.модель!N489</f>
        <v>299578.53084982804</v>
      </c>
      <c r="O24" s="697">
        <f>+Фин.модель!O489</f>
        <v>309496.78546357265</v>
      </c>
      <c r="P24" s="697">
        <f>+Фин.модель!P489</f>
        <v>319744.2553712037</v>
      </c>
    </row>
    <row r="25" spans="1:25" ht="22.5" x14ac:dyDescent="0.2">
      <c r="A25" s="44" t="s">
        <v>715</v>
      </c>
      <c r="B25" s="894" t="s">
        <v>15</v>
      </c>
      <c r="C25" s="697">
        <f>+Фин.модель!C490+Фин.модель!C491</f>
        <v>0</v>
      </c>
      <c r="D25" s="697">
        <f>+Фин.модель!D490+Фин.модель!D491</f>
        <v>0</v>
      </c>
      <c r="E25" s="697">
        <f>+Фин.модель!E490+Фин.модель!E491</f>
        <v>647507.77753125469</v>
      </c>
      <c r="F25" s="697">
        <f>+Фин.модель!F490+Фин.модель!F491</f>
        <v>469500.34843660484</v>
      </c>
      <c r="G25" s="697">
        <f>+Фин.модель!G490+Фин.модель!G491</f>
        <v>323275.66494243772</v>
      </c>
      <c r="H25" s="697">
        <f>+Фин.модель!H490+Фин.модель!H491</f>
        <v>232695.93494761013</v>
      </c>
      <c r="I25" s="697">
        <f>+Фин.модель!I490+Фин.модель!I491</f>
        <v>128878.70178330997</v>
      </c>
      <c r="J25" s="697">
        <f>+Фин.модель!J490+Фин.модель!J491</f>
        <v>0</v>
      </c>
      <c r="K25" s="697">
        <f>+Фин.модель!K490+Фин.модель!K491</f>
        <v>0</v>
      </c>
      <c r="L25" s="697">
        <f>+Фин.модель!L490+Фин.модель!L491</f>
        <v>0</v>
      </c>
      <c r="M25" s="697">
        <f>+Фин.модель!M490+Фин.модель!M491</f>
        <v>0</v>
      </c>
      <c r="N25" s="697">
        <f>+Фин.модель!N490+Фин.модель!N491</f>
        <v>0</v>
      </c>
      <c r="O25" s="697">
        <f>+Фин.модель!O490+Фин.модель!O491</f>
        <v>0</v>
      </c>
      <c r="P25" s="697">
        <f>+Фин.модель!P490+Фин.модель!P491</f>
        <v>0</v>
      </c>
    </row>
    <row r="26" spans="1:25" s="893" customFormat="1" x14ac:dyDescent="0.2">
      <c r="A26" s="149"/>
      <c r="B26" s="894"/>
      <c r="C26" s="910"/>
      <c r="D26" s="910"/>
      <c r="E26" s="910"/>
      <c r="F26" s="910"/>
      <c r="G26" s="910"/>
      <c r="H26" s="910"/>
      <c r="I26" s="910"/>
      <c r="J26" s="910"/>
      <c r="K26" s="910"/>
      <c r="L26" s="910"/>
      <c r="M26" s="910"/>
      <c r="N26" s="910"/>
      <c r="O26" s="910"/>
      <c r="P26" s="910"/>
      <c r="R26" s="139"/>
    </row>
    <row r="27" spans="1:25" ht="22.5" x14ac:dyDescent="0.2">
      <c r="A27" s="909" t="str">
        <f>+Фин.модель!A493</f>
        <v>Кроме того, средства, полученные за счет платы за подключение</v>
      </c>
      <c r="B27" s="894" t="s">
        <v>15</v>
      </c>
      <c r="C27" s="697">
        <f>+Фин.модель!C493</f>
        <v>0</v>
      </c>
      <c r="D27" s="697">
        <f>+Фин.модель!D493</f>
        <v>0</v>
      </c>
      <c r="E27" s="697">
        <f>+Фин.модель!E493</f>
        <v>48138.343236245571</v>
      </c>
      <c r="F27" s="697">
        <f>+Фин.модель!F493</f>
        <v>59596.77589203314</v>
      </c>
      <c r="G27" s="697">
        <f>+Фин.модель!G493</f>
        <v>63397.722686002155</v>
      </c>
      <c r="H27" s="697">
        <f>+Фин.модель!H493</f>
        <v>72041.841204183889</v>
      </c>
      <c r="I27" s="697">
        <f>+Фин.модель!I493</f>
        <v>73257.427336781475</v>
      </c>
      <c r="J27" s="697">
        <f>+Фин.модель!J493</f>
        <v>0</v>
      </c>
      <c r="K27" s="697">
        <f>+Фин.модель!K493</f>
        <v>0</v>
      </c>
      <c r="L27" s="697">
        <f>+Фин.модель!L493</f>
        <v>0</v>
      </c>
      <c r="M27" s="697">
        <f>+Фин.модель!M493</f>
        <v>0</v>
      </c>
      <c r="N27" s="697">
        <f>+Фин.модель!N493</f>
        <v>0</v>
      </c>
      <c r="O27" s="697">
        <f>+Фин.модель!O493</f>
        <v>0</v>
      </c>
      <c r="P27" s="697">
        <f>+Фин.модель!P493</f>
        <v>0</v>
      </c>
    </row>
    <row r="28" spans="1:25" x14ac:dyDescent="0.2">
      <c r="A28" s="644"/>
      <c r="B28" s="644"/>
      <c r="C28" s="644"/>
      <c r="D28" s="644"/>
      <c r="E28" s="644"/>
      <c r="F28" s="644"/>
      <c r="G28" s="644"/>
      <c r="H28" s="644"/>
      <c r="I28" s="644"/>
      <c r="J28" s="644"/>
      <c r="K28" s="644"/>
      <c r="L28" s="644"/>
      <c r="M28" s="644"/>
      <c r="N28" s="644"/>
      <c r="O28" s="644"/>
      <c r="P28" s="644"/>
    </row>
    <row r="29" spans="1:25" x14ac:dyDescent="0.2">
      <c r="A29" s="895" t="s">
        <v>134</v>
      </c>
      <c r="B29" s="894" t="s">
        <v>15</v>
      </c>
      <c r="C29" s="890">
        <f>+C4-C10-C23-C21</f>
        <v>-429925.39690858871</v>
      </c>
      <c r="D29" s="890">
        <f t="shared" ref="D29:P29" si="3">+D4-D10-D23-D21</f>
        <v>-429404.39209347405</v>
      </c>
      <c r="E29" s="890">
        <f t="shared" si="3"/>
        <v>-1115183.8982862865</v>
      </c>
      <c r="F29" s="890">
        <f t="shared" si="3"/>
        <v>-720872.86367602472</v>
      </c>
      <c r="G29" s="890">
        <f t="shared" si="3"/>
        <v>-264554.03344005614</v>
      </c>
      <c r="H29" s="890">
        <f t="shared" si="3"/>
        <v>47888.132247470203</v>
      </c>
      <c r="I29" s="890">
        <f t="shared" si="3"/>
        <v>444058.84355094482</v>
      </c>
      <c r="J29" s="890">
        <f>+J4-J10-J23-J21</f>
        <v>1090298.183634043</v>
      </c>
      <c r="K29" s="890">
        <f t="shared" si="3"/>
        <v>1016233.3722247155</v>
      </c>
      <c r="L29" s="890">
        <f t="shared" si="3"/>
        <v>952843.18714934308</v>
      </c>
      <c r="M29" s="890">
        <f t="shared" si="3"/>
        <v>842019.4526801164</v>
      </c>
      <c r="N29" s="890">
        <f t="shared" si="3"/>
        <v>725032.95115747664</v>
      </c>
      <c r="O29" s="890">
        <f t="shared" si="3"/>
        <v>654310.71217608708</v>
      </c>
      <c r="P29" s="890">
        <f t="shared" si="3"/>
        <v>618690.16526325652</v>
      </c>
    </row>
    <row r="30" spans="1:25" x14ac:dyDescent="0.2">
      <c r="A30" s="896" t="s">
        <v>135</v>
      </c>
      <c r="B30" s="894" t="s">
        <v>15</v>
      </c>
      <c r="C30" s="918">
        <f>-[3]Лист1!$AM$30</f>
        <v>-3644352.31874</v>
      </c>
      <c r="D30" s="890">
        <f>+C30+D29</f>
        <v>-4073756.7108334741</v>
      </c>
      <c r="E30" s="890">
        <f t="shared" ref="E30:P30" si="4">+D30+E29</f>
        <v>-5188940.6091197608</v>
      </c>
      <c r="F30" s="890">
        <f t="shared" si="4"/>
        <v>-5909813.4727957854</v>
      </c>
      <c r="G30" s="890">
        <f t="shared" si="4"/>
        <v>-6174367.5062358417</v>
      </c>
      <c r="H30" s="890">
        <f t="shared" si="4"/>
        <v>-6126479.3739883713</v>
      </c>
      <c r="I30" s="890">
        <f t="shared" si="4"/>
        <v>-5682420.5304374266</v>
      </c>
      <c r="J30" s="890">
        <f t="shared" si="4"/>
        <v>-4592122.3468033839</v>
      </c>
      <c r="K30" s="890">
        <f t="shared" si="4"/>
        <v>-3575888.9745786684</v>
      </c>
      <c r="L30" s="890">
        <f t="shared" si="4"/>
        <v>-2623045.7874293253</v>
      </c>
      <c r="M30" s="890">
        <f t="shared" si="4"/>
        <v>-1781026.3347492088</v>
      </c>
      <c r="N30" s="890">
        <f t="shared" si="4"/>
        <v>-1055993.383591732</v>
      </c>
      <c r="O30" s="890">
        <f t="shared" si="4"/>
        <v>-401682.67141564493</v>
      </c>
      <c r="P30" s="890">
        <f t="shared" si="4"/>
        <v>217007.49384761159</v>
      </c>
    </row>
    <row r="31" spans="1:25" s="893" customFormat="1" ht="22.5" x14ac:dyDescent="0.2">
      <c r="A31" s="916" t="s">
        <v>729</v>
      </c>
      <c r="B31" s="894"/>
      <c r="C31" s="919">
        <f>+C30-C29</f>
        <v>-3214426.9218314113</v>
      </c>
      <c r="D31" s="910"/>
      <c r="E31" s="910"/>
      <c r="F31" s="910"/>
      <c r="G31" s="910"/>
      <c r="H31" s="910"/>
      <c r="I31" s="910"/>
      <c r="J31" s="910"/>
      <c r="K31" s="910"/>
      <c r="L31" s="910"/>
      <c r="M31" s="910"/>
      <c r="N31" s="910"/>
      <c r="O31" s="910"/>
      <c r="P31" s="910"/>
      <c r="R31" s="139"/>
    </row>
    <row r="32" spans="1:25" x14ac:dyDescent="0.2">
      <c r="A32" s="644"/>
      <c r="B32" s="644"/>
      <c r="C32" s="644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44"/>
      <c r="O32" s="644"/>
      <c r="P32" s="644"/>
      <c r="T32" s="232" t="s">
        <v>723</v>
      </c>
      <c r="U32" s="232"/>
      <c r="V32" s="232"/>
      <c r="W32" s="232"/>
      <c r="X32" s="232"/>
      <c r="Y32" s="232"/>
    </row>
    <row r="33" spans="1:26" ht="22.5" x14ac:dyDescent="0.2">
      <c r="A33" s="148" t="s">
        <v>720</v>
      </c>
      <c r="B33" s="646" t="s">
        <v>29</v>
      </c>
      <c r="C33" s="899">
        <f t="shared" ref="C33:P33" si="5">IF(+(C11+C29)/C11&gt;1,1,+(C11+C29)/C11)</f>
        <v>0.87130543328446797</v>
      </c>
      <c r="D33" s="899">
        <f t="shared" si="5"/>
        <v>0.88505290964277739</v>
      </c>
      <c r="E33" s="899">
        <f t="shared" si="5"/>
        <v>0.71312123584236731</v>
      </c>
      <c r="F33" s="899">
        <f t="shared" si="5"/>
        <v>0.81682945142120789</v>
      </c>
      <c r="G33" s="899">
        <f t="shared" si="5"/>
        <v>0.93386511392549942</v>
      </c>
      <c r="H33" s="899">
        <f t="shared" si="5"/>
        <v>1</v>
      </c>
      <c r="I33" s="899">
        <f t="shared" si="5"/>
        <v>1</v>
      </c>
      <c r="J33" s="899">
        <f t="shared" si="5"/>
        <v>1</v>
      </c>
      <c r="K33" s="899">
        <f t="shared" si="5"/>
        <v>1</v>
      </c>
      <c r="L33" s="899">
        <f t="shared" si="5"/>
        <v>1</v>
      </c>
      <c r="M33" s="899">
        <f t="shared" si="5"/>
        <v>1</v>
      </c>
      <c r="N33" s="899">
        <f t="shared" si="5"/>
        <v>1</v>
      </c>
      <c r="O33" s="899">
        <f t="shared" si="5"/>
        <v>1</v>
      </c>
      <c r="P33" s="899">
        <f t="shared" si="5"/>
        <v>1</v>
      </c>
      <c r="R33" s="56" t="s">
        <v>724</v>
      </c>
      <c r="S33" s="645">
        <v>2018</v>
      </c>
      <c r="T33" s="645">
        <v>2019</v>
      </c>
      <c r="U33" s="645">
        <v>2020</v>
      </c>
      <c r="V33" s="645">
        <v>2021</v>
      </c>
      <c r="W33" s="645">
        <v>2022</v>
      </c>
      <c r="X33" s="645">
        <v>2023</v>
      </c>
      <c r="Y33" s="645">
        <v>2024</v>
      </c>
      <c r="Z33" s="917" t="s">
        <v>725</v>
      </c>
    </row>
    <row r="34" spans="1:26" ht="22.5" x14ac:dyDescent="0.2">
      <c r="A34" s="897" t="s">
        <v>719</v>
      </c>
      <c r="B34" s="646" t="s">
        <v>29</v>
      </c>
      <c r="C34" s="899">
        <f t="shared" ref="C34:P34" si="6">IF(+(C11+C30)/C11&gt;1,1,+(C11+C30)/C11)</f>
        <v>-9.0906343266596537E-2</v>
      </c>
      <c r="D34" s="899">
        <f t="shared" si="6"/>
        <v>-9.0502308210167901E-2</v>
      </c>
      <c r="E34" s="899">
        <f t="shared" si="6"/>
        <v>-0.33484429923994713</v>
      </c>
      <c r="F34" s="899">
        <f t="shared" si="6"/>
        <v>-0.50165699162292332</v>
      </c>
      <c r="G34" s="899">
        <f t="shared" si="6"/>
        <v>-0.54350733684629038</v>
      </c>
      <c r="H34" s="899">
        <f t="shared" si="6"/>
        <v>-0.49970673174196895</v>
      </c>
      <c r="I34" s="899">
        <f t="shared" si="6"/>
        <v>-0.35937844272940989</v>
      </c>
      <c r="J34" s="899">
        <f t="shared" si="6"/>
        <v>-7.2110023322965094E-2</v>
      </c>
      <c r="K34" s="899">
        <f t="shared" si="6"/>
        <v>0.20086551107355777</v>
      </c>
      <c r="L34" s="899">
        <f t="shared" si="6"/>
        <v>0.4387773869024077</v>
      </c>
      <c r="M34" s="899">
        <f t="shared" si="6"/>
        <v>0.63211824316224263</v>
      </c>
      <c r="N34" s="899">
        <f t="shared" si="6"/>
        <v>0.78941680818748461</v>
      </c>
      <c r="O34" s="899">
        <f t="shared" si="6"/>
        <v>0.92266324891750873</v>
      </c>
      <c r="P34" s="899">
        <f t="shared" si="6"/>
        <v>1</v>
      </c>
      <c r="R34" s="23" t="s">
        <v>663</v>
      </c>
      <c r="S34" s="911">
        <v>0.88505290964277739</v>
      </c>
      <c r="T34" s="911">
        <v>0.67331571578916338</v>
      </c>
      <c r="U34" s="911">
        <v>0.7326928999275647</v>
      </c>
      <c r="V34" s="911">
        <v>0.8030117214838467</v>
      </c>
      <c r="W34" s="911">
        <v>0.84188228928146758</v>
      </c>
      <c r="X34" s="911">
        <v>0.89584676720001255</v>
      </c>
      <c r="Y34" s="911">
        <v>1</v>
      </c>
      <c r="Z34" s="684">
        <v>2040</v>
      </c>
    </row>
    <row r="35" spans="1:26" x14ac:dyDescent="0.2">
      <c r="C35" s="888"/>
      <c r="R35" s="23" t="s">
        <v>664</v>
      </c>
      <c r="S35" s="911">
        <v>0.88505290964277739</v>
      </c>
      <c r="T35" s="911">
        <v>0.67895491114785123</v>
      </c>
      <c r="U35" s="911">
        <v>0.74370208697653173</v>
      </c>
      <c r="V35" s="911">
        <v>0.83858650673894131</v>
      </c>
      <c r="W35" s="911">
        <v>0.90186678593624925</v>
      </c>
      <c r="X35" s="911">
        <v>0.97861249881968737</v>
      </c>
      <c r="Y35" s="911">
        <v>1</v>
      </c>
      <c r="Z35" s="684">
        <v>2033</v>
      </c>
    </row>
    <row r="36" spans="1:26" x14ac:dyDescent="0.2">
      <c r="R36" s="23" t="s">
        <v>662</v>
      </c>
      <c r="S36" s="911">
        <v>0.88505290964277739</v>
      </c>
      <c r="T36" s="911">
        <v>0.71312123584236731</v>
      </c>
      <c r="U36" s="911">
        <v>0.81682945142120789</v>
      </c>
      <c r="V36" s="911">
        <v>0.93386511392549942</v>
      </c>
      <c r="W36" s="911">
        <v>1</v>
      </c>
      <c r="X36" s="911">
        <v>1</v>
      </c>
      <c r="Y36" s="911">
        <v>1</v>
      </c>
      <c r="Z36" s="684">
        <v>2030</v>
      </c>
    </row>
    <row r="37" spans="1:26" x14ac:dyDescent="0.2">
      <c r="S37" s="912"/>
      <c r="T37" s="912"/>
      <c r="U37" s="912"/>
      <c r="V37" s="912"/>
    </row>
    <row r="38" spans="1:26" x14ac:dyDescent="0.2">
      <c r="R38" s="23" t="s">
        <v>726</v>
      </c>
      <c r="S38" s="915">
        <f>D11/100</f>
        <v>37356.699570124671</v>
      </c>
      <c r="T38" s="915">
        <f t="shared" ref="T38:Y38" si="7">E11/100</f>
        <v>38873.002732036344</v>
      </c>
      <c r="U38" s="915">
        <f t="shared" si="7"/>
        <v>39355.282236649298</v>
      </c>
      <c r="V38" s="915">
        <f t="shared" si="7"/>
        <v>40002.190847057267</v>
      </c>
      <c r="W38" s="915">
        <f t="shared" si="7"/>
        <v>40851.182730054308</v>
      </c>
      <c r="X38" s="915">
        <f t="shared" si="7"/>
        <v>41801.608380871883</v>
      </c>
      <c r="Y38" s="915">
        <f t="shared" si="7"/>
        <v>42832.566125725338</v>
      </c>
      <c r="Z38" s="644"/>
    </row>
    <row r="39" spans="1:26" x14ac:dyDescent="0.2">
      <c r="R39" s="23" t="s">
        <v>727</v>
      </c>
      <c r="S39" s="644"/>
      <c r="T39" s="914">
        <v>0.9</v>
      </c>
      <c r="U39" s="914">
        <f>T39</f>
        <v>0.9</v>
      </c>
      <c r="V39" s="914">
        <f>U39</f>
        <v>0.9</v>
      </c>
      <c r="W39" s="914">
        <f>V39</f>
        <v>0.9</v>
      </c>
      <c r="X39" s="914">
        <v>1</v>
      </c>
      <c r="Y39" s="914">
        <f t="shared" ref="Y39" si="8">X39</f>
        <v>1</v>
      </c>
      <c r="Z39" s="644"/>
    </row>
    <row r="40" spans="1:26" x14ac:dyDescent="0.2">
      <c r="R40" s="23" t="s">
        <v>728</v>
      </c>
      <c r="S40" s="644"/>
      <c r="T40" s="913">
        <f>IF(0&gt;(T39-E33)*T38*100,0,(T39-E33)*T38*100)</f>
        <v>726453.87096592318</v>
      </c>
      <c r="U40" s="913">
        <f t="shared" ref="U40:Y40" si="9">IF(0&gt;(U39-F33)*U38*100,0,(U39-F33)*U38*100)</f>
        <v>327320.04130953155</v>
      </c>
      <c r="V40" s="913">
        <f t="shared" si="9"/>
        <v>0</v>
      </c>
      <c r="W40" s="913">
        <f t="shared" si="9"/>
        <v>0</v>
      </c>
      <c r="X40" s="913">
        <f t="shared" si="9"/>
        <v>0</v>
      </c>
      <c r="Y40" s="913">
        <f t="shared" si="9"/>
        <v>0</v>
      </c>
      <c r="Z40" s="913">
        <f>SUM(T40:Y40)</f>
        <v>1053773.9122754547</v>
      </c>
    </row>
    <row r="69" spans="3:3" x14ac:dyDescent="0.2">
      <c r="C69" s="888"/>
    </row>
  </sheetData>
  <mergeCells count="1">
    <mergeCell ref="A1:B1"/>
  </mergeCells>
  <printOptions horizontalCentered="1"/>
  <pageMargins left="0.31496062992125984" right="0.31496062992125984" top="0.55118110236220474" bottom="0.35433070866141736" header="0.31496062992125984" footer="0.31496062992125984"/>
  <pageSetup paperSize="9" pageOrder="overThenDown" orientation="landscape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R130"/>
  <sheetViews>
    <sheetView view="pageBreakPreview" zoomScaleSheetLayoutView="100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R77" sqref="R77"/>
    </sheetView>
  </sheetViews>
  <sheetFormatPr defaultRowHeight="11.25" outlineLevelRow="1" x14ac:dyDescent="0.2"/>
  <cols>
    <col min="1" max="1" width="36.7109375" style="321" customWidth="1"/>
    <col min="2" max="14" width="9.7109375" style="322" customWidth="1"/>
    <col min="15" max="15" width="10.140625" style="322" customWidth="1"/>
    <col min="16" max="16" width="9.140625" style="320"/>
    <col min="17" max="17" width="10" style="320" bestFit="1" customWidth="1"/>
    <col min="18" max="18" width="10.42578125" style="320" bestFit="1" customWidth="1"/>
    <col min="19" max="16384" width="9.140625" style="320"/>
  </cols>
  <sheetData>
    <row r="1" spans="1:17" ht="15.75" customHeight="1" x14ac:dyDescent="0.2"/>
    <row r="2" spans="1:17" s="88" customFormat="1" x14ac:dyDescent="0.2">
      <c r="A2" s="518"/>
      <c r="B2" s="142" t="s">
        <v>454</v>
      </c>
      <c r="C2" s="142" t="s">
        <v>453</v>
      </c>
      <c r="D2" s="142">
        <v>2019</v>
      </c>
      <c r="E2" s="142">
        <v>2020</v>
      </c>
      <c r="F2" s="142">
        <v>2021</v>
      </c>
      <c r="G2" s="142">
        <v>2022</v>
      </c>
      <c r="H2" s="142">
        <v>2023</v>
      </c>
      <c r="I2" s="142">
        <v>2024</v>
      </c>
      <c r="J2" s="142">
        <v>2025</v>
      </c>
      <c r="K2" s="142">
        <v>2026</v>
      </c>
      <c r="L2" s="142">
        <v>2027</v>
      </c>
      <c r="M2" s="142">
        <v>2028</v>
      </c>
      <c r="N2" s="142">
        <v>2029</v>
      </c>
      <c r="O2" s="142">
        <v>2030</v>
      </c>
    </row>
    <row r="3" spans="1:17" s="325" customFormat="1" x14ac:dyDescent="0.2">
      <c r="A3" s="323" t="s">
        <v>691</v>
      </c>
      <c r="B3" s="324">
        <f>SUM(B4:B6)</f>
        <v>1766912.5494082251</v>
      </c>
      <c r="C3" s="324">
        <f t="shared" ref="C3:O3" si="0">SUM(C4:C6)</f>
        <v>2012823.3568380028</v>
      </c>
      <c r="D3" s="324">
        <f t="shared" si="0"/>
        <v>2035393.1857528468</v>
      </c>
      <c r="E3" s="324">
        <f t="shared" si="0"/>
        <v>2050033.3716051793</v>
      </c>
      <c r="F3" s="324">
        <f t="shared" si="0"/>
        <v>2078667.6606667379</v>
      </c>
      <c r="G3" s="324">
        <f t="shared" si="0"/>
        <v>2095912.1541834995</v>
      </c>
      <c r="H3" s="324">
        <f t="shared" si="0"/>
        <v>2152696.6521852124</v>
      </c>
      <c r="I3" s="324">
        <f t="shared" si="0"/>
        <v>2224746.4418097055</v>
      </c>
      <c r="J3" s="324">
        <f t="shared" si="0"/>
        <v>2282529.9953910136</v>
      </c>
      <c r="K3" s="324">
        <f t="shared" si="0"/>
        <v>2342051.5469957213</v>
      </c>
      <c r="L3" s="324">
        <f t="shared" si="0"/>
        <v>2407455.1086667497</v>
      </c>
      <c r="M3" s="324">
        <f t="shared" si="0"/>
        <v>2474864.2080672244</v>
      </c>
      <c r="N3" s="324">
        <f t="shared" si="0"/>
        <v>2544341.7340521198</v>
      </c>
      <c r="O3" s="324">
        <f t="shared" si="0"/>
        <v>2615265.1694950107</v>
      </c>
    </row>
    <row r="4" spans="1:17" x14ac:dyDescent="0.2">
      <c r="A4" s="326" t="s">
        <v>390</v>
      </c>
      <c r="B4" s="327">
        <f>+'ТЭЦ-1'!C178</f>
        <v>59194.35763870251</v>
      </c>
      <c r="C4" s="327">
        <f>+'ТЭЦ-1'!D178</f>
        <v>61250.028313276263</v>
      </c>
      <c r="D4" s="327">
        <f>+'ТЭЦ-1'!E178</f>
        <v>51364.188112033429</v>
      </c>
      <c r="E4" s="327">
        <f>+'ТЭЦ-1'!F178</f>
        <v>41088.967176084523</v>
      </c>
      <c r="F4" s="327">
        <f>+'ТЭЦ-1'!G178</f>
        <v>42405.332411693955</v>
      </c>
      <c r="G4" s="327">
        <f>+'ТЭЦ-1'!H178</f>
        <v>43871.964845853377</v>
      </c>
      <c r="H4" s="327">
        <f>+'ТЭЦ-1'!I178</f>
        <v>42561.473268753536</v>
      </c>
      <c r="I4" s="327">
        <f>+'ТЭЦ-1'!J178</f>
        <v>43873.903137010275</v>
      </c>
      <c r="J4" s="327">
        <f>+'ТЭЦ-1'!K178</f>
        <v>44790.314494625462</v>
      </c>
      <c r="K4" s="327">
        <f>+'ТЭЦ-1'!L178</f>
        <v>45738.32402103996</v>
      </c>
      <c r="L4" s="327">
        <f>+'ТЭЦ-1'!M178</f>
        <v>47000.599478056451</v>
      </c>
      <c r="M4" s="327">
        <f>+'ТЭЦ-1'!N178</f>
        <v>48302.335514953826</v>
      </c>
      <c r="N4" s="327">
        <f>+'ТЭЦ-1'!O178</f>
        <v>49644.833568623711</v>
      </c>
      <c r="O4" s="327">
        <f>+'ТЭЦ-1'!P178</f>
        <v>50341.943022041349</v>
      </c>
    </row>
    <row r="5" spans="1:17" x14ac:dyDescent="0.2">
      <c r="A5" s="326" t="s">
        <v>303</v>
      </c>
      <c r="B5" s="327">
        <f>+'ТЭЦ-3'!C176</f>
        <v>1077347.9566789039</v>
      </c>
      <c r="C5" s="327">
        <f>+'ТЭЦ-3'!D176</f>
        <v>1253352.8059023591</v>
      </c>
      <c r="D5" s="327">
        <f>+'ТЭЦ-3'!E176</f>
        <v>1288110.9736970155</v>
      </c>
      <c r="E5" s="327">
        <f>+'ТЭЦ-3'!F176</f>
        <v>1327157.7422739528</v>
      </c>
      <c r="F5" s="327">
        <f>+'ТЭЦ-3'!G176</f>
        <v>1369879.1065211366</v>
      </c>
      <c r="G5" s="327">
        <f>+'ТЭЦ-3'!H176</f>
        <v>1406458.5782526832</v>
      </c>
      <c r="H5" s="327">
        <f>+'ТЭЦ-3'!I176</f>
        <v>1450373.3809559473</v>
      </c>
      <c r="I5" s="327">
        <f>+'ТЭЦ-3'!J176</f>
        <v>1496795.7041538118</v>
      </c>
      <c r="J5" s="327">
        <f>+'ТЭЦ-3'!K176</f>
        <v>1539389.1634968272</v>
      </c>
      <c r="K5" s="327">
        <f>+'ТЭЦ-3'!L176</f>
        <v>1582033.9775967239</v>
      </c>
      <c r="L5" s="327">
        <f>+'ТЭЦ-3'!M176</f>
        <v>1626553.3726186089</v>
      </c>
      <c r="M5" s="327">
        <f>+'ТЭЦ-3'!N176</f>
        <v>1672414.7660558936</v>
      </c>
      <c r="N5" s="327">
        <f>+'ТЭЦ-3'!O176</f>
        <v>1719659.5171992197</v>
      </c>
      <c r="O5" s="327">
        <f>+'ТЭЦ-3'!P176</f>
        <v>1768330.2781862537</v>
      </c>
    </row>
    <row r="6" spans="1:17" x14ac:dyDescent="0.2">
      <c r="A6" s="326" t="s">
        <v>304</v>
      </c>
      <c r="B6" s="327">
        <f>+'ТЭЦ-4'!C182</f>
        <v>630370.23509061872</v>
      </c>
      <c r="C6" s="327">
        <f>+'ТЭЦ-4'!D182</f>
        <v>698220.52262236737</v>
      </c>
      <c r="D6" s="327">
        <f>+'ТЭЦ-4'!E182</f>
        <v>695918.02394379757</v>
      </c>
      <c r="E6" s="327">
        <f>+'ТЭЦ-4'!F182</f>
        <v>681786.66215514217</v>
      </c>
      <c r="F6" s="327">
        <f>+'ТЭЦ-4'!G182</f>
        <v>666383.22173390747</v>
      </c>
      <c r="G6" s="327">
        <f>+'ТЭЦ-4'!H182</f>
        <v>645581.61108496285</v>
      </c>
      <c r="H6" s="327">
        <f>+'ТЭЦ-4'!I182</f>
        <v>659761.79796051141</v>
      </c>
      <c r="I6" s="327">
        <f>+'ТЭЦ-4'!J182</f>
        <v>684076.83451888314</v>
      </c>
      <c r="J6" s="327">
        <f>+'ТЭЦ-4'!K182</f>
        <v>698350.51739956101</v>
      </c>
      <c r="K6" s="327">
        <f>+'ТЭЦ-4'!L182</f>
        <v>714279.24537795724</v>
      </c>
      <c r="L6" s="327">
        <f>+'ТЭЦ-4'!M182</f>
        <v>733901.13657008414</v>
      </c>
      <c r="M6" s="327">
        <f>+'ТЭЦ-4'!N182</f>
        <v>754147.10649637668</v>
      </c>
      <c r="N6" s="327">
        <f>+'ТЭЦ-4'!O182</f>
        <v>775037.38328427658</v>
      </c>
      <c r="O6" s="327">
        <f>+'ТЭЦ-4'!P182</f>
        <v>796592.94828671578</v>
      </c>
    </row>
    <row r="7" spans="1:17" x14ac:dyDescent="0.2">
      <c r="A7" s="326"/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</row>
    <row r="8" spans="1:17" s="325" customFormat="1" x14ac:dyDescent="0.2">
      <c r="A8" s="323" t="s">
        <v>692</v>
      </c>
      <c r="B8" s="324">
        <f>SUM(B9:B11)</f>
        <v>1597244.1134754075</v>
      </c>
      <c r="C8" s="324">
        <f t="shared" ref="C8:O8" si="1">SUM(C9:C11)</f>
        <v>1791658.0463581537</v>
      </c>
      <c r="D8" s="324">
        <f t="shared" si="1"/>
        <v>1815201.8925317738</v>
      </c>
      <c r="E8" s="324">
        <f t="shared" si="1"/>
        <v>1839387.3101803618</v>
      </c>
      <c r="F8" s="324">
        <f t="shared" si="1"/>
        <v>1864237.8844699082</v>
      </c>
      <c r="G8" s="324">
        <f t="shared" si="1"/>
        <v>1854875.1096189558</v>
      </c>
      <c r="H8" s="324">
        <f t="shared" si="1"/>
        <v>1889743.9627646164</v>
      </c>
      <c r="I8" s="324">
        <f t="shared" si="1"/>
        <v>1924680.1604642377</v>
      </c>
      <c r="J8" s="324">
        <f t="shared" si="1"/>
        <v>1951711.2987910958</v>
      </c>
      <c r="K8" s="324">
        <f t="shared" si="1"/>
        <v>1979510.770735878</v>
      </c>
      <c r="L8" s="324">
        <f t="shared" si="1"/>
        <v>2008107.1410429874</v>
      </c>
      <c r="M8" s="324">
        <f t="shared" si="1"/>
        <v>2037530.1018528212</v>
      </c>
      <c r="N8" s="324">
        <f t="shared" si="1"/>
        <v>2067810.5177260116</v>
      </c>
      <c r="O8" s="324">
        <f t="shared" si="1"/>
        <v>2098980.4724700311</v>
      </c>
    </row>
    <row r="9" spans="1:17" x14ac:dyDescent="0.2">
      <c r="A9" s="326" t="s">
        <v>390</v>
      </c>
      <c r="B9" s="327">
        <f>+'ТЭЦ-1'!C138+'ТЭЦ-1'!C139</f>
        <v>39254.150386916153</v>
      </c>
      <c r="C9" s="327">
        <f>+'ТЭЦ-1'!D138+'ТЭЦ-1'!D139</f>
        <v>41835.34637638479</v>
      </c>
      <c r="D9" s="327">
        <f>+'ТЭЦ-1'!E138+'ТЭЦ-1'!E139</f>
        <v>42605.853146997928</v>
      </c>
      <c r="E9" s="327">
        <f>+'ТЭЦ-1'!F138+'ТЭЦ-1'!F139</f>
        <v>43395.717543520492</v>
      </c>
      <c r="F9" s="327">
        <f>+'ТЭЦ-1'!G138+'ТЭЦ-1'!G139</f>
        <v>44205.56871918602</v>
      </c>
      <c r="G9" s="327">
        <f>+'ТЭЦ-1'!H138+'ТЭЦ-1'!H139</f>
        <v>44128.358132417285</v>
      </c>
      <c r="H9" s="327">
        <f>+'ТЭЦ-1'!I138+'ТЭЦ-1'!I139</f>
        <v>45185.662830238187</v>
      </c>
      <c r="I9" s="327">
        <f>+'ТЭЦ-1'!J138+'ТЭЦ-1'!J139</f>
        <v>46248.592594046524</v>
      </c>
      <c r="J9" s="327">
        <f>+'ТЭЦ-1'!K138+'ТЭЦ-1'!K139</f>
        <v>47124.610244745469</v>
      </c>
      <c r="K9" s="327">
        <f>+'ТЭЦ-1'!L138+'ТЭЦ-1'!L139</f>
        <v>48023.306084756172</v>
      </c>
      <c r="L9" s="327">
        <f>+'ТЭЦ-1'!M138+'ТЭЦ-1'!M139</f>
        <v>48945.430764239187</v>
      </c>
      <c r="M9" s="327">
        <f>+'ТЭЦ-1'!N138+'ТЭЦ-1'!N139</f>
        <v>49891.762996652702</v>
      </c>
      <c r="N9" s="327">
        <f>+'ТЭЦ-1'!O138+'ТЭЦ-1'!O139</f>
        <v>50863.110657385703</v>
      </c>
      <c r="O9" s="327">
        <f>+'ТЭЦ-1'!P138+'ТЭЦ-1'!P139</f>
        <v>51860.311926074493</v>
      </c>
    </row>
    <row r="10" spans="1:17" x14ac:dyDescent="0.2">
      <c r="A10" s="326" t="s">
        <v>303</v>
      </c>
      <c r="B10" s="327">
        <f>+'ТЭЦ-3'!C136+'ТЭЦ-3'!C137</f>
        <v>1003531.4028506004</v>
      </c>
      <c r="C10" s="327">
        <f>+'ТЭЦ-3'!D136+'ТЭЦ-3'!D137</f>
        <v>1171177.9441052761</v>
      </c>
      <c r="D10" s="327">
        <f>+'ТЭЦ-3'!E136+'ТЭЦ-3'!E137</f>
        <v>1187584.316305137</v>
      </c>
      <c r="E10" s="327">
        <f>+'ТЭЦ-3'!F136+'ТЭЦ-3'!F137</f>
        <v>1204415.480368535</v>
      </c>
      <c r="F10" s="327">
        <f>+'ТЭЦ-3'!G136+'ТЭЦ-3'!G137</f>
        <v>1221686.6817277912</v>
      </c>
      <c r="G10" s="327">
        <f>+'ТЭЦ-3'!H136+'ТЭЦ-3'!H137</f>
        <v>1216776.8763085029</v>
      </c>
      <c r="H10" s="327">
        <f>+'ТЭЦ-3'!I136+'ТЭЦ-3'!I137</f>
        <v>1240495.9429161197</v>
      </c>
      <c r="I10" s="327">
        <f>+'ТЭЦ-3'!J136+'ТЭЦ-3'!J137</f>
        <v>1264271.2638228717</v>
      </c>
      <c r="J10" s="327">
        <f>+'ТЭЦ-3'!K136+'ТЭЦ-3'!K137</f>
        <v>1282985.4630707782</v>
      </c>
      <c r="K10" s="327">
        <f>+'ТЭЦ-3'!L136+'ТЭЦ-3'!L137</f>
        <v>1302206.0718388846</v>
      </c>
      <c r="L10" s="327">
        <f>+'ТЭЦ-3'!M136+'ТЭЦ-3'!M137</f>
        <v>1321951.5224139804</v>
      </c>
      <c r="M10" s="327">
        <f>+'ТЭЦ-3'!N136+'ТЭЦ-3'!N137</f>
        <v>1342240.9713034038</v>
      </c>
      <c r="N10" s="327">
        <f>+'ТЭЦ-3'!O136+'ТЭЦ-3'!O137</f>
        <v>1363094.3281373139</v>
      </c>
      <c r="O10" s="327">
        <f>+'ТЭЦ-3'!P136+'ТЭЦ-3'!P137</f>
        <v>1384532.285727872</v>
      </c>
    </row>
    <row r="11" spans="1:17" x14ac:dyDescent="0.2">
      <c r="A11" s="326" t="s">
        <v>304</v>
      </c>
      <c r="B11" s="327">
        <f>+'ТЭЦ-4'!C142+'ТЭЦ-4'!C143</f>
        <v>554458.56023789104</v>
      </c>
      <c r="C11" s="327">
        <f>+'ТЭЦ-4'!D142+'ТЭЦ-4'!D143</f>
        <v>578644.75587649271</v>
      </c>
      <c r="D11" s="327">
        <f>+'ТЭЦ-4'!E142+'ТЭЦ-4'!E143</f>
        <v>585011.72307963879</v>
      </c>
      <c r="E11" s="327">
        <f>+'ТЭЦ-4'!F142+'ТЭЦ-4'!F143</f>
        <v>591576.1122683062</v>
      </c>
      <c r="F11" s="327">
        <f>+'ТЭЦ-4'!G142+'ТЭЦ-4'!G143</f>
        <v>598345.63402293087</v>
      </c>
      <c r="G11" s="327">
        <f>+'ТЭЦ-4'!H142+'ТЭЦ-4'!H143</f>
        <v>593969.87517803547</v>
      </c>
      <c r="H11" s="327">
        <f>+'ТЭЦ-4'!I142+'ТЭЦ-4'!I143</f>
        <v>604062.35701825842</v>
      </c>
      <c r="I11" s="327">
        <f>+'ТЭЦ-4'!J142+'ТЭЦ-4'!J143</f>
        <v>614160.30404731934</v>
      </c>
      <c r="J11" s="327">
        <f>+'ТЭЦ-4'!K142+'ТЭЦ-4'!K143</f>
        <v>621601.22547557228</v>
      </c>
      <c r="K11" s="327">
        <f>+'ТЭЦ-4'!L142+'ТЭЦ-4'!L143</f>
        <v>629281.39281223714</v>
      </c>
      <c r="L11" s="327">
        <f>+'ТЭЦ-4'!M142+'ТЭЦ-4'!M143</f>
        <v>637210.1878647675</v>
      </c>
      <c r="M11" s="327">
        <f>+'ТЭЦ-4'!N142+'ТЭЦ-4'!N143</f>
        <v>645397.36755276471</v>
      </c>
      <c r="N11" s="327">
        <f>+'ТЭЦ-4'!O142+'ТЭЦ-4'!O143</f>
        <v>653853.07893131173</v>
      </c>
      <c r="O11" s="327">
        <f>+'ТЭЦ-4'!P142+'ТЭЦ-4'!P143</f>
        <v>662587.87481608451</v>
      </c>
    </row>
    <row r="12" spans="1:17" x14ac:dyDescent="0.2">
      <c r="A12" s="326"/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</row>
    <row r="13" spans="1:17" s="325" customFormat="1" x14ac:dyDescent="0.2">
      <c r="A13" s="323" t="s">
        <v>693</v>
      </c>
      <c r="B13" s="324">
        <f>SUM(B14:B16)</f>
        <v>-169668.43593281752</v>
      </c>
      <c r="C13" s="324">
        <f t="shared" ref="C13:O13" si="2">SUM(C14:C16)</f>
        <v>-221165.31047984905</v>
      </c>
      <c r="D13" s="324">
        <f t="shared" si="2"/>
        <v>-220191.29322107282</v>
      </c>
      <c r="E13" s="324">
        <f t="shared" si="2"/>
        <v>-210646.06142481777</v>
      </c>
      <c r="F13" s="324">
        <f t="shared" si="2"/>
        <v>-214429.77619682992</v>
      </c>
      <c r="G13" s="324">
        <f t="shared" si="2"/>
        <v>-241037.04456454376</v>
      </c>
      <c r="H13" s="324">
        <f t="shared" si="2"/>
        <v>-262952.689420596</v>
      </c>
      <c r="I13" s="324">
        <f t="shared" si="2"/>
        <v>-300066.28134546761</v>
      </c>
      <c r="J13" s="324">
        <f t="shared" si="2"/>
        <v>-330818.69659991778</v>
      </c>
      <c r="K13" s="324">
        <f t="shared" si="2"/>
        <v>-362540.7762598432</v>
      </c>
      <c r="L13" s="324">
        <f t="shared" si="2"/>
        <v>-399347.96762376232</v>
      </c>
      <c r="M13" s="324">
        <f t="shared" si="2"/>
        <v>-437334.10621440288</v>
      </c>
      <c r="N13" s="324">
        <f t="shared" si="2"/>
        <v>-476531.21632610861</v>
      </c>
      <c r="O13" s="324">
        <f t="shared" si="2"/>
        <v>-516284.6970249798</v>
      </c>
      <c r="Q13" s="861"/>
    </row>
    <row r="14" spans="1:17" x14ac:dyDescent="0.2">
      <c r="A14" s="326" t="s">
        <v>390</v>
      </c>
      <c r="B14" s="329">
        <f>+B9-B4</f>
        <v>-19940.207251786356</v>
      </c>
      <c r="C14" s="329">
        <f t="shared" ref="C14:O14" si="3">+C9-C4</f>
        <v>-19414.681936891473</v>
      </c>
      <c r="D14" s="329">
        <f t="shared" si="3"/>
        <v>-8758.3349650355012</v>
      </c>
      <c r="E14" s="329">
        <f t="shared" si="3"/>
        <v>2306.7503674359687</v>
      </c>
      <c r="F14" s="329">
        <f t="shared" si="3"/>
        <v>1800.236307492065</v>
      </c>
      <c r="G14" s="329">
        <f t="shared" si="3"/>
        <v>256.39328656390717</v>
      </c>
      <c r="H14" s="329">
        <f t="shared" si="3"/>
        <v>2624.1895614846508</v>
      </c>
      <c r="I14" s="329">
        <f t="shared" si="3"/>
        <v>2374.6894570362492</v>
      </c>
      <c r="J14" s="329">
        <f t="shared" si="3"/>
        <v>2334.2957501200071</v>
      </c>
      <c r="K14" s="329">
        <f t="shared" si="3"/>
        <v>2284.982063716212</v>
      </c>
      <c r="L14" s="329">
        <f t="shared" si="3"/>
        <v>1944.8312861827362</v>
      </c>
      <c r="M14" s="329">
        <f t="shared" si="3"/>
        <v>1589.4274816988764</v>
      </c>
      <c r="N14" s="329">
        <f t="shared" si="3"/>
        <v>1218.2770887619918</v>
      </c>
      <c r="O14" s="329">
        <f t="shared" si="3"/>
        <v>1518.3689040331446</v>
      </c>
    </row>
    <row r="15" spans="1:17" x14ac:dyDescent="0.2">
      <c r="A15" s="326" t="s">
        <v>303</v>
      </c>
      <c r="B15" s="329">
        <f t="shared" ref="B15:O16" si="4">+B10-B5</f>
        <v>-73816.553828303469</v>
      </c>
      <c r="C15" s="329">
        <f t="shared" si="4"/>
        <v>-82174.861797082936</v>
      </c>
      <c r="D15" s="329">
        <f t="shared" si="4"/>
        <v>-100526.65739187854</v>
      </c>
      <c r="E15" s="329">
        <f t="shared" si="4"/>
        <v>-122742.26190541778</v>
      </c>
      <c r="F15" s="329">
        <f t="shared" si="4"/>
        <v>-148192.42479334539</v>
      </c>
      <c r="G15" s="329">
        <f t="shared" si="4"/>
        <v>-189681.7019441803</v>
      </c>
      <c r="H15" s="329">
        <f t="shared" si="4"/>
        <v>-209877.43803982763</v>
      </c>
      <c r="I15" s="329">
        <f t="shared" si="4"/>
        <v>-232524.44033094007</v>
      </c>
      <c r="J15" s="329">
        <f t="shared" si="4"/>
        <v>-256403.70042604906</v>
      </c>
      <c r="K15" s="329">
        <f t="shared" si="4"/>
        <v>-279827.90575783933</v>
      </c>
      <c r="L15" s="329">
        <f t="shared" si="4"/>
        <v>-304601.85020462843</v>
      </c>
      <c r="M15" s="329">
        <f t="shared" si="4"/>
        <v>-330173.79475248978</v>
      </c>
      <c r="N15" s="329">
        <f t="shared" si="4"/>
        <v>-356565.18906190572</v>
      </c>
      <c r="O15" s="329">
        <f t="shared" si="4"/>
        <v>-383797.99245838169</v>
      </c>
      <c r="Q15" s="362"/>
    </row>
    <row r="16" spans="1:17" x14ac:dyDescent="0.2">
      <c r="A16" s="326" t="s">
        <v>304</v>
      </c>
      <c r="B16" s="329">
        <f t="shared" si="4"/>
        <v>-75911.67485272768</v>
      </c>
      <c r="C16" s="329">
        <f t="shared" si="4"/>
        <v>-119575.76674587466</v>
      </c>
      <c r="D16" s="329">
        <f t="shared" si="4"/>
        <v>-110906.30086415878</v>
      </c>
      <c r="E16" s="329">
        <f t="shared" si="4"/>
        <v>-90210.549886835972</v>
      </c>
      <c r="F16" s="329">
        <f t="shared" si="4"/>
        <v>-68037.587710976601</v>
      </c>
      <c r="G16" s="329">
        <f t="shared" si="4"/>
        <v>-51611.735906927381</v>
      </c>
      <c r="H16" s="329">
        <f t="shared" si="4"/>
        <v>-55699.440942252986</v>
      </c>
      <c r="I16" s="329">
        <f t="shared" si="4"/>
        <v>-69916.530471563805</v>
      </c>
      <c r="J16" s="329">
        <f t="shared" si="4"/>
        <v>-76749.291923988727</v>
      </c>
      <c r="K16" s="329">
        <f t="shared" si="4"/>
        <v>-84997.852565720095</v>
      </c>
      <c r="L16" s="329">
        <f t="shared" si="4"/>
        <v>-96690.948705316638</v>
      </c>
      <c r="M16" s="329">
        <f t="shared" si="4"/>
        <v>-108749.73894361197</v>
      </c>
      <c r="N16" s="329">
        <f t="shared" si="4"/>
        <v>-121184.30435296486</v>
      </c>
      <c r="O16" s="329">
        <f t="shared" si="4"/>
        <v>-134005.07347063127</v>
      </c>
    </row>
    <row r="17" spans="1:18" x14ac:dyDescent="0.2">
      <c r="A17" s="326"/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</row>
    <row r="18" spans="1:18" s="325" customFormat="1" ht="22.5" x14ac:dyDescent="0.2">
      <c r="A18" s="323" t="s">
        <v>694</v>
      </c>
      <c r="B18" s="324">
        <f>SUM(B19:B23)</f>
        <v>4221736.6466943221</v>
      </c>
      <c r="C18" s="324">
        <f t="shared" ref="C18:O18" si="5">SUM(C19:C23)</f>
        <v>4581213.0685223183</v>
      </c>
      <c r="D18" s="324">
        <f t="shared" si="5"/>
        <v>4746861.03351897</v>
      </c>
      <c r="E18" s="324">
        <f t="shared" si="5"/>
        <v>4953329.2134662336</v>
      </c>
      <c r="F18" s="324">
        <f t="shared" si="5"/>
        <v>5133780.4556404753</v>
      </c>
      <c r="G18" s="324">
        <f t="shared" si="5"/>
        <v>5343785.6356263785</v>
      </c>
      <c r="H18" s="324">
        <f t="shared" si="5"/>
        <v>5532284.5890599051</v>
      </c>
      <c r="I18" s="324">
        <f t="shared" si="5"/>
        <v>5692340.7012839699</v>
      </c>
      <c r="J18" s="324">
        <f t="shared" si="5"/>
        <v>5912638.0204156879</v>
      </c>
      <c r="K18" s="324">
        <f t="shared" si="5"/>
        <v>6164018.2358248867</v>
      </c>
      <c r="L18" s="324">
        <f t="shared" si="5"/>
        <v>6381825.3457560176</v>
      </c>
      <c r="M18" s="324">
        <f t="shared" si="5"/>
        <v>6607896.6412865482</v>
      </c>
      <c r="N18" s="324">
        <f t="shared" si="5"/>
        <v>6842580.2102950336</v>
      </c>
      <c r="O18" s="324">
        <f t="shared" si="5"/>
        <v>7041714.3728316342</v>
      </c>
      <c r="Q18" s="861"/>
    </row>
    <row r="19" spans="1:18" x14ac:dyDescent="0.2">
      <c r="A19" s="326" t="s">
        <v>390</v>
      </c>
      <c r="B19" s="327">
        <f>+'ТЭЦ-1'!C187+'ТЭЦ-1'!C196</f>
        <v>351753.9311746239</v>
      </c>
      <c r="C19" s="327">
        <f>+'ТЭЦ-1'!D187+'ТЭЦ-1'!D196</f>
        <v>393891.64076820627</v>
      </c>
      <c r="D19" s="327">
        <f>+'ТЭЦ-1'!E187+'ТЭЦ-1'!E196</f>
        <v>419327.82450123539</v>
      </c>
      <c r="E19" s="327">
        <f>+'ТЭЦ-1'!F187+'ТЭЦ-1'!F196</f>
        <v>437778.64014633087</v>
      </c>
      <c r="F19" s="327">
        <f>+'ТЭЦ-1'!G187+'ТЭЦ-1'!G196</f>
        <v>450833.36285934789</v>
      </c>
      <c r="G19" s="327">
        <f>+'ТЭЦ-1'!H187+'ТЭЦ-1'!H196</f>
        <v>464592.2548677767</v>
      </c>
      <c r="H19" s="327">
        <f>+'ТЭЦ-1'!I187+'ТЭЦ-1'!I196</f>
        <v>479228.87337699131</v>
      </c>
      <c r="I19" s="327">
        <f>+'ТЭЦ-1'!J187+'ТЭЦ-1'!J196</f>
        <v>492767.71426500898</v>
      </c>
      <c r="J19" s="327">
        <f>+'ТЭЦ-1'!K187+'ТЭЦ-1'!K196</f>
        <v>516595.66080741474</v>
      </c>
      <c r="K19" s="327">
        <f>+'ТЭЦ-1'!L187+'ТЭЦ-1'!L196</f>
        <v>541443.07514615997</v>
      </c>
      <c r="L19" s="327">
        <f>+'ТЭЦ-1'!M187+'ТЭЦ-1'!M196</f>
        <v>559718.68921356334</v>
      </c>
      <c r="M19" s="327">
        <f>+'ТЭЦ-1'!N187+'ТЭЦ-1'!N196</f>
        <v>578636.57352523855</v>
      </c>
      <c r="N19" s="327">
        <f>+'ТЭЦ-1'!O187+'ТЭЦ-1'!O196</f>
        <v>598219.58933274692</v>
      </c>
      <c r="O19" s="327">
        <f>+'ТЭЦ-1'!P187+'ТЭЦ-1'!P196</f>
        <v>608017.80259723926</v>
      </c>
      <c r="Q19" s="863"/>
    </row>
    <row r="20" spans="1:18" x14ac:dyDescent="0.2">
      <c r="A20" s="326" t="s">
        <v>303</v>
      </c>
      <c r="B20" s="327">
        <f>+'ТЭЦ-3'!C185+'ТЭЦ-3'!C194</f>
        <v>1107134.6331212125</v>
      </c>
      <c r="C20" s="327">
        <f>+'ТЭЦ-3'!D185+'ТЭЦ-3'!D194</f>
        <v>1140215.6822656449</v>
      </c>
      <c r="D20" s="327">
        <f>+'ТЭЦ-3'!E185+'ТЭЦ-3'!E194</f>
        <v>1202307.3686144804</v>
      </c>
      <c r="E20" s="327">
        <f>+'ТЭЦ-3'!F185+'ТЭЦ-3'!F194</f>
        <v>1201454.0314513654</v>
      </c>
      <c r="F20" s="327">
        <f>+'ТЭЦ-3'!G185+'ТЭЦ-3'!G194</f>
        <v>1203111.4838608336</v>
      </c>
      <c r="G20" s="327">
        <f>+'ТЭЦ-3'!H185+'ТЭЦ-3'!H194</f>
        <v>1207146.5166920917</v>
      </c>
      <c r="H20" s="327">
        <f>+'ТЭЦ-3'!I185+'ТЭЦ-3'!I194</f>
        <v>1223092.9628970504</v>
      </c>
      <c r="I20" s="327">
        <f>+'ТЭЦ-3'!J185+'ТЭЦ-3'!J194</f>
        <v>1227863.9057405598</v>
      </c>
      <c r="J20" s="327">
        <f>+'ТЭЦ-3'!K185+'ТЭЦ-3'!K194</f>
        <v>1275804.6331982838</v>
      </c>
      <c r="K20" s="327">
        <f>+'ТЭЦ-3'!L185+'ТЭЦ-3'!L194</f>
        <v>1345166.7661974498</v>
      </c>
      <c r="L20" s="327">
        <f>+'ТЭЦ-3'!M185+'ТЭЦ-3'!M194</f>
        <v>1412077.4670490595</v>
      </c>
      <c r="M20" s="327">
        <f>+'ТЭЦ-3'!N185+'ТЭЦ-3'!N194</f>
        <v>1481836.4151528717</v>
      </c>
      <c r="N20" s="327">
        <f>+'ТЭЦ-3'!O185+'ТЭЦ-3'!O194</f>
        <v>1554556.8571666181</v>
      </c>
      <c r="O20" s="327">
        <f>+'ТЭЦ-3'!P185+'ТЭЦ-3'!P194</f>
        <v>1630356.3730628469</v>
      </c>
      <c r="Q20" s="863"/>
      <c r="R20" s="863"/>
    </row>
    <row r="21" spans="1:18" x14ac:dyDescent="0.2">
      <c r="A21" s="326" t="s">
        <v>304</v>
      </c>
      <c r="B21" s="327">
        <f>+'ТЭЦ-4'!C191+'ТЭЦ-4'!C200</f>
        <v>970693.03741750028</v>
      </c>
      <c r="C21" s="327">
        <f>+'ТЭЦ-4'!D191+'ТЭЦ-4'!D200</f>
        <v>931879.15297540824</v>
      </c>
      <c r="D21" s="327">
        <f>+'ТЭЦ-4'!E191+'ТЭЦ-4'!E200</f>
        <v>1028783.314192842</v>
      </c>
      <c r="E21" s="327">
        <f>+'ТЭЦ-4'!F191+'ТЭЦ-4'!F200</f>
        <v>1078670.7860355405</v>
      </c>
      <c r="F21" s="327">
        <f>+'ТЭЦ-4'!G191+'ТЭЦ-4'!G200</f>
        <v>1122335.4396074479</v>
      </c>
      <c r="G21" s="327">
        <f>+'ТЭЦ-4'!H191+'ТЭЦ-4'!H200</f>
        <v>1196255.5574088329</v>
      </c>
      <c r="H21" s="327">
        <f>+'ТЭЦ-4'!I191+'ТЭЦ-4'!I200</f>
        <v>1227821.8651226189</v>
      </c>
      <c r="I21" s="327">
        <f>+'ТЭЦ-4'!J191+'ТЭЦ-4'!J200</f>
        <v>1268964.2411525457</v>
      </c>
      <c r="J21" s="327">
        <f>+'ТЭЦ-4'!K191+'ТЭЦ-4'!K200</f>
        <v>1342533.0456432297</v>
      </c>
      <c r="K21" s="327">
        <f>+'ТЭЦ-4'!L191+'ТЭЦ-4'!L200</f>
        <v>1418428.5671499909</v>
      </c>
      <c r="L21" s="327">
        <f>+'ТЭЦ-4'!M191+'ТЭЦ-4'!M200</f>
        <v>1467039.4536935661</v>
      </c>
      <c r="M21" s="327">
        <f>+'ТЭЦ-4'!N191+'ТЭЦ-4'!N200</f>
        <v>1517364.6214720206</v>
      </c>
      <c r="N21" s="327">
        <f>+'ТЭЦ-4'!O191+'ТЭЦ-4'!O200</f>
        <v>1569464.6489803838</v>
      </c>
      <c r="O21" s="327">
        <f>+'ТЭЦ-4'!P191+'ТЭЦ-4'!P200</f>
        <v>1623402.4632821034</v>
      </c>
      <c r="Q21" s="863"/>
    </row>
    <row r="22" spans="1:18" x14ac:dyDescent="0.2">
      <c r="A22" s="326" t="s">
        <v>411</v>
      </c>
      <c r="B22" s="327">
        <f>+Кот.!C265</f>
        <v>767606.77035803604</v>
      </c>
      <c r="C22" s="327">
        <f>+Кот.!D265</f>
        <v>1004430.3702220614</v>
      </c>
      <c r="D22" s="327">
        <f>+Кот.!E265</f>
        <v>1012843.1545451379</v>
      </c>
      <c r="E22" s="327">
        <f>+Кот.!F265</f>
        <v>1036674.1886251692</v>
      </c>
      <c r="F22" s="327">
        <f>+Кот.!G265</f>
        <v>1067004.6737020528</v>
      </c>
      <c r="G22" s="327">
        <f>+Кот.!H265</f>
        <v>1095911.8949193498</v>
      </c>
      <c r="H22" s="327">
        <f>+Кот.!I265</f>
        <v>1125359.2479429299</v>
      </c>
      <c r="I22" s="327">
        <f>+Кот.!J265</f>
        <v>1150108.8874728261</v>
      </c>
      <c r="J22" s="327">
        <f>+Кот.!K265</f>
        <v>1184760.2985097014</v>
      </c>
      <c r="K22" s="327">
        <f>+Кот.!L265</f>
        <v>1221716.3831237436</v>
      </c>
      <c r="L22" s="327">
        <f>+Кот.!M265</f>
        <v>1259816.1416712247</v>
      </c>
      <c r="M22" s="327">
        <f>+Кот.!N265</f>
        <v>1299236.5688378937</v>
      </c>
      <c r="N22" s="327">
        <f>+Кот.!O265</f>
        <v>1340023.4468384392</v>
      </c>
      <c r="O22" s="327">
        <f>+Кот.!P265</f>
        <v>1383504.9225544655</v>
      </c>
      <c r="Q22" s="863"/>
      <c r="R22" s="863"/>
    </row>
    <row r="23" spans="1:18" x14ac:dyDescent="0.2">
      <c r="A23" s="326" t="s">
        <v>400</v>
      </c>
      <c r="B23" s="327">
        <f>+Сети!C112</f>
        <v>1024548.27462295</v>
      </c>
      <c r="C23" s="327">
        <f>+Сети!D112</f>
        <v>1110796.2222909974</v>
      </c>
      <c r="D23" s="327">
        <f>+Сети!E112</f>
        <v>1083599.3716652745</v>
      </c>
      <c r="E23" s="327">
        <f>+Сети!F112</f>
        <v>1198751.5672078275</v>
      </c>
      <c r="F23" s="327">
        <f>+Сети!G112</f>
        <v>1290495.4956107931</v>
      </c>
      <c r="G23" s="327">
        <f>+Сети!H112</f>
        <v>1379879.4117383272</v>
      </c>
      <c r="H23" s="327">
        <f>+Сети!I112</f>
        <v>1476781.6397203142</v>
      </c>
      <c r="I23" s="327">
        <f>+Сети!J112</f>
        <v>1552635.9526530295</v>
      </c>
      <c r="J23" s="327">
        <f>+Сети!K112</f>
        <v>1592944.3822570581</v>
      </c>
      <c r="K23" s="327">
        <f>+Сети!L112</f>
        <v>1637263.4442075428</v>
      </c>
      <c r="L23" s="327">
        <f>+Сети!M112</f>
        <v>1683173.5941286043</v>
      </c>
      <c r="M23" s="327">
        <f>+Сети!N112</f>
        <v>1730822.4622985239</v>
      </c>
      <c r="N23" s="327">
        <f>+Сети!O112</f>
        <v>1780315.667976846</v>
      </c>
      <c r="O23" s="327">
        <f>+Сети!P112</f>
        <v>1796432.8113349797</v>
      </c>
      <c r="Q23" s="863"/>
    </row>
    <row r="24" spans="1:18" x14ac:dyDescent="0.2">
      <c r="A24" s="326"/>
      <c r="B24" s="328"/>
      <c r="C24" s="328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Q24" s="863"/>
    </row>
    <row r="25" spans="1:18" s="325" customFormat="1" ht="22.5" x14ac:dyDescent="0.2">
      <c r="A25" s="323" t="s">
        <v>401</v>
      </c>
      <c r="B25" s="324">
        <f>SUM(B26:B30)</f>
        <v>3726884.743338549</v>
      </c>
      <c r="C25" s="324">
        <f t="shared" ref="C25:O25" si="6">SUM(C26:C30)</f>
        <v>4112418.4687707154</v>
      </c>
      <c r="D25" s="324">
        <f t="shared" si="6"/>
        <v>4499376.2059850106</v>
      </c>
      <c r="E25" s="324">
        <f t="shared" si="6"/>
        <v>4912602.759651633</v>
      </c>
      <c r="F25" s="324">
        <f t="shared" si="6"/>
        <v>5426505.7405071519</v>
      </c>
      <c r="G25" s="324">
        <f t="shared" si="6"/>
        <v>5958934.7697843648</v>
      </c>
      <c r="H25" s="324">
        <f t="shared" si="6"/>
        <v>6559154.0055928389</v>
      </c>
      <c r="I25" s="324">
        <f t="shared" si="6"/>
        <v>6695261.1711627319</v>
      </c>
      <c r="J25" s="324">
        <f t="shared" si="6"/>
        <v>6864726.8782333778</v>
      </c>
      <c r="K25" s="324">
        <f t="shared" si="6"/>
        <v>7037065.6117898943</v>
      </c>
      <c r="L25" s="324">
        <f t="shared" si="6"/>
        <v>7118198.9888112042</v>
      </c>
      <c r="M25" s="324">
        <f t="shared" si="6"/>
        <v>7199636.3177668881</v>
      </c>
      <c r="N25" s="324">
        <f t="shared" si="6"/>
        <v>7351677.2482641786</v>
      </c>
      <c r="O25" s="324">
        <f t="shared" si="6"/>
        <v>7577917.5148113649</v>
      </c>
    </row>
    <row r="26" spans="1:18" x14ac:dyDescent="0.2">
      <c r="A26" s="326" t="s">
        <v>390</v>
      </c>
      <c r="B26" s="327">
        <f>+'ТЭЦ-1'!C140+'ТЭЦ-1'!C142</f>
        <v>275126.19882215263</v>
      </c>
      <c r="C26" s="327">
        <f>+'ТЭЦ-1'!D140+'ТЭЦ-1'!D142</f>
        <v>332008.22124124027</v>
      </c>
      <c r="D26" s="327">
        <f>+'ТЭЦ-1'!E140+'ТЭЦ-1'!E142</f>
        <v>358530.93826997955</v>
      </c>
      <c r="E26" s="327">
        <f>+'ТЭЦ-1'!F140+'ТЭЦ-1'!F142</f>
        <v>375663.7079668502</v>
      </c>
      <c r="F26" s="327">
        <f>+'ТЭЦ-1'!G140+'ТЭЦ-1'!G142</f>
        <v>403237.27792650129</v>
      </c>
      <c r="G26" s="327">
        <f>+'ТЭЦ-1'!H140+'ТЭЦ-1'!H142</f>
        <v>430247.05629035784</v>
      </c>
      <c r="H26" s="327">
        <f>+'ТЭЦ-1'!I140+'ТЭЦ-1'!I142</f>
        <v>460417.62979873957</v>
      </c>
      <c r="I26" s="327">
        <f>+'ТЭЦ-1'!J140+'ТЭЦ-1'!J142</f>
        <v>456996.08117130474</v>
      </c>
      <c r="J26" s="327">
        <f>+'ТЭЦ-1'!K140+'ТЭЦ-1'!K142</f>
        <v>468459.05209293135</v>
      </c>
      <c r="K26" s="327">
        <f>+'ТЭЦ-1'!L140+'ТЭЦ-1'!L142</f>
        <v>479923.94329663925</v>
      </c>
      <c r="L26" s="327">
        <f>+'ТЭЦ-1'!M140+'ТЭЦ-1'!M142</f>
        <v>480905.77623297635</v>
      </c>
      <c r="M26" s="327">
        <f>+'ТЭЦ-1'!N140+'ТЭЦ-1'!N142</f>
        <v>481889.68614641251</v>
      </c>
      <c r="N26" s="327">
        <f>+'ТЭЦ-1'!O140+'ТЭЦ-1'!O142</f>
        <v>487689.91169739404</v>
      </c>
      <c r="O26" s="327">
        <f>+'ТЭЦ-1'!P140+'ТЭЦ-1'!P142</f>
        <v>498430.90563676285</v>
      </c>
    </row>
    <row r="27" spans="1:18" x14ac:dyDescent="0.2">
      <c r="A27" s="326" t="s">
        <v>303</v>
      </c>
      <c r="B27" s="327">
        <f>+'ТЭЦ-3'!C138+'ТЭЦ-3'!C139+'ТЭЦ-3'!C140</f>
        <v>1264922.123169252</v>
      </c>
      <c r="C27" s="327">
        <f>+'ТЭЦ-3'!D138+'ТЭЦ-3'!D139+'ТЭЦ-3'!D140</f>
        <v>1329577.4930415298</v>
      </c>
      <c r="D27" s="327">
        <f>+'ТЭЦ-3'!E138+'ТЭЦ-3'!E139+'ТЭЦ-3'!E140</f>
        <v>1459293.6300574685</v>
      </c>
      <c r="E27" s="327">
        <f>+'ТЭЦ-3'!F138+'ТЭЦ-3'!F139+'ТЭЦ-3'!F140</f>
        <v>1525802.2306474007</v>
      </c>
      <c r="F27" s="327">
        <f>+'ТЭЦ-3'!G138+'ТЭЦ-3'!G139+'ТЭЦ-3'!G140</f>
        <v>1606925.4196188962</v>
      </c>
      <c r="G27" s="327">
        <f>+'ТЭЦ-3'!H138+'ТЭЦ-3'!H139+'ТЭЦ-3'!H140</f>
        <v>1699647.2619893099</v>
      </c>
      <c r="H27" s="327">
        <f>+'ТЭЦ-3'!I138+'ТЭЦ-3'!I139+'ТЭЦ-3'!I140</f>
        <v>1809551.9916468428</v>
      </c>
      <c r="I27" s="327">
        <f>+'ТЭЦ-3'!J138+'ТЭЦ-3'!J139+'ТЭЦ-3'!J140</f>
        <v>1781489.9705190978</v>
      </c>
      <c r="J27" s="327">
        <f>+'ТЭЦ-3'!K138+'ТЭЦ-3'!K139+'ТЭЦ-3'!K140</f>
        <v>1818437.862627184</v>
      </c>
      <c r="K27" s="327">
        <f>+'ТЭЦ-3'!L138+'ТЭЦ-3'!L139+'ТЭЦ-3'!L140</f>
        <v>1862601.7815323207</v>
      </c>
      <c r="L27" s="327">
        <f>+'ТЭЦ-3'!M138+'ТЭЦ-3'!M139+'ТЭЦ-3'!M140</f>
        <v>1898320.7477700664</v>
      </c>
      <c r="M27" s="327">
        <f>+'ТЭЦ-3'!N138+'ТЭЦ-3'!N139+'ТЭЦ-3'!N140</f>
        <v>1934056.4591989811</v>
      </c>
      <c r="N27" s="327">
        <f>+'ТЭЦ-3'!O138+'ТЭЦ-3'!O139+'ТЭЦ-3'!O140</f>
        <v>1989389.9560909846</v>
      </c>
      <c r="O27" s="327">
        <f>+'ТЭЦ-3'!P138+'ТЭЦ-3'!P139+'ТЭЦ-3'!P140</f>
        <v>2065779.6126163627</v>
      </c>
      <c r="R27" s="362"/>
    </row>
    <row r="28" spans="1:18" x14ac:dyDescent="0.2">
      <c r="A28" s="326" t="s">
        <v>304</v>
      </c>
      <c r="B28" s="327">
        <f>+'ТЭЦ-4'!C144+'ТЭЦ-4'!C145+'ТЭЦ-4'!C146</f>
        <v>1169762.3534651455</v>
      </c>
      <c r="C28" s="327">
        <f>+'ТЭЦ-4'!D144+'ТЭЦ-4'!D145+'ТЭЦ-4'!D146</f>
        <v>1144384.2135701336</v>
      </c>
      <c r="D28" s="327">
        <f>+'ТЭЦ-4'!E144+'ТЭЦ-4'!E145+'ТЭЦ-4'!E146</f>
        <v>1294656.9465028653</v>
      </c>
      <c r="E28" s="327">
        <f>+'ТЭЦ-4'!F144+'ТЭЦ-4'!F145+'ТЭЦ-4'!F146</f>
        <v>1338270.0099428585</v>
      </c>
      <c r="F28" s="327">
        <f>+'ТЭЦ-4'!G144+'ТЭЦ-4'!G145+'ТЭЦ-4'!G146</f>
        <v>1371012.2169466689</v>
      </c>
      <c r="G28" s="327">
        <f>+'ТЭЦ-4'!H144+'ТЭЦ-4'!H145+'ТЭЦ-4'!H146</f>
        <v>1445757.4497400108</v>
      </c>
      <c r="H28" s="327">
        <f>+'ТЭЦ-4'!I144+'ТЭЦ-4'!I145+'ТЭЦ-4'!I146</f>
        <v>1533058.2517232369</v>
      </c>
      <c r="I28" s="327">
        <f>+'ТЭЦ-4'!J144+'ТЭЦ-4'!J145+'ТЭЦ-4'!J146</f>
        <v>1515049.7247849668</v>
      </c>
      <c r="J28" s="327">
        <f>+'ТЭЦ-4'!K144+'ТЭЦ-4'!K145+'ТЭЦ-4'!K146</f>
        <v>1570977.9510551784</v>
      </c>
      <c r="K28" s="327">
        <f>+'ТЭЦ-4'!L144+'ТЭЦ-4'!L145+'ТЭЦ-4'!L146</f>
        <v>1619821.9101178993</v>
      </c>
      <c r="L28" s="327">
        <f>+'ТЭЦ-4'!M144+'ТЭЦ-4'!M145+'ТЭЦ-4'!M146</f>
        <v>1628075.5429752627</v>
      </c>
      <c r="M28" s="327">
        <f>+'ТЭЦ-4'!N144+'ТЭЦ-4'!N145+'ТЭЦ-4'!N146</f>
        <v>1636454.0215211846</v>
      </c>
      <c r="N28" s="327">
        <f>+'ТЭЦ-4'!O144+'ТЭЦ-4'!O145+'ТЭЦ-4'!O146</f>
        <v>1660534.2478501992</v>
      </c>
      <c r="O28" s="327">
        <f>+'ТЭЦ-4'!P144+'ТЭЦ-4'!P145+'ТЭЦ-4'!P146</f>
        <v>1700787.8549257212</v>
      </c>
    </row>
    <row r="29" spans="1:18" x14ac:dyDescent="0.2">
      <c r="A29" s="326" t="s">
        <v>399</v>
      </c>
      <c r="B29" s="327">
        <f>+Кот.!C261</f>
        <v>632837.35618925199</v>
      </c>
      <c r="C29" s="327">
        <f>+Кот.!D261</f>
        <v>921664.13269001071</v>
      </c>
      <c r="D29" s="327">
        <f>+Кот.!E261</f>
        <v>951263.51274217619</v>
      </c>
      <c r="E29" s="327">
        <f>+Кот.!F261</f>
        <v>1005824.5879669074</v>
      </c>
      <c r="F29" s="327">
        <f>+Кот.!G261</f>
        <v>1070065.7691438471</v>
      </c>
      <c r="G29" s="327">
        <f>+Кот.!H261</f>
        <v>1130286.381830432</v>
      </c>
      <c r="H29" s="327">
        <f>+Кот.!I261</f>
        <v>1195925.7165386414</v>
      </c>
      <c r="I29" s="327">
        <f>+Кот.!J261</f>
        <v>1172499.5846685169</v>
      </c>
      <c r="J29" s="327">
        <f>+Кот.!K261</f>
        <v>1176902.8703751646</v>
      </c>
      <c r="K29" s="327">
        <f>+Кот.!L261</f>
        <v>1182966.8766671992</v>
      </c>
      <c r="L29" s="327">
        <f>+Кот.!M261</f>
        <v>1188794.965699323</v>
      </c>
      <c r="M29" s="327">
        <f>+Кот.!N261</f>
        <v>1194586.4522175821</v>
      </c>
      <c r="N29" s="327">
        <f>+Кот.!O261</f>
        <v>1212345.7910116068</v>
      </c>
      <c r="O29" s="327">
        <f>+Кот.!P261</f>
        <v>1242486.8263417184</v>
      </c>
    </row>
    <row r="30" spans="1:18" x14ac:dyDescent="0.2">
      <c r="A30" s="326" t="s">
        <v>400</v>
      </c>
      <c r="B30" s="327">
        <f>+Сети!C108</f>
        <v>384236.71169274714</v>
      </c>
      <c r="C30" s="327">
        <f>+Сети!D108</f>
        <v>384784.40822780156</v>
      </c>
      <c r="D30" s="327">
        <f>+Сети!E108</f>
        <v>435631.17841252097</v>
      </c>
      <c r="E30" s="327">
        <f>+Сети!F108</f>
        <v>667042.22312761517</v>
      </c>
      <c r="F30" s="327">
        <f>+Сети!G108</f>
        <v>975265.0568712377</v>
      </c>
      <c r="G30" s="327">
        <f>+Сети!H108</f>
        <v>1252996.6199342548</v>
      </c>
      <c r="H30" s="327">
        <f>+Сети!I108</f>
        <v>1560200.4158853786</v>
      </c>
      <c r="I30" s="327">
        <f>+Сети!J108</f>
        <v>1769225.8100188461</v>
      </c>
      <c r="J30" s="327">
        <f>+Сети!K108</f>
        <v>1829949.1420829191</v>
      </c>
      <c r="K30" s="327">
        <f>+Сети!L108</f>
        <v>1891751.1001758361</v>
      </c>
      <c r="L30" s="327">
        <f>+Сети!M108</f>
        <v>1922101.9561335766</v>
      </c>
      <c r="M30" s="327">
        <f>+Сети!N108</f>
        <v>1952649.6986827271</v>
      </c>
      <c r="N30" s="327">
        <f>+Сети!O108</f>
        <v>2001717.3416139935</v>
      </c>
      <c r="O30" s="327">
        <f>+Сети!P108</f>
        <v>2070432.3152907998</v>
      </c>
    </row>
    <row r="31" spans="1:18" x14ac:dyDescent="0.2">
      <c r="A31" s="326"/>
      <c r="B31" s="328"/>
      <c r="C31" s="328"/>
      <c r="D31" s="328"/>
      <c r="E31" s="328"/>
      <c r="F31" s="328"/>
      <c r="G31" s="328"/>
      <c r="H31" s="328"/>
      <c r="I31" s="328"/>
      <c r="J31" s="328"/>
      <c r="K31" s="328"/>
      <c r="L31" s="328"/>
      <c r="M31" s="328"/>
      <c r="N31" s="328"/>
      <c r="O31" s="328"/>
    </row>
    <row r="32" spans="1:18" s="325" customFormat="1" ht="22.5" x14ac:dyDescent="0.2">
      <c r="A32" s="323" t="s">
        <v>695</v>
      </c>
      <c r="B32" s="324">
        <f>SUM(B33:B37)</f>
        <v>-494851.90335577348</v>
      </c>
      <c r="C32" s="324">
        <f t="shared" ref="C32:O32" si="7">SUM(C33:C37)</f>
        <v>-468794.59975160233</v>
      </c>
      <c r="D32" s="324">
        <f t="shared" si="7"/>
        <v>-247484.82753395953</v>
      </c>
      <c r="E32" s="324">
        <f t="shared" si="7"/>
        <v>-40726.453814601526</v>
      </c>
      <c r="F32" s="324">
        <f t="shared" si="7"/>
        <v>292725.28486667585</v>
      </c>
      <c r="G32" s="324">
        <f t="shared" si="7"/>
        <v>615149.13415798685</v>
      </c>
      <c r="H32" s="324">
        <f t="shared" si="7"/>
        <v>1026869.4165329346</v>
      </c>
      <c r="I32" s="324">
        <f t="shared" si="7"/>
        <v>1002920.4698787623</v>
      </c>
      <c r="J32" s="324">
        <f t="shared" si="7"/>
        <v>952088.85781768966</v>
      </c>
      <c r="K32" s="324">
        <f t="shared" si="7"/>
        <v>873047.37596500746</v>
      </c>
      <c r="L32" s="324">
        <f t="shared" si="7"/>
        <v>736373.64305518707</v>
      </c>
      <c r="M32" s="324">
        <f t="shared" si="7"/>
        <v>591739.67648033891</v>
      </c>
      <c r="N32" s="324">
        <f t="shared" si="7"/>
        <v>509097.03796914424</v>
      </c>
      <c r="O32" s="324">
        <f t="shared" si="7"/>
        <v>536203.14197973022</v>
      </c>
    </row>
    <row r="33" spans="1:15" x14ac:dyDescent="0.2">
      <c r="A33" s="326" t="s">
        <v>390</v>
      </c>
      <c r="B33" s="329">
        <f>+B26-B19</f>
        <v>-76627.73235247127</v>
      </c>
      <c r="C33" s="329">
        <f t="shared" ref="C33:O33" si="8">+C26-C19</f>
        <v>-61883.419526965998</v>
      </c>
      <c r="D33" s="329">
        <f t="shared" si="8"/>
        <v>-60796.886231255834</v>
      </c>
      <c r="E33" s="329">
        <f t="shared" si="8"/>
        <v>-62114.932179480675</v>
      </c>
      <c r="F33" s="329">
        <f t="shared" si="8"/>
        <v>-47596.084932846599</v>
      </c>
      <c r="G33" s="329">
        <f t="shared" si="8"/>
        <v>-34345.198577418865</v>
      </c>
      <c r="H33" s="329">
        <f t="shared" si="8"/>
        <v>-18811.243578251742</v>
      </c>
      <c r="I33" s="329">
        <f t="shared" si="8"/>
        <v>-35771.633093704237</v>
      </c>
      <c r="J33" s="329">
        <f t="shared" si="8"/>
        <v>-48136.608714483387</v>
      </c>
      <c r="K33" s="329">
        <f t="shared" si="8"/>
        <v>-61519.131849520723</v>
      </c>
      <c r="L33" s="329">
        <f t="shared" si="8"/>
        <v>-78812.912980586989</v>
      </c>
      <c r="M33" s="329">
        <f t="shared" si="8"/>
        <v>-96746.887378826039</v>
      </c>
      <c r="N33" s="329">
        <f t="shared" si="8"/>
        <v>-110529.67763535288</v>
      </c>
      <c r="O33" s="329">
        <f t="shared" si="8"/>
        <v>-109586.89696047641</v>
      </c>
    </row>
    <row r="34" spans="1:15" x14ac:dyDescent="0.2">
      <c r="A34" s="326" t="s">
        <v>303</v>
      </c>
      <c r="B34" s="329">
        <f t="shared" ref="B34:O37" si="9">+B27-B20</f>
        <v>157787.49004803947</v>
      </c>
      <c r="C34" s="329">
        <f t="shared" si="9"/>
        <v>189361.81077588489</v>
      </c>
      <c r="D34" s="329">
        <f t="shared" si="9"/>
        <v>256986.26144298818</v>
      </c>
      <c r="E34" s="329">
        <f t="shared" si="9"/>
        <v>324348.19919603528</v>
      </c>
      <c r="F34" s="329">
        <f t="shared" si="9"/>
        <v>403813.93575806264</v>
      </c>
      <c r="G34" s="329">
        <f t="shared" si="9"/>
        <v>492500.74529721821</v>
      </c>
      <c r="H34" s="329">
        <f t="shared" si="9"/>
        <v>586459.02874979237</v>
      </c>
      <c r="I34" s="329">
        <f t="shared" si="9"/>
        <v>553626.06477853796</v>
      </c>
      <c r="J34" s="329">
        <f t="shared" si="9"/>
        <v>542633.22942890017</v>
      </c>
      <c r="K34" s="329">
        <f t="shared" si="9"/>
        <v>517435.0153348709</v>
      </c>
      <c r="L34" s="329">
        <f t="shared" si="9"/>
        <v>486243.28072100691</v>
      </c>
      <c r="M34" s="329">
        <f t="shared" si="9"/>
        <v>452220.04404610931</v>
      </c>
      <c r="N34" s="329">
        <f t="shared" si="9"/>
        <v>434833.09892436652</v>
      </c>
      <c r="O34" s="329">
        <f t="shared" si="9"/>
        <v>435423.2395535158</v>
      </c>
    </row>
    <row r="35" spans="1:15" x14ac:dyDescent="0.2">
      <c r="A35" s="326" t="s">
        <v>304</v>
      </c>
      <c r="B35" s="329">
        <f t="shared" si="9"/>
        <v>199069.31604764517</v>
      </c>
      <c r="C35" s="329">
        <f t="shared" si="9"/>
        <v>212505.06059472531</v>
      </c>
      <c r="D35" s="329">
        <f t="shared" si="9"/>
        <v>265873.6323100233</v>
      </c>
      <c r="E35" s="329">
        <f t="shared" si="9"/>
        <v>259599.22390731797</v>
      </c>
      <c r="F35" s="329">
        <f t="shared" si="9"/>
        <v>248676.77733922098</v>
      </c>
      <c r="G35" s="329">
        <f t="shared" si="9"/>
        <v>249501.89233117783</v>
      </c>
      <c r="H35" s="329">
        <f t="shared" si="9"/>
        <v>305236.38660061802</v>
      </c>
      <c r="I35" s="329">
        <f t="shared" si="9"/>
        <v>246085.48363242112</v>
      </c>
      <c r="J35" s="329">
        <f t="shared" si="9"/>
        <v>228444.90541194868</v>
      </c>
      <c r="K35" s="329">
        <f t="shared" si="9"/>
        <v>201393.34296790836</v>
      </c>
      <c r="L35" s="329">
        <f t="shared" si="9"/>
        <v>161036.08928169659</v>
      </c>
      <c r="M35" s="329">
        <f t="shared" si="9"/>
        <v>119089.40004916396</v>
      </c>
      <c r="N35" s="329">
        <f t="shared" si="9"/>
        <v>91069.598869815469</v>
      </c>
      <c r="O35" s="329">
        <f t="shared" si="9"/>
        <v>77385.391643617768</v>
      </c>
    </row>
    <row r="36" spans="1:15" x14ac:dyDescent="0.2">
      <c r="A36" s="326" t="s">
        <v>399</v>
      </c>
      <c r="B36" s="329">
        <f t="shared" si="9"/>
        <v>-134769.41416878405</v>
      </c>
      <c r="C36" s="329">
        <f t="shared" si="9"/>
        <v>-82766.237532050698</v>
      </c>
      <c r="D36" s="329">
        <f t="shared" si="9"/>
        <v>-61579.641802961705</v>
      </c>
      <c r="E36" s="329">
        <f t="shared" si="9"/>
        <v>-30849.600658261799</v>
      </c>
      <c r="F36" s="329">
        <f t="shared" si="9"/>
        <v>3061.0954417942557</v>
      </c>
      <c r="G36" s="329">
        <f t="shared" si="9"/>
        <v>34374.486911082175</v>
      </c>
      <c r="H36" s="329">
        <f t="shared" si="9"/>
        <v>70566.468595711514</v>
      </c>
      <c r="I36" s="329">
        <f t="shared" si="9"/>
        <v>22390.697195690824</v>
      </c>
      <c r="J36" s="329">
        <f t="shared" si="9"/>
        <v>-7857.4281345368363</v>
      </c>
      <c r="K36" s="329">
        <f t="shared" si="9"/>
        <v>-38749.50645654439</v>
      </c>
      <c r="L36" s="329">
        <f t="shared" si="9"/>
        <v>-71021.175971901743</v>
      </c>
      <c r="M36" s="329">
        <f t="shared" si="9"/>
        <v>-104650.11662031151</v>
      </c>
      <c r="N36" s="329">
        <f t="shared" si="9"/>
        <v>-127677.6558268324</v>
      </c>
      <c r="O36" s="329">
        <f t="shared" si="9"/>
        <v>-141018.09621274704</v>
      </c>
    </row>
    <row r="37" spans="1:15" x14ac:dyDescent="0.2">
      <c r="A37" s="326" t="s">
        <v>400</v>
      </c>
      <c r="B37" s="329">
        <f t="shared" si="9"/>
        <v>-640311.56293020281</v>
      </c>
      <c r="C37" s="329">
        <f t="shared" si="9"/>
        <v>-726011.81406319584</v>
      </c>
      <c r="D37" s="329">
        <f t="shared" si="9"/>
        <v>-647968.19325275347</v>
      </c>
      <c r="E37" s="329">
        <f t="shared" si="9"/>
        <v>-531709.34408021229</v>
      </c>
      <c r="F37" s="329">
        <f t="shared" si="9"/>
        <v>-315230.43873955542</v>
      </c>
      <c r="G37" s="329">
        <f t="shared" si="9"/>
        <v>-126882.79180407245</v>
      </c>
      <c r="H37" s="329">
        <f t="shared" si="9"/>
        <v>83418.776165064424</v>
      </c>
      <c r="I37" s="329">
        <f t="shared" si="9"/>
        <v>216589.8573658166</v>
      </c>
      <c r="J37" s="329">
        <f t="shared" si="9"/>
        <v>237004.75982586108</v>
      </c>
      <c r="K37" s="329">
        <f t="shared" si="9"/>
        <v>254487.65596829331</v>
      </c>
      <c r="L37" s="329">
        <f t="shared" si="9"/>
        <v>238928.3620049723</v>
      </c>
      <c r="M37" s="329">
        <f t="shared" si="9"/>
        <v>221827.23638420319</v>
      </c>
      <c r="N37" s="329">
        <f t="shared" si="9"/>
        <v>221401.67363714753</v>
      </c>
      <c r="O37" s="329">
        <f t="shared" si="9"/>
        <v>273999.50395582011</v>
      </c>
    </row>
    <row r="38" spans="1:15" x14ac:dyDescent="0.2">
      <c r="A38" s="326"/>
      <c r="B38" s="328"/>
      <c r="C38" s="328"/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</row>
    <row r="39" spans="1:15" s="325" customFormat="1" x14ac:dyDescent="0.2">
      <c r="A39" s="323" t="s">
        <v>690</v>
      </c>
      <c r="B39" s="324">
        <f>SUM(B40:B44)</f>
        <v>-664520.33928859094</v>
      </c>
      <c r="C39" s="324">
        <f t="shared" ref="C39:O39" si="10">SUM(C40:C44)</f>
        <v>-689959.91023145139</v>
      </c>
      <c r="D39" s="324">
        <f t="shared" si="10"/>
        <v>-467676.12075503235</v>
      </c>
      <c r="E39" s="324">
        <f t="shared" si="10"/>
        <v>-251372.5152394193</v>
      </c>
      <c r="F39" s="324">
        <f t="shared" si="10"/>
        <v>78295.508669845934</v>
      </c>
      <c r="G39" s="324">
        <f t="shared" si="10"/>
        <v>374112.08959344315</v>
      </c>
      <c r="H39" s="324">
        <f t="shared" si="10"/>
        <v>763916.72711233865</v>
      </c>
      <c r="I39" s="324">
        <f t="shared" si="10"/>
        <v>702854.18853329471</v>
      </c>
      <c r="J39" s="324">
        <f t="shared" si="10"/>
        <v>621270.16121777194</v>
      </c>
      <c r="K39" s="324">
        <f t="shared" si="10"/>
        <v>510506.59970516426</v>
      </c>
      <c r="L39" s="324">
        <f t="shared" si="10"/>
        <v>337025.67543142475</v>
      </c>
      <c r="M39" s="324">
        <f t="shared" si="10"/>
        <v>154405.57026593602</v>
      </c>
      <c r="N39" s="324">
        <f t="shared" si="10"/>
        <v>32565.821643035655</v>
      </c>
      <c r="O39" s="324">
        <f t="shared" si="10"/>
        <v>19918.444954750419</v>
      </c>
    </row>
    <row r="40" spans="1:15" x14ac:dyDescent="0.2">
      <c r="A40" s="326" t="s">
        <v>390</v>
      </c>
      <c r="B40" s="329">
        <f>+B14+B33</f>
        <v>-96567.939604257626</v>
      </c>
      <c r="C40" s="329">
        <f t="shared" ref="C40:O40" si="11">+C14+C33</f>
        <v>-81298.101463857471</v>
      </c>
      <c r="D40" s="329">
        <f t="shared" si="11"/>
        <v>-69555.221196291328</v>
      </c>
      <c r="E40" s="329">
        <f t="shared" si="11"/>
        <v>-59808.181812044706</v>
      </c>
      <c r="F40" s="329">
        <f t="shared" si="11"/>
        <v>-45795.848625354534</v>
      </c>
      <c r="G40" s="329">
        <f t="shared" si="11"/>
        <v>-34088.805290854958</v>
      </c>
      <c r="H40" s="329">
        <f t="shared" si="11"/>
        <v>-16187.054016767092</v>
      </c>
      <c r="I40" s="329">
        <f t="shared" si="11"/>
        <v>-33396.943636667987</v>
      </c>
      <c r="J40" s="329">
        <f t="shared" si="11"/>
        <v>-45802.31296436338</v>
      </c>
      <c r="K40" s="329">
        <f t="shared" si="11"/>
        <v>-59234.149785804511</v>
      </c>
      <c r="L40" s="329">
        <f t="shared" si="11"/>
        <v>-76868.081694404245</v>
      </c>
      <c r="M40" s="329">
        <f t="shared" si="11"/>
        <v>-95157.459897127163</v>
      </c>
      <c r="N40" s="329">
        <f t="shared" si="11"/>
        <v>-109311.40054659088</v>
      </c>
      <c r="O40" s="329">
        <f t="shared" si="11"/>
        <v>-108068.52805644326</v>
      </c>
    </row>
    <row r="41" spans="1:15" x14ac:dyDescent="0.2">
      <c r="A41" s="326" t="s">
        <v>303</v>
      </c>
      <c r="B41" s="329">
        <f>+B15+B34</f>
        <v>83970.936219736002</v>
      </c>
      <c r="C41" s="329">
        <f t="shared" ref="C41:O41" si="12">+C15+C34</f>
        <v>107186.94897880196</v>
      </c>
      <c r="D41" s="329">
        <f t="shared" si="12"/>
        <v>156459.60405110964</v>
      </c>
      <c r="E41" s="329">
        <f t="shared" si="12"/>
        <v>201605.9372906175</v>
      </c>
      <c r="F41" s="329">
        <f t="shared" si="12"/>
        <v>255621.51096471725</v>
      </c>
      <c r="G41" s="329">
        <f t="shared" si="12"/>
        <v>302819.04335303791</v>
      </c>
      <c r="H41" s="329">
        <f t="shared" si="12"/>
        <v>376581.59070996474</v>
      </c>
      <c r="I41" s="329">
        <f t="shared" si="12"/>
        <v>321101.62444759789</v>
      </c>
      <c r="J41" s="329">
        <f t="shared" si="12"/>
        <v>286229.52900285111</v>
      </c>
      <c r="K41" s="329">
        <f t="shared" si="12"/>
        <v>237607.10957703157</v>
      </c>
      <c r="L41" s="329">
        <f t="shared" si="12"/>
        <v>181641.43051637849</v>
      </c>
      <c r="M41" s="329">
        <f t="shared" si="12"/>
        <v>122046.24929361953</v>
      </c>
      <c r="N41" s="329">
        <f t="shared" si="12"/>
        <v>78267.909862460801</v>
      </c>
      <c r="O41" s="329">
        <f t="shared" si="12"/>
        <v>51625.247095134109</v>
      </c>
    </row>
    <row r="42" spans="1:15" x14ac:dyDescent="0.2">
      <c r="A42" s="326" t="s">
        <v>304</v>
      </c>
      <c r="B42" s="329">
        <f>+B16+B35</f>
        <v>123157.64119491749</v>
      </c>
      <c r="C42" s="329">
        <f t="shared" ref="C42:O42" si="13">+C16+C35</f>
        <v>92929.293848850648</v>
      </c>
      <c r="D42" s="329">
        <f t="shared" si="13"/>
        <v>154967.33144586452</v>
      </c>
      <c r="E42" s="329">
        <f t="shared" si="13"/>
        <v>169388.67402048199</v>
      </c>
      <c r="F42" s="329">
        <f t="shared" si="13"/>
        <v>180639.18962824438</v>
      </c>
      <c r="G42" s="329">
        <f t="shared" si="13"/>
        <v>197890.15642425045</v>
      </c>
      <c r="H42" s="329">
        <f t="shared" si="13"/>
        <v>249536.94565836503</v>
      </c>
      <c r="I42" s="329">
        <f t="shared" si="13"/>
        <v>176168.95316085732</v>
      </c>
      <c r="J42" s="329">
        <f t="shared" si="13"/>
        <v>151695.61348795996</v>
      </c>
      <c r="K42" s="329">
        <f t="shared" si="13"/>
        <v>116395.49040218827</v>
      </c>
      <c r="L42" s="329">
        <f t="shared" si="13"/>
        <v>64345.140576379956</v>
      </c>
      <c r="M42" s="329">
        <f t="shared" si="13"/>
        <v>10339.66110555199</v>
      </c>
      <c r="N42" s="329">
        <f t="shared" si="13"/>
        <v>-30114.705483149388</v>
      </c>
      <c r="O42" s="329">
        <f t="shared" si="13"/>
        <v>-56619.681827013497</v>
      </c>
    </row>
    <row r="43" spans="1:15" x14ac:dyDescent="0.2">
      <c r="A43" s="326" t="s">
        <v>399</v>
      </c>
      <c r="B43" s="329">
        <f>+B36</f>
        <v>-134769.41416878405</v>
      </c>
      <c r="C43" s="329">
        <f t="shared" ref="C43:O43" si="14">+C36</f>
        <v>-82766.237532050698</v>
      </c>
      <c r="D43" s="329">
        <f t="shared" si="14"/>
        <v>-61579.641802961705</v>
      </c>
      <c r="E43" s="329">
        <f t="shared" si="14"/>
        <v>-30849.600658261799</v>
      </c>
      <c r="F43" s="329">
        <f t="shared" si="14"/>
        <v>3061.0954417942557</v>
      </c>
      <c r="G43" s="329">
        <f t="shared" si="14"/>
        <v>34374.486911082175</v>
      </c>
      <c r="H43" s="329">
        <f t="shared" si="14"/>
        <v>70566.468595711514</v>
      </c>
      <c r="I43" s="329">
        <f t="shared" si="14"/>
        <v>22390.697195690824</v>
      </c>
      <c r="J43" s="329">
        <f t="shared" si="14"/>
        <v>-7857.4281345368363</v>
      </c>
      <c r="K43" s="329">
        <f t="shared" si="14"/>
        <v>-38749.50645654439</v>
      </c>
      <c r="L43" s="329">
        <f t="shared" si="14"/>
        <v>-71021.175971901743</v>
      </c>
      <c r="M43" s="329">
        <f t="shared" si="14"/>
        <v>-104650.11662031151</v>
      </c>
      <c r="N43" s="329">
        <f t="shared" si="14"/>
        <v>-127677.6558268324</v>
      </c>
      <c r="O43" s="329">
        <f t="shared" si="14"/>
        <v>-141018.09621274704</v>
      </c>
    </row>
    <row r="44" spans="1:15" x14ac:dyDescent="0.2">
      <c r="A44" s="326" t="s">
        <v>400</v>
      </c>
      <c r="B44" s="329">
        <f>+B37</f>
        <v>-640311.56293020281</v>
      </c>
      <c r="C44" s="329">
        <f t="shared" ref="C44:O44" si="15">+C37</f>
        <v>-726011.81406319584</v>
      </c>
      <c r="D44" s="329">
        <f t="shared" si="15"/>
        <v>-647968.19325275347</v>
      </c>
      <c r="E44" s="329">
        <f t="shared" si="15"/>
        <v>-531709.34408021229</v>
      </c>
      <c r="F44" s="329">
        <f t="shared" si="15"/>
        <v>-315230.43873955542</v>
      </c>
      <c r="G44" s="329">
        <f t="shared" si="15"/>
        <v>-126882.79180407245</v>
      </c>
      <c r="H44" s="329">
        <f t="shared" si="15"/>
        <v>83418.776165064424</v>
      </c>
      <c r="I44" s="329">
        <f t="shared" si="15"/>
        <v>216589.8573658166</v>
      </c>
      <c r="J44" s="329">
        <f t="shared" si="15"/>
        <v>237004.75982586108</v>
      </c>
      <c r="K44" s="329">
        <f t="shared" si="15"/>
        <v>254487.65596829331</v>
      </c>
      <c r="L44" s="329">
        <f t="shared" si="15"/>
        <v>238928.3620049723</v>
      </c>
      <c r="M44" s="329">
        <f t="shared" si="15"/>
        <v>221827.23638420319</v>
      </c>
      <c r="N44" s="329">
        <f t="shared" si="15"/>
        <v>221401.67363714753</v>
      </c>
      <c r="O44" s="329">
        <f t="shared" si="15"/>
        <v>273999.50395582011</v>
      </c>
    </row>
    <row r="45" spans="1:15" hidden="1" outlineLevel="1" x14ac:dyDescent="0.2">
      <c r="A45" s="326"/>
      <c r="B45" s="328"/>
      <c r="C45" s="328"/>
      <c r="D45" s="328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</row>
    <row r="46" spans="1:15" s="325" customFormat="1" hidden="1" outlineLevel="1" x14ac:dyDescent="0.2">
      <c r="A46" s="323" t="s">
        <v>462</v>
      </c>
      <c r="B46" s="324">
        <f>SUM(B47:B49)</f>
        <v>-140693.98863448863</v>
      </c>
      <c r="C46" s="324">
        <f t="shared" ref="C46:O46" si="16">SUM(C47:C49)</f>
        <v>-189723.95551620249</v>
      </c>
      <c r="D46" s="324">
        <f t="shared" si="16"/>
        <v>-189632.4917250225</v>
      </c>
      <c r="E46" s="324">
        <f t="shared" si="16"/>
        <v>-177596.74570613285</v>
      </c>
      <c r="F46" s="324">
        <f t="shared" si="16"/>
        <v>-179589.12419282162</v>
      </c>
      <c r="G46" s="324">
        <f t="shared" si="16"/>
        <v>-204236.47657695538</v>
      </c>
      <c r="H46" s="324">
        <f t="shared" si="16"/>
        <v>-223851.26474440726</v>
      </c>
      <c r="I46" s="324">
        <f t="shared" si="16"/>
        <v>-256193.25979686913</v>
      </c>
      <c r="J46" s="324">
        <f t="shared" si="16"/>
        <v>-287031.46197020647</v>
      </c>
      <c r="K46" s="324">
        <f t="shared" si="16"/>
        <v>-317882.44564545259</v>
      </c>
      <c r="L46" s="324">
        <f t="shared" si="16"/>
        <v>-353356.959342635</v>
      </c>
      <c r="M46" s="324">
        <f t="shared" si="16"/>
        <v>-389968.9149713908</v>
      </c>
      <c r="N46" s="324">
        <f t="shared" si="16"/>
        <v>-427749.08719875285</v>
      </c>
      <c r="O46" s="324">
        <f t="shared" si="16"/>
        <v>-466744.46115105774</v>
      </c>
    </row>
    <row r="47" spans="1:15" hidden="1" outlineLevel="1" x14ac:dyDescent="0.2">
      <c r="A47" s="326" t="s">
        <v>390</v>
      </c>
      <c r="B47" s="327">
        <f>+'ТЭЦ-1'!C186</f>
        <v>-18735.783654807401</v>
      </c>
      <c r="C47" s="327">
        <f>+'ТЭЦ-1'!D186</f>
        <v>-18443.7960984661</v>
      </c>
      <c r="D47" s="327">
        <f>+'ТЭЦ-1'!E186</f>
        <v>-8010.0636253082139</v>
      </c>
      <c r="E47" s="327">
        <f>+'ТЭЦ-1'!F186</f>
        <v>2913.2128410352243</v>
      </c>
      <c r="F47" s="327">
        <f>+'ТЭЦ-1'!G186</f>
        <v>2507.2931386945652</v>
      </c>
      <c r="G47" s="327">
        <f>+'ТЭЦ-1'!H186</f>
        <v>1148.3387251102886</v>
      </c>
      <c r="H47" s="327">
        <f>+'ТЭЦ-1'!I186</f>
        <v>3693.7540583790897</v>
      </c>
      <c r="I47" s="327">
        <f>+'ТЭЦ-1'!J186</f>
        <v>3511.1226202570024</v>
      </c>
      <c r="J47" s="327">
        <f>+'ТЭЦ-1'!K186</f>
        <v>3476.5360302436511</v>
      </c>
      <c r="K47" s="327">
        <f>+'ТЭЦ-1'!L186</f>
        <v>3434.4661623707516</v>
      </c>
      <c r="L47" s="327">
        <f>+'ТЭЦ-1'!M186</f>
        <v>3125.688682079774</v>
      </c>
      <c r="M47" s="327">
        <f>+'ТЭЦ-1'!N186</f>
        <v>2802.5190959733309</v>
      </c>
      <c r="N47" s="327">
        <f>+'ТЭЦ-1'!O186</f>
        <v>2464.486848356968</v>
      </c>
      <c r="O47" s="327">
        <f>+'ТЭЦ-1'!P186</f>
        <v>2095.6427709649106</v>
      </c>
    </row>
    <row r="48" spans="1:15" hidden="1" outlineLevel="1" x14ac:dyDescent="0.2">
      <c r="A48" s="326" t="s">
        <v>303</v>
      </c>
      <c r="B48" s="327">
        <f>+'ТЭЦ-3'!C184</f>
        <v>-57594.055388883768</v>
      </c>
      <c r="C48" s="327">
        <f>+'ТЭЦ-3'!D184</f>
        <v>-64399.880661844356</v>
      </c>
      <c r="D48" s="327">
        <f>+'ТЭЦ-3'!E184</f>
        <v>-82218.819104226248</v>
      </c>
      <c r="E48" s="327">
        <f>+'ТЭЦ-3'!F184</f>
        <v>-103489.96695707458</v>
      </c>
      <c r="F48" s="327">
        <f>+'ТЭЦ-3'!G184</f>
        <v>-128029.3161226277</v>
      </c>
      <c r="G48" s="327">
        <f>+'ТЭЦ-3'!H184</f>
        <v>-168618.24656359025</v>
      </c>
      <c r="H48" s="327">
        <f>+'ТЭЦ-3'!I184</f>
        <v>-187888.16163449743</v>
      </c>
      <c r="I48" s="327">
        <f>+'ТЭЦ-3'!J184</f>
        <v>-209574.03745518587</v>
      </c>
      <c r="J48" s="327">
        <f>+'ТЭЦ-3'!K184</f>
        <v>-233603.55014681633</v>
      </c>
      <c r="K48" s="327">
        <f>+'ТЭЦ-3'!L184</f>
        <v>-256327.41694860169</v>
      </c>
      <c r="L48" s="327">
        <f>+'ТЭЦ-3'!M184</f>
        <v>-280336.1944399635</v>
      </c>
      <c r="M48" s="327">
        <f>+'ТЭЦ-3'!N184</f>
        <v>-305116.88545723469</v>
      </c>
      <c r="N48" s="327">
        <f>+'ТЭЦ-3'!O184</f>
        <v>-330690.02675023576</v>
      </c>
      <c r="O48" s="327">
        <f>+'ТЭЦ-3'!P184</f>
        <v>-357076.63225657208</v>
      </c>
    </row>
    <row r="49" spans="1:16" hidden="1" outlineLevel="1" x14ac:dyDescent="0.2">
      <c r="A49" s="326" t="s">
        <v>304</v>
      </c>
      <c r="B49" s="327">
        <f>+'ТЭЦ-4'!C190</f>
        <v>-64364.149590797468</v>
      </c>
      <c r="C49" s="327">
        <f>+'ТЭЦ-4'!D190</f>
        <v>-106880.27875589202</v>
      </c>
      <c r="D49" s="327">
        <f>+'ТЭЦ-4'!E190</f>
        <v>-99403.608995488015</v>
      </c>
      <c r="E49" s="327">
        <f>+'ТЭЦ-4'!F190</f>
        <v>-77019.991590093516</v>
      </c>
      <c r="F49" s="327">
        <f>+'ТЭЦ-4'!G190</f>
        <v>-54067.101208888482</v>
      </c>
      <c r="G49" s="327">
        <f>+'ТЭЦ-4'!H190</f>
        <v>-36766.56873847542</v>
      </c>
      <c r="H49" s="327">
        <f>+'ТЭЦ-4'!I190</f>
        <v>-39656.857168288945</v>
      </c>
      <c r="I49" s="327">
        <f>+'ТЭЦ-4'!J190</f>
        <v>-50130.344961940267</v>
      </c>
      <c r="J49" s="327">
        <f>+'ТЭЦ-4'!K190</f>
        <v>-56904.447853633756</v>
      </c>
      <c r="K49" s="327">
        <f>+'ТЭЦ-4'!L190</f>
        <v>-64989.494859221668</v>
      </c>
      <c r="L49" s="327">
        <f>+'ТЭЦ-4'!M190</f>
        <v>-76146.453584751289</v>
      </c>
      <c r="M49" s="327">
        <f>+'ТЭЦ-4'!N190</f>
        <v>-87654.548610129437</v>
      </c>
      <c r="N49" s="327">
        <f>+'ТЭЦ-4'!O190</f>
        <v>-99523.547296874065</v>
      </c>
      <c r="O49" s="327">
        <f>+'ТЭЦ-4'!P190</f>
        <v>-111763.47166545056</v>
      </c>
    </row>
    <row r="50" spans="1:16" hidden="1" outlineLevel="1" x14ac:dyDescent="0.2">
      <c r="A50" s="326"/>
      <c r="B50" s="328"/>
      <c r="C50" s="328"/>
      <c r="D50" s="328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</row>
    <row r="51" spans="1:16" s="325" customFormat="1" hidden="1" outlineLevel="1" x14ac:dyDescent="0.2">
      <c r="A51" s="323" t="s">
        <v>463</v>
      </c>
      <c r="B51" s="324">
        <f>SUM(B52:B56)</f>
        <v>-276386.18835410243</v>
      </c>
      <c r="C51" s="324">
        <f t="shared" ref="C51:O51" si="17">SUM(C52:C56)</f>
        <v>-226835.21665727231</v>
      </c>
      <c r="D51" s="324">
        <f t="shared" si="17"/>
        <v>19017.419510013191</v>
      </c>
      <c r="E51" s="324">
        <f t="shared" si="17"/>
        <v>329979.82304159098</v>
      </c>
      <c r="F51" s="324">
        <f t="shared" si="17"/>
        <v>761889.44216482691</v>
      </c>
      <c r="G51" s="324">
        <f t="shared" si="17"/>
        <v>1182722.3894910577</v>
      </c>
      <c r="H51" s="324">
        <f t="shared" si="17"/>
        <v>1695916.4306849043</v>
      </c>
      <c r="I51" s="324">
        <f t="shared" si="17"/>
        <v>1772091.6053149786</v>
      </c>
      <c r="J51" s="324">
        <f t="shared" si="17"/>
        <v>1743989.1464257161</v>
      </c>
      <c r="K51" s="324">
        <f t="shared" si="17"/>
        <v>1691856.322283901</v>
      </c>
      <c r="L51" s="324">
        <f t="shared" si="17"/>
        <v>1582458.0115810295</v>
      </c>
      <c r="M51" s="324">
        <f t="shared" si="17"/>
        <v>1466027.0094651815</v>
      </c>
      <c r="N51" s="324">
        <f t="shared" si="17"/>
        <v>1412543.2601691708</v>
      </c>
      <c r="O51" s="324">
        <f t="shared" si="17"/>
        <v>1423003.7129442052</v>
      </c>
    </row>
    <row r="52" spans="1:16" hidden="1" outlineLevel="1" x14ac:dyDescent="0.2">
      <c r="A52" s="326" t="s">
        <v>390</v>
      </c>
      <c r="B52" s="327">
        <f>+'ТЭЦ-1'!C195</f>
        <v>-69254.598697012785</v>
      </c>
      <c r="C52" s="327">
        <f>+'ТЭЦ-1'!D195</f>
        <v>-54276.74811295393</v>
      </c>
      <c r="D52" s="327">
        <f>+'ТЭЦ-1'!E195</f>
        <v>-52967.600318545679</v>
      </c>
      <c r="E52" s="327">
        <f>+'ТЭЦ-1'!F195</f>
        <v>-53115.937400642491</v>
      </c>
      <c r="F52" s="327">
        <f>+'ТЭЦ-1'!G195</f>
        <v>-37205.284511611659</v>
      </c>
      <c r="G52" s="327">
        <f>+'ТЭЦ-1'!H195</f>
        <v>-21396.286763527809</v>
      </c>
      <c r="H52" s="327">
        <f>+'ТЭЦ-1'!I195</f>
        <v>-3286.7508227087419</v>
      </c>
      <c r="I52" s="327">
        <f>+'ТЭЦ-1'!J195</f>
        <v>-19403.709004487551</v>
      </c>
      <c r="J52" s="327">
        <f>+'ТЭЦ-1'!K195</f>
        <v>-31276.670024596468</v>
      </c>
      <c r="K52" s="327">
        <f>+'ТЭЦ-1'!L195</f>
        <v>-44141.306260591635</v>
      </c>
      <c r="L52" s="327">
        <f>+'ТЭЦ-1'!M195</f>
        <v>-60926.395319800024</v>
      </c>
      <c r="M52" s="327">
        <f>+'ТЭЦ-1'!N195</f>
        <v>-78336.784645788983</v>
      </c>
      <c r="N52" s="327">
        <f>+'ТЭЦ-1'!O195</f>
        <v>-91580.671795935836</v>
      </c>
      <c r="O52" s="327">
        <f>+'ТЭЦ-1'!P195</f>
        <v>-100792.45563364829</v>
      </c>
    </row>
    <row r="53" spans="1:16" hidden="1" outlineLevel="1" x14ac:dyDescent="0.2">
      <c r="A53" s="326" t="s">
        <v>303</v>
      </c>
      <c r="B53" s="327">
        <f>+'ТЭЦ-3'!C193+'ТЭЦ-3'!C202</f>
        <v>180953.48179904971</v>
      </c>
      <c r="C53" s="327">
        <f>+'ТЭЦ-3'!D193+'ТЭЦ-3'!D202</f>
        <v>210975.31983107611</v>
      </c>
      <c r="D53" s="327">
        <f>+'ТЭЦ-3'!E193+'ТЭЦ-3'!E202</f>
        <v>279451.42382781213</v>
      </c>
      <c r="E53" s="327">
        <f>+'ТЭЦ-3'!F193+'ТЭЦ-3'!F202</f>
        <v>347164.44575888838</v>
      </c>
      <c r="F53" s="327">
        <f>+'ТЭЦ-3'!G193+'ТЭЦ-3'!G202</f>
        <v>427092.92474417231</v>
      </c>
      <c r="G53" s="327">
        <f>+'ТЭЦ-3'!H193+'ТЭЦ-3'!H202</f>
        <v>516325.21275284502</v>
      </c>
      <c r="H53" s="327">
        <f>+'ТЭЦ-3'!I193+'ТЭЦ-3'!I202</f>
        <v>610865.19691584713</v>
      </c>
      <c r="I53" s="327">
        <f>+'ТЭЦ-3'!J193+'ТЭЦ-3'!J202</f>
        <v>578639.51841480192</v>
      </c>
      <c r="J53" s="327">
        <f>+'ТЭЦ-3'!K193+'ТЭЦ-3'!K202</f>
        <v>567963.17383844696</v>
      </c>
      <c r="K53" s="327">
        <f>+'ТЭЦ-3'!L193+'ТЭЦ-3'!L202</f>
        <v>543815.23111623724</v>
      </c>
      <c r="L53" s="327">
        <f>+'ТЭЦ-3'!M193+'ТЭЦ-3'!M202</f>
        <v>513664.36920547066</v>
      </c>
      <c r="M53" s="327">
        <f>+'ТЭЦ-3'!N193+'ТЭЦ-3'!N202</f>
        <v>480729.66243415343</v>
      </c>
      <c r="N53" s="327">
        <f>+'ТЭЦ-3'!O193+'ТЭЦ-3'!O202</f>
        <v>464480.98505434196</v>
      </c>
      <c r="O53" s="327">
        <f>+'ТЭЦ-3'!P193+'ТЭЦ-3'!P202</f>
        <v>466261.30042544368</v>
      </c>
    </row>
    <row r="54" spans="1:16" hidden="1" outlineLevel="1" x14ac:dyDescent="0.2">
      <c r="A54" s="326" t="s">
        <v>304</v>
      </c>
      <c r="B54" s="327">
        <f>+'ТЭЦ-4'!C199+'ТЭЦ-4'!C208</f>
        <v>224129.85356851158</v>
      </c>
      <c r="C54" s="327">
        <f>+'ТЭЦ-4'!D199+'ТЭЦ-4'!D208</f>
        <v>236417.63538753934</v>
      </c>
      <c r="D54" s="327">
        <f>+'ТЭЦ-4'!E199+'ТЭЦ-4'!E208</f>
        <v>290979.00322414923</v>
      </c>
      <c r="E54" s="327">
        <f>+'ТЭЦ-4'!F199+'ТЭЦ-4'!F208</f>
        <v>289224.91537505022</v>
      </c>
      <c r="F54" s="327">
        <f>+'ТЭЦ-4'!G199+'ТЭЦ-4'!G208</f>
        <v>281605.54060160735</v>
      </c>
      <c r="G54" s="327">
        <f>+'ТЭЦ-4'!H199+'ТЭЦ-4'!H208</f>
        <v>287400.24140118889</v>
      </c>
      <c r="H54" s="327">
        <f>+'ТЭЦ-4'!I199+'ТЭЦ-4'!I208</f>
        <v>345318.81906511693</v>
      </c>
      <c r="I54" s="327">
        <f>+'ТЭЦ-4'!J199+'ТЭЦ-4'!J208</f>
        <v>293961.41436126066</v>
      </c>
      <c r="J54" s="327">
        <f>+'ТЭЦ-4'!K199+'ТЭЦ-4'!K208</f>
        <v>277753.24976841081</v>
      </c>
      <c r="K54" s="327">
        <f>+'ТЭЦ-4'!L199+'ТЭЦ-4'!L208</f>
        <v>252375.3588765809</v>
      </c>
      <c r="L54" s="327">
        <f>+'ТЭЦ-4'!M199+'ТЭЦ-4'!M208</f>
        <v>213363.88513030659</v>
      </c>
      <c r="M54" s="327">
        <f>+'ТЭЦ-4'!N199+'ТЭЦ-4'!N208</f>
        <v>172803.5335945118</v>
      </c>
      <c r="N54" s="327">
        <f>+'ТЭЦ-4'!O199+'ТЭЦ-4'!O208</f>
        <v>146211.65612283023</v>
      </c>
      <c r="O54" s="327">
        <f>+'ТЭЦ-4'!P199+'ТЭЦ-4'!P208</f>
        <v>133998.20556510775</v>
      </c>
    </row>
    <row r="55" spans="1:16" hidden="1" outlineLevel="1" x14ac:dyDescent="0.2">
      <c r="A55" s="326" t="s">
        <v>411</v>
      </c>
      <c r="B55" s="327">
        <f>+Кот.!C301</f>
        <v>-132868.3275173404</v>
      </c>
      <c r="C55" s="327">
        <f>+Кот.!D301</f>
        <v>-80865.150880607063</v>
      </c>
      <c r="D55" s="327">
        <f>+Кот.!E301</f>
        <v>-59678.55515151807</v>
      </c>
      <c r="E55" s="327">
        <f>+Кот.!F301</f>
        <v>-27305.114006818163</v>
      </c>
      <c r="F55" s="327">
        <f>+Кот.!G301</f>
        <v>14556.882093237891</v>
      </c>
      <c r="G55" s="327">
        <f>+Кот.!H301</f>
        <v>50767.573562525809</v>
      </c>
      <c r="H55" s="327">
        <f>+Кот.!I301</f>
        <v>96157.079909968248</v>
      </c>
      <c r="I55" s="327">
        <f>+Кот.!J301</f>
        <v>48421.908509947563</v>
      </c>
      <c r="J55" s="327">
        <f>+Кот.!K301</f>
        <v>18941.501519147601</v>
      </c>
      <c r="K55" s="327">
        <f>+Кот.!L301</f>
        <v>-11169.64046343225</v>
      </c>
      <c r="L55" s="327">
        <f>+Кот.!M301</f>
        <v>-42637.342089179074</v>
      </c>
      <c r="M55" s="327">
        <f>+Кот.!N301</f>
        <v>-75438.886757795481</v>
      </c>
      <c r="N55" s="327">
        <f>+Кот.!O301</f>
        <v>-97614.91094783468</v>
      </c>
      <c r="O55" s="327">
        <f>+Кот.!P301</f>
        <v>-110079.01443787385</v>
      </c>
    </row>
    <row r="56" spans="1:16" hidden="1" outlineLevel="1" x14ac:dyDescent="0.2">
      <c r="A56" s="326" t="s">
        <v>400</v>
      </c>
      <c r="B56" s="327">
        <f>+Сети!C146</f>
        <v>-479346.59750731051</v>
      </c>
      <c r="C56" s="327">
        <f>+Сети!D146</f>
        <v>-539086.27288232674</v>
      </c>
      <c r="D56" s="327">
        <f>+Сети!E146</f>
        <v>-438766.85207188444</v>
      </c>
      <c r="E56" s="327">
        <f>+Сети!F146</f>
        <v>-225988.48668488697</v>
      </c>
      <c r="F56" s="327">
        <f>+Сети!G146</f>
        <v>75839.379237420973</v>
      </c>
      <c r="G56" s="327">
        <f>+Сети!H146</f>
        <v>349625.64853802585</v>
      </c>
      <c r="H56" s="327">
        <f>+Сети!I146</f>
        <v>646862.08561668079</v>
      </c>
      <c r="I56" s="327">
        <f>+Сети!J146</f>
        <v>870472.47303345613</v>
      </c>
      <c r="J56" s="327">
        <f>+Сети!K146</f>
        <v>910607.89132430719</v>
      </c>
      <c r="K56" s="327">
        <f>+Сети!L146</f>
        <v>950976.67901510675</v>
      </c>
      <c r="L56" s="327">
        <f>+Сети!M146</f>
        <v>958993.49465423136</v>
      </c>
      <c r="M56" s="327">
        <f>+Сети!N146</f>
        <v>966269.48484010075</v>
      </c>
      <c r="N56" s="327">
        <f>+Сети!O146</f>
        <v>991046.20173576917</v>
      </c>
      <c r="O56" s="327">
        <f>+Сети!P146</f>
        <v>1033615.6770251759</v>
      </c>
    </row>
    <row r="57" spans="1:16" hidden="1" outlineLevel="1" x14ac:dyDescent="0.2">
      <c r="A57" s="326"/>
      <c r="B57" s="328"/>
      <c r="C57" s="328"/>
      <c r="D57" s="328"/>
      <c r="E57" s="328"/>
      <c r="F57" s="328"/>
      <c r="G57" s="328"/>
      <c r="H57" s="328"/>
      <c r="I57" s="328"/>
      <c r="J57" s="328"/>
      <c r="K57" s="328"/>
      <c r="L57" s="328"/>
      <c r="M57" s="328"/>
      <c r="N57" s="328"/>
      <c r="O57" s="328"/>
    </row>
    <row r="58" spans="1:16" s="325" customFormat="1" hidden="1" outlineLevel="1" x14ac:dyDescent="0.2">
      <c r="A58" s="323" t="s">
        <v>464</v>
      </c>
      <c r="B58" s="324">
        <f>+B46+B51</f>
        <v>-417080.17698859109</v>
      </c>
      <c r="C58" s="324">
        <f t="shared" ref="C58:O58" si="18">+C46+C51</f>
        <v>-416559.1721734748</v>
      </c>
      <c r="D58" s="324">
        <f t="shared" si="18"/>
        <v>-170615.07221500931</v>
      </c>
      <c r="E58" s="324">
        <f t="shared" si="18"/>
        <v>152383.07733545813</v>
      </c>
      <c r="F58" s="324">
        <f t="shared" si="18"/>
        <v>582300.31797200534</v>
      </c>
      <c r="G58" s="324">
        <f t="shared" si="18"/>
        <v>978485.91291410231</v>
      </c>
      <c r="H58" s="324">
        <f t="shared" si="18"/>
        <v>1472065.1659404971</v>
      </c>
      <c r="I58" s="324">
        <f t="shared" si="18"/>
        <v>1515898.3455181094</v>
      </c>
      <c r="J58" s="324">
        <f t="shared" si="18"/>
        <v>1456957.6844555098</v>
      </c>
      <c r="K58" s="324">
        <f t="shared" si="18"/>
        <v>1373973.8766384483</v>
      </c>
      <c r="L58" s="324">
        <f t="shared" si="18"/>
        <v>1229101.0522383945</v>
      </c>
      <c r="M58" s="324">
        <f t="shared" si="18"/>
        <v>1076058.0944937908</v>
      </c>
      <c r="N58" s="324">
        <f t="shared" si="18"/>
        <v>984794.17297041789</v>
      </c>
      <c r="O58" s="324">
        <f t="shared" si="18"/>
        <v>956259.25179314741</v>
      </c>
    </row>
    <row r="59" spans="1:16" s="610" customFormat="1" collapsed="1" x14ac:dyDescent="0.2">
      <c r="A59" s="721" t="s">
        <v>26</v>
      </c>
      <c r="B59" s="722"/>
      <c r="C59" s="722"/>
      <c r="D59" s="722">
        <f>-[1]Лист1!H$24</f>
        <v>-1090576.5794189691</v>
      </c>
      <c r="E59" s="722">
        <f>-[1]Лист1!I$24</f>
        <v>-1042180.5596707482</v>
      </c>
      <c r="F59" s="722">
        <f>-[1]Лист1!J$24</f>
        <v>-1003806.9864918017</v>
      </c>
      <c r="G59" s="722">
        <f>-[1]Лист1!K$24</f>
        <v>-1030884.507551837</v>
      </c>
      <c r="H59" s="722">
        <f>-[1]Лист1!L$24</f>
        <v>-1033273.0621602314</v>
      </c>
      <c r="I59" s="722"/>
      <c r="J59" s="722"/>
      <c r="K59" s="722"/>
      <c r="L59" s="722"/>
      <c r="M59" s="722"/>
      <c r="N59" s="722"/>
      <c r="O59" s="722"/>
    </row>
    <row r="60" spans="1:16" s="610" customFormat="1" ht="29.25" customHeight="1" x14ac:dyDescent="0.2">
      <c r="A60" s="622"/>
      <c r="B60" s="623"/>
      <c r="C60" s="623"/>
      <c r="D60" s="623"/>
      <c r="E60" s="623"/>
      <c r="F60" s="623"/>
      <c r="G60" s="623"/>
      <c r="H60" s="623"/>
      <c r="I60" s="623"/>
      <c r="J60" s="623"/>
      <c r="K60" s="623"/>
      <c r="L60" s="623"/>
      <c r="M60" s="623"/>
      <c r="N60" s="623"/>
      <c r="O60" s="624"/>
    </row>
    <row r="61" spans="1:16" s="325" customFormat="1" ht="24.75" customHeight="1" x14ac:dyDescent="0.2">
      <c r="A61" s="936" t="str">
        <f>IF(D61=D120,A120,IF(D61=D119,A119,A118))</f>
        <v>Рост тарифа на инвестиции за счет прибыли</v>
      </c>
      <c r="B61" s="937"/>
      <c r="C61" s="938"/>
      <c r="D61" s="625">
        <f>+D120</f>
        <v>1.08</v>
      </c>
      <c r="E61" s="625">
        <f t="shared" ref="E61:O61" si="19">+E120</f>
        <v>1.08</v>
      </c>
      <c r="F61" s="625">
        <f t="shared" si="19"/>
        <v>1.08</v>
      </c>
      <c r="G61" s="625">
        <f t="shared" si="19"/>
        <v>1.08</v>
      </c>
      <c r="H61" s="625">
        <f t="shared" si="19"/>
        <v>1.08</v>
      </c>
      <c r="I61" s="625">
        <f t="shared" si="19"/>
        <v>1</v>
      </c>
      <c r="J61" s="625">
        <f t="shared" si="19"/>
        <v>1</v>
      </c>
      <c r="K61" s="625">
        <f t="shared" si="19"/>
        <v>1</v>
      </c>
      <c r="L61" s="625">
        <f t="shared" si="19"/>
        <v>1</v>
      </c>
      <c r="M61" s="625">
        <f t="shared" si="19"/>
        <v>1</v>
      </c>
      <c r="N61" s="625">
        <f t="shared" si="19"/>
        <v>1.01</v>
      </c>
      <c r="O61" s="625">
        <f t="shared" si="19"/>
        <v>1.02</v>
      </c>
    </row>
    <row r="62" spans="1:16" s="325" customFormat="1" ht="24" customHeight="1" x14ac:dyDescent="0.2">
      <c r="A62" s="936" t="s">
        <v>732</v>
      </c>
      <c r="B62" s="937"/>
      <c r="C62" s="938"/>
      <c r="D62" s="928" t="s">
        <v>659</v>
      </c>
      <c r="E62" s="929"/>
      <c r="F62" s="929"/>
      <c r="G62" s="929"/>
      <c r="H62" s="930"/>
      <c r="I62" s="931" t="s">
        <v>661</v>
      </c>
      <c r="J62" s="932"/>
      <c r="K62" s="932"/>
      <c r="L62" s="932"/>
      <c r="M62" s="933"/>
      <c r="N62" s="934" t="s">
        <v>660</v>
      </c>
      <c r="O62" s="935"/>
      <c r="P62" s="920" t="s">
        <v>731</v>
      </c>
    </row>
    <row r="63" spans="1:16" x14ac:dyDescent="0.2">
      <c r="A63" s="925" t="s">
        <v>730</v>
      </c>
      <c r="B63" s="926"/>
      <c r="C63" s="927"/>
      <c r="D63" s="727">
        <f t="shared" ref="D63:F63" si="20">+D32/D18</f>
        <v>-5.2136522595963311E-2</v>
      </c>
      <c r="E63" s="727">
        <f t="shared" si="20"/>
        <v>-8.2220365454171024E-3</v>
      </c>
      <c r="F63" s="727">
        <f t="shared" si="20"/>
        <v>5.7019439649987194E-2</v>
      </c>
      <c r="G63" s="727">
        <f>+G32/G18</f>
        <v>0.11511485978345787</v>
      </c>
      <c r="H63" s="727">
        <f>+H32/H18</f>
        <v>0.18561399002567028</v>
      </c>
      <c r="I63" s="727">
        <f>+I32/I18</f>
        <v>0.17618770950455276</v>
      </c>
      <c r="J63" s="727">
        <f t="shared" ref="J63:O63" si="21">+J32/J18</f>
        <v>0.16102606899496158</v>
      </c>
      <c r="K63" s="727">
        <f t="shared" si="21"/>
        <v>0.14163607935014061</v>
      </c>
      <c r="L63" s="727">
        <f t="shared" si="21"/>
        <v>0.11538605385759788</v>
      </c>
      <c r="M63" s="727">
        <f t="shared" si="21"/>
        <v>8.9550383216213267E-2</v>
      </c>
      <c r="N63" s="727">
        <f t="shared" si="21"/>
        <v>7.4401325570605678E-2</v>
      </c>
      <c r="O63" s="727">
        <f t="shared" si="21"/>
        <v>7.6146675878889805E-2</v>
      </c>
    </row>
    <row r="117" spans="1:15" x14ac:dyDescent="0.2">
      <c r="I117" s="322" t="s">
        <v>603</v>
      </c>
      <c r="J117" s="322" t="s">
        <v>603</v>
      </c>
      <c r="K117" s="322" t="s">
        <v>603</v>
      </c>
      <c r="L117" s="322" t="s">
        <v>603</v>
      </c>
      <c r="M117" s="322" t="s">
        <v>603</v>
      </c>
    </row>
    <row r="118" spans="1:15" x14ac:dyDescent="0.2">
      <c r="A118" s="321" t="s">
        <v>663</v>
      </c>
      <c r="D118" s="621">
        <v>1.04</v>
      </c>
      <c r="E118" s="621">
        <v>1.04</v>
      </c>
      <c r="F118" s="621">
        <v>1.04</v>
      </c>
      <c r="G118" s="621">
        <v>1.04</v>
      </c>
      <c r="H118" s="621">
        <v>1.04</v>
      </c>
      <c r="I118" s="621">
        <v>1.04</v>
      </c>
      <c r="J118" s="621">
        <v>1.04</v>
      </c>
      <c r="K118" s="621">
        <v>1.04</v>
      </c>
      <c r="L118" s="621">
        <v>1.04</v>
      </c>
      <c r="M118" s="621">
        <v>1.04</v>
      </c>
      <c r="N118" s="720">
        <f>104%-1%</f>
        <v>1.03</v>
      </c>
      <c r="O118" s="720">
        <f>104%-2.5%</f>
        <v>1.0150000000000001</v>
      </c>
    </row>
    <row r="119" spans="1:15" ht="23.25" thickBot="1" x14ac:dyDescent="0.25">
      <c r="A119" s="321" t="s">
        <v>664</v>
      </c>
      <c r="D119" s="626">
        <f>+D118+D126</f>
        <v>1.0456667470754313</v>
      </c>
      <c r="E119" s="626">
        <f t="shared" ref="E119:K119" si="22">+E118+E126</f>
        <v>1.0449844118702811</v>
      </c>
      <c r="F119" s="626">
        <f t="shared" si="22"/>
        <v>1.0615399662402394</v>
      </c>
      <c r="G119" s="626">
        <f t="shared" si="22"/>
        <v>1.0595273673257957</v>
      </c>
      <c r="H119" s="626">
        <f t="shared" si="22"/>
        <v>1.058782380294103</v>
      </c>
      <c r="I119" s="621">
        <f t="shared" si="22"/>
        <v>1.0587580038295055</v>
      </c>
      <c r="J119" s="621">
        <f t="shared" si="22"/>
        <v>1.0584275193037895</v>
      </c>
      <c r="K119" s="720">
        <f t="shared" si="22"/>
        <v>1</v>
      </c>
      <c r="L119" s="720">
        <v>1</v>
      </c>
      <c r="M119" s="720">
        <v>1</v>
      </c>
      <c r="N119" s="720">
        <f>101.5%</f>
        <v>1.0149999999999999</v>
      </c>
      <c r="O119" s="720">
        <f>104%-2%</f>
        <v>1.02</v>
      </c>
    </row>
    <row r="120" spans="1:15" ht="12.75" thickBot="1" x14ac:dyDescent="0.25">
      <c r="A120" s="321" t="s">
        <v>662</v>
      </c>
      <c r="D120" s="627">
        <v>1.08</v>
      </c>
      <c r="E120" s="628">
        <f>+D120</f>
        <v>1.08</v>
      </c>
      <c r="F120" s="628">
        <f>+E120</f>
        <v>1.08</v>
      </c>
      <c r="G120" s="628">
        <f>+F120</f>
        <v>1.08</v>
      </c>
      <c r="H120" s="628">
        <f>+G120</f>
        <v>1.08</v>
      </c>
      <c r="I120" s="720">
        <v>1</v>
      </c>
      <c r="J120" s="720">
        <v>1</v>
      </c>
      <c r="K120" s="720">
        <v>1</v>
      </c>
      <c r="L120" s="720">
        <v>1</v>
      </c>
      <c r="M120" s="720">
        <v>1</v>
      </c>
      <c r="N120" s="720">
        <v>1.01</v>
      </c>
      <c r="O120" s="720">
        <f>104%-2%</f>
        <v>1.02</v>
      </c>
    </row>
    <row r="122" spans="1:15" x14ac:dyDescent="0.2">
      <c r="D122" s="322">
        <v>2019</v>
      </c>
      <c r="E122" s="322">
        <v>2020</v>
      </c>
      <c r="F122" s="322">
        <v>2021</v>
      </c>
      <c r="G122" s="322">
        <v>2022</v>
      </c>
      <c r="H122" s="322">
        <v>2023</v>
      </c>
      <c r="I122" s="322">
        <v>2024</v>
      </c>
      <c r="J122" s="322">
        <v>2025</v>
      </c>
      <c r="K122" s="322">
        <v>2026</v>
      </c>
      <c r="L122" s="322">
        <v>2027</v>
      </c>
      <c r="M122" s="322">
        <v>2028</v>
      </c>
      <c r="N122" s="322">
        <v>2029</v>
      </c>
      <c r="O122" s="322">
        <v>2030</v>
      </c>
    </row>
    <row r="123" spans="1:15" x14ac:dyDescent="0.2">
      <c r="A123" s="321" t="s">
        <v>600</v>
      </c>
      <c r="B123" s="619">
        <f>+'ТЭЦ-1'!C161+'ТЭЦ-3'!C159+'ТЭЦ-4'!C165+Кот.!C283+Сети!C128</f>
        <v>234594.94238000002</v>
      </c>
      <c r="C123" s="619">
        <f>+'ТЭЦ-1'!D161+'ТЭЦ-3'!D159+'ТЭЦ-4'!D165+Кот.!D283+Сети!D128</f>
        <v>260555.51813797676</v>
      </c>
      <c r="D123" s="619">
        <f>+'ТЭЦ-1'!E161+'ТЭЦ-3'!E159+'ТЭЦ-4'!E165+Кот.!E283+Сети!E128</f>
        <v>284215.82862002327</v>
      </c>
      <c r="E123" s="619">
        <f>+'ТЭЦ-1'!F161+'ТЭЦ-3'!F159+'ТЭЦ-4'!F165+Кот.!F283+Сети!F128</f>
        <v>390910.37265487714</v>
      </c>
      <c r="F123" s="619">
        <f>+'ТЭЦ-1'!G161+'ТЭЦ-3'!G159+'ТЭЦ-4'!G165+Кот.!G283+Сети!G128</f>
        <v>491159.5893821597</v>
      </c>
      <c r="G123" s="619">
        <f>+'ТЭЦ-1'!H161+'ТЭЦ-3'!H159+'ТЭЦ-4'!H165+Кот.!H283+Сети!H128</f>
        <v>591528.60340065917</v>
      </c>
      <c r="H123" s="619">
        <f>+'ТЭЦ-1'!I161+'ТЭЦ-3'!I159+'ТЭЦ-4'!I165+Кот.!I283+Сети!I128</f>
        <v>695303.21890815848</v>
      </c>
      <c r="I123" s="619">
        <f>+'ТЭЦ-1'!J161+'ТЭЦ-3'!J159+'ТЭЦ-4'!J165+Кот.!J283+Сети!J128</f>
        <v>800198.93706481496</v>
      </c>
      <c r="J123" s="619">
        <f>+'ТЭЦ-1'!K161+'ТЭЦ-3'!K159+'ТЭЦ-4'!K165+Кот.!K283+Сети!K128</f>
        <v>822842.30331773753</v>
      </c>
      <c r="K123" s="619">
        <f>+'ТЭЦ-1'!L161+'ТЭЦ-3'!L159+'ТЭЦ-4'!L165+Кот.!L283+Сети!L128</f>
        <v>850622.05701328407</v>
      </c>
      <c r="L123" s="619">
        <f>+'ТЭЦ-1'!M161+'ТЭЦ-3'!M159+'ТЭЦ-4'!M165+Кот.!M283+Сети!M128</f>
        <v>879230.15688696981</v>
      </c>
      <c r="M123" s="619">
        <f>+'ТЭЦ-1'!N161+'ТЭЦ-3'!N159+'ТЭЦ-4'!N165+Кот.!N283+Сети!N128</f>
        <v>908807.30430785485</v>
      </c>
      <c r="N123" s="619">
        <f>+'ТЭЦ-1'!O161+'ТЭЦ-3'!O159+'ТЭЦ-4'!O165+Кот.!O283+Сети!O128</f>
        <v>939383.13140738255</v>
      </c>
      <c r="O123" s="619">
        <f>+'ТЭЦ-1'!P161+'ТЭЦ-3'!P159+'ТЭЦ-4'!P165+Кот.!P283+Сети!P128</f>
        <v>923495.58691839711</v>
      </c>
    </row>
    <row r="124" spans="1:15" x14ac:dyDescent="0.2">
      <c r="A124" s="321" t="s">
        <v>601</v>
      </c>
      <c r="D124" s="620">
        <f t="shared" ref="D124:O124" si="23">+C123-B123</f>
        <v>25960.575757976738</v>
      </c>
      <c r="E124" s="620">
        <f t="shared" si="23"/>
        <v>23660.310482046509</v>
      </c>
      <c r="F124" s="620">
        <f t="shared" si="23"/>
        <v>106694.54403485387</v>
      </c>
      <c r="G124" s="620">
        <f t="shared" si="23"/>
        <v>100249.21672728256</v>
      </c>
      <c r="H124" s="620">
        <f t="shared" si="23"/>
        <v>100369.01401849947</v>
      </c>
      <c r="I124" s="620">
        <f t="shared" si="23"/>
        <v>103774.61550749931</v>
      </c>
      <c r="J124" s="620">
        <f t="shared" si="23"/>
        <v>104895.71815665648</v>
      </c>
      <c r="K124" s="620">
        <f t="shared" si="23"/>
        <v>22643.366252922569</v>
      </c>
      <c r="L124" s="620">
        <f t="shared" si="23"/>
        <v>27779.753695546533</v>
      </c>
      <c r="M124" s="620">
        <f t="shared" si="23"/>
        <v>28608.099873685744</v>
      </c>
      <c r="N124" s="620">
        <f t="shared" si="23"/>
        <v>29577.147420885041</v>
      </c>
      <c r="O124" s="620">
        <f t="shared" si="23"/>
        <v>30575.827099527698</v>
      </c>
    </row>
    <row r="125" spans="1:15" x14ac:dyDescent="0.2">
      <c r="A125" s="321" t="s">
        <v>602</v>
      </c>
      <c r="D125" s="611">
        <f t="shared" ref="D125:O125" si="24">+D124/C18</f>
        <v>5.6667470754313519E-3</v>
      </c>
      <c r="E125" s="611">
        <f t="shared" si="24"/>
        <v>4.9844118702810462E-3</v>
      </c>
      <c r="F125" s="611">
        <f t="shared" si="24"/>
        <v>2.1539966240239322E-2</v>
      </c>
      <c r="G125" s="611">
        <f t="shared" si="24"/>
        <v>1.9527367325795734E-2</v>
      </c>
      <c r="H125" s="611">
        <f t="shared" si="24"/>
        <v>1.8782380294102983E-2</v>
      </c>
      <c r="I125" s="611">
        <f t="shared" si="24"/>
        <v>1.8758003829505383E-2</v>
      </c>
      <c r="J125" s="611">
        <f t="shared" si="24"/>
        <v>1.8427519303789407E-2</v>
      </c>
      <c r="K125" s="611">
        <f t="shared" si="24"/>
        <v>3.8296554219516771E-3</v>
      </c>
      <c r="L125" s="611">
        <f t="shared" si="24"/>
        <v>4.506760465777397E-3</v>
      </c>
      <c r="M125" s="611">
        <f t="shared" si="24"/>
        <v>4.4827456603321863E-3</v>
      </c>
      <c r="N125" s="611">
        <f t="shared" si="24"/>
        <v>4.4760305777310728E-3</v>
      </c>
      <c r="O125" s="611">
        <f t="shared" si="24"/>
        <v>4.4684645498966466E-3</v>
      </c>
    </row>
    <row r="126" spans="1:15" x14ac:dyDescent="0.2">
      <c r="D126" s="629">
        <f t="shared" ref="D126:J126" si="25">+D125</f>
        <v>5.6667470754313519E-3</v>
      </c>
      <c r="E126" s="629">
        <f t="shared" si="25"/>
        <v>4.9844118702810462E-3</v>
      </c>
      <c r="F126" s="629">
        <f t="shared" si="25"/>
        <v>2.1539966240239322E-2</v>
      </c>
      <c r="G126" s="629">
        <f t="shared" si="25"/>
        <v>1.9527367325795734E-2</v>
      </c>
      <c r="H126" s="629">
        <f t="shared" si="25"/>
        <v>1.8782380294102983E-2</v>
      </c>
      <c r="I126" s="629">
        <f t="shared" si="25"/>
        <v>1.8758003829505383E-2</v>
      </c>
      <c r="J126" s="629">
        <f t="shared" si="25"/>
        <v>1.8427519303789407E-2</v>
      </c>
      <c r="K126" s="630">
        <v>-0.04</v>
      </c>
      <c r="L126" s="630">
        <v>-0.04</v>
      </c>
      <c r="M126" s="630">
        <v>-0.04</v>
      </c>
      <c r="N126" s="629">
        <f>+N125</f>
        <v>4.4760305777310728E-3</v>
      </c>
      <c r="O126" s="629">
        <f>+O125</f>
        <v>4.4684645498966466E-3</v>
      </c>
    </row>
    <row r="129" spans="4:15" x14ac:dyDescent="0.2">
      <c r="D129" s="727">
        <f>+ИНВЕСТ!C302</f>
        <v>0</v>
      </c>
      <c r="E129" s="727">
        <f>+ИНВЕСТ!D302</f>
        <v>4.3916581448732339E-2</v>
      </c>
      <c r="F129" s="727">
        <f>+ИНВЕСТ!E302</f>
        <v>8.8484291518484637E-2</v>
      </c>
      <c r="G129" s="727">
        <f>+ИНВЕСТ!F302</f>
        <v>0.13201206231630364</v>
      </c>
      <c r="H129" s="727">
        <f>+ИНВЕСТ!G302</f>
        <v>0.17685918849185212</v>
      </c>
      <c r="I129" s="727">
        <f>+ИНВЕСТ!H302</f>
        <v>0.19716956589803053</v>
      </c>
      <c r="J129" s="727">
        <f>+ИНВЕСТ!I302</f>
        <v>0.2095772613719572</v>
      </c>
      <c r="K129" s="727">
        <f>+ИНВЕСТ!J302</f>
        <v>0.20022909909460782</v>
      </c>
      <c r="L129" s="727">
        <f>+ИНВЕСТ!K302</f>
        <v>0.19260135187237792</v>
      </c>
      <c r="M129" s="727">
        <f>+ИНВЕСТ!L302</f>
        <v>0.18522514142042046</v>
      </c>
      <c r="N129" s="727">
        <f>+ИНВЕСТ!M302</f>
        <v>0.17916363400260962</v>
      </c>
      <c r="O129" s="727">
        <f>+ИНВЕСТ!N302</f>
        <v>0.1754218359392572</v>
      </c>
    </row>
    <row r="130" spans="4:15" x14ac:dyDescent="0.2">
      <c r="J130" s="611">
        <f>+J63-E129</f>
        <v>0.11710948754622924</v>
      </c>
      <c r="K130" s="611">
        <f t="shared" ref="K130:O130" si="26">+K63-F129</f>
        <v>5.3151787831655972E-2</v>
      </c>
      <c r="L130" s="611">
        <f t="shared" si="26"/>
        <v>-1.6626008458705752E-2</v>
      </c>
      <c r="M130" s="611">
        <f t="shared" si="26"/>
        <v>-8.7308805275638848E-2</v>
      </c>
      <c r="N130" s="611">
        <f t="shared" si="26"/>
        <v>-0.12276824032742485</v>
      </c>
      <c r="O130" s="611">
        <f t="shared" si="26"/>
        <v>-0.13343058549306741</v>
      </c>
    </row>
  </sheetData>
  <mergeCells count="6">
    <mergeCell ref="A63:C63"/>
    <mergeCell ref="D62:H62"/>
    <mergeCell ref="I62:M62"/>
    <mergeCell ref="N62:O62"/>
    <mergeCell ref="A61:C61"/>
    <mergeCell ref="A62:C62"/>
  </mergeCells>
  <printOptions horizontalCentered="1"/>
  <pageMargins left="0.11811023622047245" right="0.11811023622047245" top="0.15748031496062992" bottom="0.15748031496062992" header="0.31496062992125984" footer="0.31496062992125984"/>
  <pageSetup paperSize="9" scale="85" orientation="landscape" verticalDpi="0" r:id="rId1"/>
  <rowBreaks count="1" manualBreakCount="1">
    <brk id="59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Макрос3">
                <anchor moveWithCells="1" sizeWithCells="1">
                  <from>
                    <xdr:col>1</xdr:col>
                    <xdr:colOff>38100</xdr:colOff>
                    <xdr:row>59</xdr:row>
                    <xdr:rowOff>28575</xdr:rowOff>
                  </from>
                  <to>
                    <xdr:col>4</xdr:col>
                    <xdr:colOff>552450</xdr:colOff>
                    <xdr:row>59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5" name="Button 4">
              <controlPr defaultSize="0" print="0" autoFill="0" autoPict="0" macro="[0]!Макрос4">
                <anchor moveWithCells="1" sizeWithCells="1">
                  <from>
                    <xdr:col>5</xdr:col>
                    <xdr:colOff>104775</xdr:colOff>
                    <xdr:row>59</xdr:row>
                    <xdr:rowOff>38100</xdr:rowOff>
                  </from>
                  <to>
                    <xdr:col>8</xdr:col>
                    <xdr:colOff>619125</xdr:colOff>
                    <xdr:row>59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6" name="Button 5">
              <controlPr defaultSize="0" print="0" autoFill="0" autoPict="0" macro="[0]!Макрос5">
                <anchor moveWithCells="1" sizeWithCells="1">
                  <from>
                    <xdr:col>9</xdr:col>
                    <xdr:colOff>161925</xdr:colOff>
                    <xdr:row>59</xdr:row>
                    <xdr:rowOff>38100</xdr:rowOff>
                  </from>
                  <to>
                    <xdr:col>13</xdr:col>
                    <xdr:colOff>28575</xdr:colOff>
                    <xdr:row>59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FF0000"/>
    <pageSetUpPr fitToPage="1"/>
  </sheetPr>
  <dimension ref="A1:AR232"/>
  <sheetViews>
    <sheetView view="pageBreakPreview" zoomScaleNormal="100" zoomScaleSheetLayoutView="100" workbookViewId="0">
      <pane xSplit="2" ySplit="3" topLeftCell="C194" activePane="bottomRight" state="frozen"/>
      <selection pane="topRight" activeCell="C1" sqref="C1"/>
      <selection pane="bottomLeft" activeCell="A4" sqref="A4"/>
      <selection pane="bottomRight" activeCell="C206" sqref="C206:P208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9" customWidth="1"/>
    <col min="7" max="7" width="10.7109375" style="52" customWidth="1"/>
    <col min="8" max="8" width="10.7109375" style="57" customWidth="1"/>
    <col min="9" max="13" width="10.7109375" style="9" customWidth="1"/>
    <col min="14" max="16" width="10.7109375" style="11" customWidth="1"/>
    <col min="17" max="17" width="2.140625" style="11" customWidth="1"/>
    <col min="18" max="18" width="9.140625" style="9"/>
    <col min="19" max="19" width="14" style="9" bestFit="1" customWidth="1"/>
    <col min="20" max="16384" width="9.140625" style="9"/>
  </cols>
  <sheetData>
    <row r="1" spans="1:44" s="232" customFormat="1" collapsed="1" x14ac:dyDescent="0.2">
      <c r="A1" s="7"/>
      <c r="B1" s="232" t="s">
        <v>455</v>
      </c>
      <c r="N1" s="13"/>
      <c r="O1" s="13"/>
      <c r="P1" s="13"/>
      <c r="Q1" s="11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2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70">
        <f>COLUMN()</f>
        <v>7</v>
      </c>
      <c r="H4" s="61">
        <f>COLUMN()</f>
        <v>8</v>
      </c>
      <c r="I4" s="421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11</v>
      </c>
      <c r="D5" s="76">
        <f t="shared" si="0"/>
        <v>11</v>
      </c>
      <c r="E5" s="76">
        <f t="shared" si="0"/>
        <v>11</v>
      </c>
      <c r="F5" s="76">
        <f t="shared" si="0"/>
        <v>11</v>
      </c>
      <c r="G5" s="371">
        <f t="shared" si="0"/>
        <v>11</v>
      </c>
      <c r="H5" s="76">
        <f t="shared" si="0"/>
        <v>11</v>
      </c>
      <c r="I5" s="422">
        <f t="shared" si="0"/>
        <v>11</v>
      </c>
      <c r="J5" s="76">
        <f t="shared" si="0"/>
        <v>11</v>
      </c>
      <c r="K5" s="76">
        <f t="shared" si="0"/>
        <v>11</v>
      </c>
      <c r="L5" s="76">
        <f t="shared" si="0"/>
        <v>11</v>
      </c>
      <c r="M5" s="76">
        <f t="shared" si="0"/>
        <v>11</v>
      </c>
      <c r="N5" s="76">
        <f t="shared" si="0"/>
        <v>11</v>
      </c>
      <c r="O5" s="76">
        <f t="shared" si="0"/>
        <v>11</v>
      </c>
      <c r="P5" s="76">
        <f t="shared" si="0"/>
        <v>11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151</v>
      </c>
      <c r="C6" s="89">
        <v>11</v>
      </c>
      <c r="D6" s="90">
        <f>+C6</f>
        <v>11</v>
      </c>
      <c r="E6" s="90">
        <f t="shared" ref="E6:G6" si="1">+D6</f>
        <v>11</v>
      </c>
      <c r="F6" s="90">
        <f t="shared" si="1"/>
        <v>11</v>
      </c>
      <c r="G6" s="372">
        <f t="shared" si="1"/>
        <v>11</v>
      </c>
      <c r="H6" s="90">
        <f t="shared" ref="H6" si="2">+G6</f>
        <v>11</v>
      </c>
      <c r="I6" s="443">
        <f t="shared" ref="I6" si="3">+H6</f>
        <v>11</v>
      </c>
      <c r="J6" s="372">
        <f t="shared" ref="J6" si="4">+I6</f>
        <v>11</v>
      </c>
      <c r="K6" s="372">
        <f t="shared" ref="K6" si="5">+J6</f>
        <v>11</v>
      </c>
      <c r="L6" s="372">
        <f t="shared" ref="L6" si="6">+K6</f>
        <v>11</v>
      </c>
      <c r="M6" s="372">
        <f t="shared" ref="M6" si="7">+L6</f>
        <v>11</v>
      </c>
      <c r="N6" s="372">
        <f t="shared" ref="N6" si="8">+M6</f>
        <v>11</v>
      </c>
      <c r="O6" s="372">
        <f t="shared" ref="O6" si="9">+N6</f>
        <v>11</v>
      </c>
      <c r="P6" s="372">
        <f t="shared" ref="P6" si="10">+O6</f>
        <v>11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3"/>
      <c r="H7" s="373"/>
      <c r="I7" s="373"/>
      <c r="J7" s="373"/>
      <c r="K7" s="373"/>
      <c r="L7" s="373"/>
      <c r="M7" s="373"/>
      <c r="N7" s="373"/>
      <c r="O7" s="373"/>
      <c r="P7" s="373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11">SUM(C9:C10)</f>
        <v>5.2005115079365085</v>
      </c>
      <c r="D8" s="92">
        <f t="shared" si="11"/>
        <v>5.4504761904761905</v>
      </c>
      <c r="E8" s="92">
        <f t="shared" si="11"/>
        <v>5.4504761904761905</v>
      </c>
      <c r="F8" s="92">
        <f t="shared" si="11"/>
        <v>5.4504761904761905</v>
      </c>
      <c r="G8" s="374">
        <f t="shared" si="11"/>
        <v>5.4504761904761905</v>
      </c>
      <c r="H8" s="444">
        <f t="shared" si="11"/>
        <v>5.4504761904761905</v>
      </c>
      <c r="I8" s="92">
        <f t="shared" si="11"/>
        <v>5.4504761904761905</v>
      </c>
      <c r="J8" s="92">
        <f t="shared" si="11"/>
        <v>5.4504761904761905</v>
      </c>
      <c r="K8" s="92">
        <f t="shared" si="11"/>
        <v>5.4504761904761905</v>
      </c>
      <c r="L8" s="92">
        <f t="shared" si="11"/>
        <v>5.4504761904761905</v>
      </c>
      <c r="M8" s="92">
        <f t="shared" si="11"/>
        <v>5.4504761904761905</v>
      </c>
      <c r="N8" s="92">
        <f t="shared" si="11"/>
        <v>5.4504761904761905</v>
      </c>
      <c r="O8" s="92">
        <f t="shared" si="11"/>
        <v>5.4504761904761905</v>
      </c>
      <c r="P8" s="92">
        <f t="shared" si="11"/>
        <v>5.4504761904761905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65" t="s">
        <v>151</v>
      </c>
      <c r="C9" s="95">
        <f>+C16/$R9*1000</f>
        <v>5.2005115079365085</v>
      </c>
      <c r="D9" s="95">
        <f t="shared" ref="D9:P9" si="12">+D16/$R9*1000</f>
        <v>5.4504761904761905</v>
      </c>
      <c r="E9" s="95">
        <f t="shared" si="12"/>
        <v>5.4504761904761905</v>
      </c>
      <c r="F9" s="95">
        <f t="shared" si="12"/>
        <v>5.4504761904761905</v>
      </c>
      <c r="G9" s="95">
        <f t="shared" si="12"/>
        <v>5.4504761904761905</v>
      </c>
      <c r="H9" s="95">
        <f t="shared" si="12"/>
        <v>5.4504761904761905</v>
      </c>
      <c r="I9" s="95">
        <f t="shared" si="12"/>
        <v>5.4504761904761905</v>
      </c>
      <c r="J9" s="95">
        <f t="shared" si="12"/>
        <v>5.4504761904761905</v>
      </c>
      <c r="K9" s="95">
        <f t="shared" si="12"/>
        <v>5.4504761904761905</v>
      </c>
      <c r="L9" s="95">
        <f t="shared" si="12"/>
        <v>5.4504761904761905</v>
      </c>
      <c r="M9" s="95">
        <f t="shared" si="12"/>
        <v>5.4504761904761905</v>
      </c>
      <c r="N9" s="95">
        <f t="shared" si="12"/>
        <v>5.4504761904761905</v>
      </c>
      <c r="O9" s="95">
        <f t="shared" si="12"/>
        <v>5.4504761904761905</v>
      </c>
      <c r="P9" s="95">
        <f t="shared" si="12"/>
        <v>5.4504761904761905</v>
      </c>
      <c r="Q9" s="11"/>
      <c r="R9" s="23">
        <f>7*30*24</f>
        <v>5040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0.47277377344877353</v>
      </c>
      <c r="D11" s="70">
        <f t="shared" ref="D11:P11" si="13">+D8/D5</f>
        <v>0.49549783549783549</v>
      </c>
      <c r="E11" s="70">
        <f t="shared" si="13"/>
        <v>0.49549783549783549</v>
      </c>
      <c r="F11" s="70">
        <f t="shared" si="13"/>
        <v>0.49549783549783549</v>
      </c>
      <c r="G11" s="375">
        <f t="shared" si="13"/>
        <v>0.49549783549783549</v>
      </c>
      <c r="H11" s="174">
        <f t="shared" si="13"/>
        <v>0.49549783549783549</v>
      </c>
      <c r="I11" s="70">
        <f t="shared" si="13"/>
        <v>0.49549783549783549</v>
      </c>
      <c r="J11" s="70">
        <f t="shared" si="13"/>
        <v>0.49549783549783549</v>
      </c>
      <c r="K11" s="70">
        <f t="shared" si="13"/>
        <v>0.49549783549783549</v>
      </c>
      <c r="L11" s="70">
        <f t="shared" si="13"/>
        <v>0.49549783549783549</v>
      </c>
      <c r="M11" s="70">
        <f t="shared" si="13"/>
        <v>0.49549783549783549</v>
      </c>
      <c r="N11" s="70">
        <f t="shared" si="13"/>
        <v>0.49549783549783549</v>
      </c>
      <c r="O11" s="70">
        <f t="shared" si="13"/>
        <v>0.49549783549783549</v>
      </c>
      <c r="P11" s="70">
        <f t="shared" si="13"/>
        <v>0.49549783549783549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5.7994884920634915</v>
      </c>
      <c r="D12" s="92">
        <f t="shared" ref="D12:P12" si="14">SUM(D13:D14)</f>
        <v>5.5495238095238095</v>
      </c>
      <c r="E12" s="92">
        <f t="shared" si="14"/>
        <v>5.5495238095238095</v>
      </c>
      <c r="F12" s="92">
        <f t="shared" si="14"/>
        <v>5.5495238095238095</v>
      </c>
      <c r="G12" s="374">
        <f t="shared" si="14"/>
        <v>5.5495238095238095</v>
      </c>
      <c r="H12" s="444">
        <f t="shared" si="14"/>
        <v>5.5495238095238095</v>
      </c>
      <c r="I12" s="92">
        <f t="shared" si="14"/>
        <v>5.5495238095238095</v>
      </c>
      <c r="J12" s="92">
        <f t="shared" si="14"/>
        <v>5.5495238095238095</v>
      </c>
      <c r="K12" s="92">
        <f t="shared" si="14"/>
        <v>5.5495238095238095</v>
      </c>
      <c r="L12" s="92">
        <f t="shared" si="14"/>
        <v>5.5495238095238095</v>
      </c>
      <c r="M12" s="92">
        <f t="shared" si="14"/>
        <v>5.5495238095238095</v>
      </c>
      <c r="N12" s="92">
        <f t="shared" si="14"/>
        <v>5.5495238095238095</v>
      </c>
      <c r="O12" s="92">
        <f t="shared" si="14"/>
        <v>5.5495238095238095</v>
      </c>
      <c r="P12" s="92">
        <f t="shared" si="14"/>
        <v>5.5495238095238095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65" t="s">
        <v>151</v>
      </c>
      <c r="C13" s="95">
        <f>+C6-C9</f>
        <v>5.7994884920634915</v>
      </c>
      <c r="D13" s="95">
        <f t="shared" ref="D13:P13" si="15">+D6-D9</f>
        <v>5.5495238095238095</v>
      </c>
      <c r="E13" s="95">
        <f t="shared" si="15"/>
        <v>5.5495238095238095</v>
      </c>
      <c r="F13" s="95">
        <f t="shared" si="15"/>
        <v>5.5495238095238095</v>
      </c>
      <c r="G13" s="376">
        <f t="shared" si="15"/>
        <v>5.5495238095238095</v>
      </c>
      <c r="H13" s="175">
        <f t="shared" si="15"/>
        <v>5.5495238095238095</v>
      </c>
      <c r="I13" s="95">
        <f t="shared" si="15"/>
        <v>5.5495238095238095</v>
      </c>
      <c r="J13" s="95">
        <f t="shared" si="15"/>
        <v>5.5495238095238095</v>
      </c>
      <c r="K13" s="95">
        <f t="shared" si="15"/>
        <v>5.5495238095238095</v>
      </c>
      <c r="L13" s="95">
        <f t="shared" si="15"/>
        <v>5.5495238095238095</v>
      </c>
      <c r="M13" s="95">
        <f t="shared" si="15"/>
        <v>5.5495238095238095</v>
      </c>
      <c r="N13" s="95">
        <f t="shared" si="15"/>
        <v>5.5495238095238095</v>
      </c>
      <c r="O13" s="95">
        <f t="shared" si="15"/>
        <v>5.5495238095238095</v>
      </c>
      <c r="P13" s="95">
        <f t="shared" si="15"/>
        <v>5.5495238095238095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ref="D14:P14" si="16">+D7-D10</f>
        <v>0</v>
      </c>
      <c r="E14" s="95">
        <f t="shared" si="16"/>
        <v>0</v>
      </c>
      <c r="F14" s="95">
        <f t="shared" si="16"/>
        <v>0</v>
      </c>
      <c r="G14" s="376">
        <f t="shared" si="16"/>
        <v>0</v>
      </c>
      <c r="H14" s="175">
        <f t="shared" si="16"/>
        <v>0</v>
      </c>
      <c r="I14" s="95">
        <f t="shared" si="16"/>
        <v>0</v>
      </c>
      <c r="J14" s="95">
        <f t="shared" si="16"/>
        <v>0</v>
      </c>
      <c r="K14" s="95">
        <f t="shared" si="16"/>
        <v>0</v>
      </c>
      <c r="L14" s="95">
        <f t="shared" si="16"/>
        <v>0</v>
      </c>
      <c r="M14" s="95">
        <f t="shared" si="16"/>
        <v>0</v>
      </c>
      <c r="N14" s="95">
        <f t="shared" si="16"/>
        <v>0</v>
      </c>
      <c r="O14" s="95">
        <f t="shared" si="16"/>
        <v>0</v>
      </c>
      <c r="P14" s="95">
        <f t="shared" si="16"/>
        <v>0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26.210578000000002</v>
      </c>
      <c r="D15" s="76">
        <f t="shared" ref="D15:P15" si="17">+D16</f>
        <v>27.470399999999998</v>
      </c>
      <c r="E15" s="76">
        <f t="shared" si="17"/>
        <v>27.470399999999998</v>
      </c>
      <c r="F15" s="76">
        <f t="shared" si="17"/>
        <v>27.470399999999998</v>
      </c>
      <c r="G15" s="371">
        <f t="shared" si="17"/>
        <v>27.470399999999998</v>
      </c>
      <c r="H15" s="76">
        <f t="shared" si="17"/>
        <v>27.470399999999998</v>
      </c>
      <c r="I15" s="422">
        <f t="shared" si="17"/>
        <v>27.470399999999998</v>
      </c>
      <c r="J15" s="76">
        <f t="shared" si="17"/>
        <v>27.470399999999998</v>
      </c>
      <c r="K15" s="76">
        <f t="shared" si="17"/>
        <v>27.470399999999998</v>
      </c>
      <c r="L15" s="76">
        <f t="shared" si="17"/>
        <v>27.470399999999998</v>
      </c>
      <c r="M15" s="76">
        <f t="shared" si="17"/>
        <v>27.470399999999998</v>
      </c>
      <c r="N15" s="76">
        <f t="shared" si="17"/>
        <v>27.470399999999998</v>
      </c>
      <c r="O15" s="76">
        <f t="shared" si="17"/>
        <v>27.470399999999998</v>
      </c>
      <c r="P15" s="76">
        <f t="shared" si="17"/>
        <v>27.470399999999998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+'[4]4.4.Р_т'!$E$5</f>
        <v>26.210578000000002</v>
      </c>
      <c r="D16" s="93">
        <f>+'[4]4.4.Р_т'!$O$5</f>
        <v>27.470399999999998</v>
      </c>
      <c r="E16" s="90">
        <f t="shared" ref="D16:G22" si="18">+D16</f>
        <v>27.470399999999998</v>
      </c>
      <c r="F16" s="90">
        <f t="shared" ref="F16" si="19">+E16</f>
        <v>27.470399999999998</v>
      </c>
      <c r="G16" s="90">
        <f t="shared" ref="G16" si="20">+F16</f>
        <v>27.470399999999998</v>
      </c>
      <c r="H16" s="90">
        <f t="shared" ref="H16" si="21">+G16</f>
        <v>27.470399999999998</v>
      </c>
      <c r="I16" s="90">
        <f t="shared" ref="I16" si="22">+H16</f>
        <v>27.470399999999998</v>
      </c>
      <c r="J16" s="90">
        <f t="shared" ref="J16" si="23">+I16</f>
        <v>27.470399999999998</v>
      </c>
      <c r="K16" s="90">
        <f t="shared" ref="K16" si="24">+J16</f>
        <v>27.470399999999998</v>
      </c>
      <c r="L16" s="90">
        <f t="shared" ref="L16" si="25">+K16</f>
        <v>27.470399999999998</v>
      </c>
      <c r="M16" s="90">
        <f t="shared" ref="M16" si="26">+L16</f>
        <v>27.470399999999998</v>
      </c>
      <c r="N16" s="90">
        <f t="shared" ref="N16" si="27">+M16</f>
        <v>27.470399999999998</v>
      </c>
      <c r="O16" s="90">
        <f t="shared" ref="O16" si="28">+N16</f>
        <v>27.470399999999998</v>
      </c>
      <c r="P16" s="90">
        <f t="shared" ref="P16" si="29">+O16</f>
        <v>27.470399999999998</v>
      </c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SUM(C18:C20)</f>
        <v>6.3922210000000002</v>
      </c>
      <c r="D17" s="95">
        <f t="shared" ref="D17:P17" si="30">SUM(D18:D20)</f>
        <v>7.191336999999999</v>
      </c>
      <c r="E17" s="95">
        <f t="shared" si="30"/>
        <v>7.191336999999999</v>
      </c>
      <c r="F17" s="95">
        <f t="shared" si="30"/>
        <v>7.191336999999999</v>
      </c>
      <c r="G17" s="376">
        <f t="shared" si="30"/>
        <v>7.191336999999999</v>
      </c>
      <c r="H17" s="175">
        <f t="shared" si="30"/>
        <v>7.191336999999999</v>
      </c>
      <c r="I17" s="95">
        <f t="shared" si="30"/>
        <v>5.264136999999999</v>
      </c>
      <c r="J17" s="95">
        <f t="shared" si="30"/>
        <v>5.264136999999999</v>
      </c>
      <c r="K17" s="95">
        <f t="shared" si="30"/>
        <v>5.264136999999999</v>
      </c>
      <c r="L17" s="95">
        <f t="shared" si="30"/>
        <v>5.264136999999999</v>
      </c>
      <c r="M17" s="95">
        <f t="shared" si="30"/>
        <v>5.264136999999999</v>
      </c>
      <c r="N17" s="95">
        <f t="shared" si="30"/>
        <v>5.264136999999999</v>
      </c>
      <c r="O17" s="95">
        <f t="shared" si="30"/>
        <v>5.264136999999999</v>
      </c>
      <c r="P17" s="95">
        <f t="shared" si="30"/>
        <v>5.264136999999999</v>
      </c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6" customFormat="1" x14ac:dyDescent="0.2">
      <c r="A18" s="244"/>
      <c r="B18" s="248" t="s">
        <v>403</v>
      </c>
      <c r="C18" s="93">
        <f>+'[4]4.4.Р_т'!$E$6</f>
        <v>6.3922210000000002</v>
      </c>
      <c r="D18" s="93">
        <f>+'[4]4.4.Р_т'!$O$6</f>
        <v>7.191336999999999</v>
      </c>
      <c r="E18" s="90">
        <f t="shared" si="18"/>
        <v>7.191336999999999</v>
      </c>
      <c r="F18" s="90">
        <f t="shared" ref="F18" si="31">+E18</f>
        <v>7.191336999999999</v>
      </c>
      <c r="G18" s="90">
        <f t="shared" ref="G18" si="32">+F18</f>
        <v>7.191336999999999</v>
      </c>
      <c r="H18" s="90">
        <f t="shared" ref="H18" si="33">+G18</f>
        <v>7.191336999999999</v>
      </c>
      <c r="I18" s="90">
        <f t="shared" ref="I18" si="34">+H18</f>
        <v>7.191336999999999</v>
      </c>
      <c r="J18" s="90">
        <f t="shared" ref="J18" si="35">+I18</f>
        <v>7.191336999999999</v>
      </c>
      <c r="K18" s="90">
        <f t="shared" ref="K18:K19" si="36">+J18</f>
        <v>7.191336999999999</v>
      </c>
      <c r="L18" s="90">
        <f t="shared" ref="L18:L19" si="37">+K18</f>
        <v>7.191336999999999</v>
      </c>
      <c r="M18" s="90">
        <f t="shared" ref="M18:M19" si="38">+L18</f>
        <v>7.191336999999999</v>
      </c>
      <c r="N18" s="90">
        <f t="shared" ref="N18" si="39">+M18</f>
        <v>7.191336999999999</v>
      </c>
      <c r="O18" s="90">
        <f t="shared" ref="O18:O19" si="40">+N18</f>
        <v>7.191336999999999</v>
      </c>
      <c r="P18" s="90">
        <f t="shared" ref="L18:P22" si="41">+O18</f>
        <v>7.191336999999999</v>
      </c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6" customFormat="1" ht="45" x14ac:dyDescent="0.2">
      <c r="A19" s="244"/>
      <c r="B19" s="248" t="s">
        <v>516</v>
      </c>
      <c r="C19" s="337"/>
      <c r="D19" s="337"/>
      <c r="E19" s="337"/>
      <c r="F19" s="338"/>
      <c r="G19" s="338"/>
      <c r="H19" s="338"/>
      <c r="I19" s="93">
        <f>-(275-55)*8.76/1000</f>
        <v>-1.9272</v>
      </c>
      <c r="J19" s="90">
        <f>+I19</f>
        <v>-1.9272</v>
      </c>
      <c r="K19" s="90">
        <f t="shared" si="36"/>
        <v>-1.9272</v>
      </c>
      <c r="L19" s="90">
        <f t="shared" si="37"/>
        <v>-1.9272</v>
      </c>
      <c r="M19" s="90">
        <f t="shared" si="38"/>
        <v>-1.9272</v>
      </c>
      <c r="N19" s="90">
        <f>+M19</f>
        <v>-1.9272</v>
      </c>
      <c r="O19" s="90">
        <f t="shared" si="40"/>
        <v>-1.9272</v>
      </c>
      <c r="P19" s="90">
        <f t="shared" si="41"/>
        <v>-1.9272</v>
      </c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336" customFormat="1" x14ac:dyDescent="0.2">
      <c r="A20" s="244"/>
      <c r="B20" s="248"/>
      <c r="C20" s="337"/>
      <c r="D20" s="337"/>
      <c r="E20" s="337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247"/>
      <c r="R20" s="247"/>
      <c r="S20" s="247"/>
      <c r="T20" s="247"/>
      <c r="U20" s="247"/>
      <c r="V20" s="247"/>
      <c r="W20" s="247"/>
      <c r="X20" s="247"/>
      <c r="Y20" s="247"/>
      <c r="Z20" s="247"/>
      <c r="AA20" s="247"/>
      <c r="AB20" s="247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</row>
    <row r="21" spans="1:44" s="23" customFormat="1" ht="22.5" x14ac:dyDescent="0.2">
      <c r="A21" s="2" t="s">
        <v>1</v>
      </c>
      <c r="B21" s="5" t="s">
        <v>169</v>
      </c>
      <c r="C21" s="93">
        <f>+'[4]4.4.Р_т'!$E$12+'[4]4.4.Р_т'!$E$14</f>
        <v>6.182283</v>
      </c>
      <c r="D21" s="90">
        <f t="shared" si="18"/>
        <v>6.182283</v>
      </c>
      <c r="E21" s="90">
        <f t="shared" si="18"/>
        <v>6.182283</v>
      </c>
      <c r="F21" s="90">
        <f t="shared" si="18"/>
        <v>6.182283</v>
      </c>
      <c r="G21" s="372">
        <f t="shared" si="18"/>
        <v>6.182283</v>
      </c>
      <c r="H21" s="372">
        <f t="shared" ref="H21:H22" si="42">+G21</f>
        <v>6.182283</v>
      </c>
      <c r="I21" s="372">
        <f t="shared" ref="I21:I22" si="43">+H21</f>
        <v>6.182283</v>
      </c>
      <c r="J21" s="372">
        <f t="shared" ref="J21:J22" si="44">+I21</f>
        <v>6.182283</v>
      </c>
      <c r="K21" s="372">
        <f t="shared" ref="K21:K22" si="45">+J21</f>
        <v>6.182283</v>
      </c>
      <c r="L21" s="90">
        <f t="shared" si="41"/>
        <v>6.182283</v>
      </c>
      <c r="M21" s="90">
        <f t="shared" si="41"/>
        <v>6.182283</v>
      </c>
      <c r="N21" s="90">
        <f t="shared" si="41"/>
        <v>6.182283</v>
      </c>
      <c r="O21" s="90">
        <f t="shared" si="41"/>
        <v>6.182283</v>
      </c>
      <c r="P21" s="90">
        <f t="shared" si="41"/>
        <v>6.182283</v>
      </c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</row>
    <row r="22" spans="1:44" s="69" customFormat="1" x14ac:dyDescent="0.2">
      <c r="A22" s="33" t="s">
        <v>2</v>
      </c>
      <c r="B22" s="40" t="s">
        <v>153</v>
      </c>
      <c r="C22" s="104">
        <f>+('[5]год '!$K$44+'[5]год '!$K$45)/1000</f>
        <v>3.6941660000000001</v>
      </c>
      <c r="D22" s="105">
        <f t="shared" si="18"/>
        <v>3.6941660000000001</v>
      </c>
      <c r="E22" s="105">
        <f t="shared" si="18"/>
        <v>3.6941660000000001</v>
      </c>
      <c r="F22" s="105">
        <f t="shared" si="18"/>
        <v>3.6941660000000001</v>
      </c>
      <c r="G22" s="377">
        <f t="shared" si="18"/>
        <v>3.6941660000000001</v>
      </c>
      <c r="H22" s="377">
        <f t="shared" si="42"/>
        <v>3.6941660000000001</v>
      </c>
      <c r="I22" s="377">
        <f t="shared" si="43"/>
        <v>3.6941660000000001</v>
      </c>
      <c r="J22" s="377">
        <f t="shared" si="44"/>
        <v>3.6941660000000001</v>
      </c>
      <c r="K22" s="377">
        <f t="shared" si="45"/>
        <v>3.6941660000000001</v>
      </c>
      <c r="L22" s="105">
        <f t="shared" si="41"/>
        <v>3.6941660000000001</v>
      </c>
      <c r="M22" s="105">
        <f t="shared" si="41"/>
        <v>3.6941660000000001</v>
      </c>
      <c r="N22" s="105">
        <f t="shared" si="41"/>
        <v>3.6941660000000001</v>
      </c>
      <c r="O22" s="105">
        <f t="shared" si="41"/>
        <v>3.6941660000000001</v>
      </c>
      <c r="P22" s="105">
        <f t="shared" si="41"/>
        <v>3.6941660000000001</v>
      </c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</row>
    <row r="23" spans="1:44" s="69" customFormat="1" x14ac:dyDescent="0.2">
      <c r="A23" s="33" t="s">
        <v>3</v>
      </c>
      <c r="B23" s="100" t="s">
        <v>174</v>
      </c>
      <c r="C23" s="98">
        <f>+(C17+C21)/C15</f>
        <v>0.47974920659895404</v>
      </c>
      <c r="D23" s="98">
        <f t="shared" ref="D23:P23" si="46">+(D17+D21)/D15</f>
        <v>0.48683746869357564</v>
      </c>
      <c r="E23" s="98">
        <f t="shared" si="46"/>
        <v>0.48683746869357564</v>
      </c>
      <c r="F23" s="98">
        <f t="shared" si="46"/>
        <v>0.48683746869357564</v>
      </c>
      <c r="G23" s="378">
        <f t="shared" si="46"/>
        <v>0.48683746869357564</v>
      </c>
      <c r="H23" s="98">
        <f t="shared" si="46"/>
        <v>0.48683746869357564</v>
      </c>
      <c r="I23" s="424">
        <f t="shared" si="46"/>
        <v>0.41668195585066109</v>
      </c>
      <c r="J23" s="98">
        <f t="shared" si="46"/>
        <v>0.41668195585066109</v>
      </c>
      <c r="K23" s="98">
        <f t="shared" si="46"/>
        <v>0.41668195585066109</v>
      </c>
      <c r="L23" s="98">
        <f t="shared" si="46"/>
        <v>0.41668195585066109</v>
      </c>
      <c r="M23" s="98">
        <f t="shared" si="46"/>
        <v>0.41668195585066109</v>
      </c>
      <c r="N23" s="98">
        <f t="shared" si="46"/>
        <v>0.41668195585066109</v>
      </c>
      <c r="O23" s="98">
        <f t="shared" si="46"/>
        <v>0.41668195585066109</v>
      </c>
      <c r="P23" s="98">
        <f t="shared" si="46"/>
        <v>0.41668195585066109</v>
      </c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</row>
    <row r="24" spans="1:44" s="99" customFormat="1" x14ac:dyDescent="0.2">
      <c r="A24" s="66">
        <v>5</v>
      </c>
      <c r="B24" s="101" t="s">
        <v>170</v>
      </c>
      <c r="C24" s="103">
        <f>+C15-C17-C21</f>
        <v>13.636074000000002</v>
      </c>
      <c r="D24" s="103">
        <f t="shared" ref="D24:P24" si="47">+D15-D17-D21</f>
        <v>14.096780000000001</v>
      </c>
      <c r="E24" s="103">
        <f t="shared" si="47"/>
        <v>14.096780000000001</v>
      </c>
      <c r="F24" s="103">
        <f t="shared" si="47"/>
        <v>14.096780000000001</v>
      </c>
      <c r="G24" s="379">
        <f t="shared" si="47"/>
        <v>14.096780000000001</v>
      </c>
      <c r="H24" s="103">
        <f t="shared" si="47"/>
        <v>14.096780000000001</v>
      </c>
      <c r="I24" s="78">
        <f t="shared" si="47"/>
        <v>16.023980000000002</v>
      </c>
      <c r="J24" s="103">
        <f t="shared" si="47"/>
        <v>16.023980000000002</v>
      </c>
      <c r="K24" s="103">
        <f t="shared" si="47"/>
        <v>16.023980000000002</v>
      </c>
      <c r="L24" s="103">
        <f t="shared" si="47"/>
        <v>16.023980000000002</v>
      </c>
      <c r="M24" s="103">
        <f t="shared" si="47"/>
        <v>16.023980000000002</v>
      </c>
      <c r="N24" s="103">
        <f t="shared" si="47"/>
        <v>16.023980000000002</v>
      </c>
      <c r="O24" s="103">
        <f t="shared" si="47"/>
        <v>16.023980000000002</v>
      </c>
      <c r="P24" s="103">
        <f t="shared" si="47"/>
        <v>16.023980000000002</v>
      </c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</row>
    <row r="25" spans="1:44" s="74" customFormat="1" x14ac:dyDescent="0.2">
      <c r="A25" s="71">
        <v>6</v>
      </c>
      <c r="B25" s="101" t="s">
        <v>465</v>
      </c>
      <c r="C25" s="103">
        <f>+C28+C31+C34+C35</f>
        <v>201</v>
      </c>
      <c r="D25" s="103">
        <f t="shared" ref="D25:P25" si="48">+D28+D31+D34+D35</f>
        <v>201</v>
      </c>
      <c r="E25" s="103">
        <f t="shared" si="48"/>
        <v>201</v>
      </c>
      <c r="F25" s="103">
        <f t="shared" si="48"/>
        <v>201</v>
      </c>
      <c r="G25" s="379">
        <f t="shared" si="48"/>
        <v>201</v>
      </c>
      <c r="H25" s="103">
        <f t="shared" si="48"/>
        <v>209</v>
      </c>
      <c r="I25" s="78">
        <f t="shared" si="48"/>
        <v>209</v>
      </c>
      <c r="J25" s="103">
        <f t="shared" si="48"/>
        <v>215</v>
      </c>
      <c r="K25" s="103">
        <f t="shared" si="48"/>
        <v>215</v>
      </c>
      <c r="L25" s="103">
        <f t="shared" si="48"/>
        <v>215</v>
      </c>
      <c r="M25" s="103">
        <f t="shared" si="48"/>
        <v>215</v>
      </c>
      <c r="N25" s="103">
        <f t="shared" si="48"/>
        <v>215</v>
      </c>
      <c r="O25" s="103">
        <f t="shared" si="48"/>
        <v>215</v>
      </c>
      <c r="P25" s="103">
        <f t="shared" si="48"/>
        <v>215</v>
      </c>
    </row>
    <row r="26" spans="1:44" s="32" customFormat="1" x14ac:dyDescent="0.2">
      <c r="A26" s="33"/>
      <c r="B26" s="205" t="s">
        <v>214</v>
      </c>
      <c r="C26" s="207">
        <f>+C25-C27</f>
        <v>164</v>
      </c>
      <c r="D26" s="207">
        <f t="shared" ref="D26:P26" si="49">+D25-D27</f>
        <v>164</v>
      </c>
      <c r="E26" s="207">
        <f t="shared" si="49"/>
        <v>164</v>
      </c>
      <c r="F26" s="207">
        <f t="shared" si="49"/>
        <v>164</v>
      </c>
      <c r="G26" s="380">
        <f t="shared" si="49"/>
        <v>164</v>
      </c>
      <c r="H26" s="207">
        <f t="shared" si="49"/>
        <v>172</v>
      </c>
      <c r="I26" s="425">
        <f t="shared" si="49"/>
        <v>172</v>
      </c>
      <c r="J26" s="207">
        <f t="shared" si="49"/>
        <v>178</v>
      </c>
      <c r="K26" s="207">
        <f t="shared" si="49"/>
        <v>178</v>
      </c>
      <c r="L26" s="207">
        <f t="shared" si="49"/>
        <v>178</v>
      </c>
      <c r="M26" s="207">
        <f t="shared" si="49"/>
        <v>178</v>
      </c>
      <c r="N26" s="207">
        <f t="shared" si="49"/>
        <v>178</v>
      </c>
      <c r="O26" s="207">
        <f t="shared" si="49"/>
        <v>178</v>
      </c>
      <c r="P26" s="207">
        <f t="shared" si="49"/>
        <v>178</v>
      </c>
    </row>
    <row r="27" spans="1:44" s="32" customFormat="1" x14ac:dyDescent="0.2">
      <c r="A27" s="33"/>
      <c r="B27" s="205" t="s">
        <v>215</v>
      </c>
      <c r="C27" s="207">
        <f>+C30</f>
        <v>37</v>
      </c>
      <c r="D27" s="207">
        <f t="shared" ref="D27:G27" si="50">+D30</f>
        <v>37</v>
      </c>
      <c r="E27" s="207">
        <f t="shared" si="50"/>
        <v>37</v>
      </c>
      <c r="F27" s="207">
        <f t="shared" si="50"/>
        <v>37</v>
      </c>
      <c r="G27" s="380">
        <f t="shared" si="50"/>
        <v>37</v>
      </c>
      <c r="H27" s="380">
        <f t="shared" ref="H27:P27" si="51">+H30</f>
        <v>37</v>
      </c>
      <c r="I27" s="380">
        <f t="shared" si="51"/>
        <v>37</v>
      </c>
      <c r="J27" s="380">
        <f t="shared" si="51"/>
        <v>37</v>
      </c>
      <c r="K27" s="380">
        <f t="shared" si="51"/>
        <v>37</v>
      </c>
      <c r="L27" s="380">
        <f t="shared" si="51"/>
        <v>37</v>
      </c>
      <c r="M27" s="380">
        <f t="shared" si="51"/>
        <v>37</v>
      </c>
      <c r="N27" s="380">
        <f t="shared" si="51"/>
        <v>37</v>
      </c>
      <c r="O27" s="380">
        <f t="shared" si="51"/>
        <v>37</v>
      </c>
      <c r="P27" s="380">
        <f t="shared" si="51"/>
        <v>37</v>
      </c>
    </row>
    <row r="28" spans="1:44" s="11" customFormat="1" x14ac:dyDescent="0.2">
      <c r="A28" s="2" t="s">
        <v>171</v>
      </c>
      <c r="B28" s="83" t="s">
        <v>213</v>
      </c>
      <c r="C28" s="106">
        <f>+'[6]ТЭЦ-1'!$G$85</f>
        <v>73</v>
      </c>
      <c r="D28" s="90">
        <f>+C28</f>
        <v>73</v>
      </c>
      <c r="E28" s="90">
        <f t="shared" ref="E28:G30" si="52">+D28</f>
        <v>73</v>
      </c>
      <c r="F28" s="90">
        <f t="shared" si="52"/>
        <v>73</v>
      </c>
      <c r="G28" s="372">
        <f t="shared" si="52"/>
        <v>73</v>
      </c>
      <c r="H28" s="372">
        <f t="shared" ref="H28:H30" si="53">+G28</f>
        <v>73</v>
      </c>
      <c r="I28" s="372">
        <f t="shared" ref="I28:I30" si="54">+H28</f>
        <v>73</v>
      </c>
      <c r="J28" s="372">
        <f t="shared" ref="J28:J30" si="55">+I28</f>
        <v>73</v>
      </c>
      <c r="K28" s="372">
        <f t="shared" ref="K28:K30" si="56">+J28</f>
        <v>73</v>
      </c>
      <c r="L28" s="372">
        <f t="shared" ref="L28:L30" si="57">+K28</f>
        <v>73</v>
      </c>
      <c r="M28" s="372">
        <f t="shared" ref="M28:M30" si="58">+L28</f>
        <v>73</v>
      </c>
      <c r="N28" s="372">
        <f t="shared" ref="N28:N30" si="59">+M28</f>
        <v>73</v>
      </c>
      <c r="O28" s="372">
        <f t="shared" ref="O28:O30" si="60">+N28</f>
        <v>73</v>
      </c>
      <c r="P28" s="372">
        <f t="shared" ref="P28:P30" si="61">+O28</f>
        <v>73</v>
      </c>
    </row>
    <row r="29" spans="1:44" s="32" customFormat="1" x14ac:dyDescent="0.2">
      <c r="A29" s="33"/>
      <c r="B29" s="205" t="s">
        <v>214</v>
      </c>
      <c r="C29" s="207">
        <f>+C28-C30</f>
        <v>36</v>
      </c>
      <c r="D29" s="105">
        <f>+C29</f>
        <v>36</v>
      </c>
      <c r="E29" s="105">
        <f t="shared" si="52"/>
        <v>36</v>
      </c>
      <c r="F29" s="105">
        <f t="shared" si="52"/>
        <v>36</v>
      </c>
      <c r="G29" s="377">
        <f t="shared" si="52"/>
        <v>36</v>
      </c>
      <c r="H29" s="377">
        <f t="shared" si="53"/>
        <v>36</v>
      </c>
      <c r="I29" s="377">
        <f t="shared" si="54"/>
        <v>36</v>
      </c>
      <c r="J29" s="377">
        <f t="shared" si="55"/>
        <v>36</v>
      </c>
      <c r="K29" s="377">
        <f t="shared" si="56"/>
        <v>36</v>
      </c>
      <c r="L29" s="377">
        <f t="shared" si="57"/>
        <v>36</v>
      </c>
      <c r="M29" s="377">
        <f t="shared" si="58"/>
        <v>36</v>
      </c>
      <c r="N29" s="377">
        <f t="shared" si="59"/>
        <v>36</v>
      </c>
      <c r="O29" s="377">
        <f t="shared" si="60"/>
        <v>36</v>
      </c>
      <c r="P29" s="377">
        <f t="shared" si="61"/>
        <v>36</v>
      </c>
    </row>
    <row r="30" spans="1:44" s="32" customFormat="1" x14ac:dyDescent="0.2">
      <c r="A30" s="33"/>
      <c r="B30" s="205" t="s">
        <v>215</v>
      </c>
      <c r="C30" s="204">
        <f>+'[6]ТЭЦ-1'!$G$87</f>
        <v>37</v>
      </c>
      <c r="D30" s="105">
        <f>+C30</f>
        <v>37</v>
      </c>
      <c r="E30" s="105">
        <f t="shared" si="52"/>
        <v>37</v>
      </c>
      <c r="F30" s="105">
        <f t="shared" si="52"/>
        <v>37</v>
      </c>
      <c r="G30" s="377">
        <f t="shared" si="52"/>
        <v>37</v>
      </c>
      <c r="H30" s="377">
        <f t="shared" si="53"/>
        <v>37</v>
      </c>
      <c r="I30" s="377">
        <f t="shared" si="54"/>
        <v>37</v>
      </c>
      <c r="J30" s="377">
        <f t="shared" si="55"/>
        <v>37</v>
      </c>
      <c r="K30" s="377">
        <f t="shared" si="56"/>
        <v>37</v>
      </c>
      <c r="L30" s="377">
        <f t="shared" si="57"/>
        <v>37</v>
      </c>
      <c r="M30" s="377">
        <f t="shared" si="58"/>
        <v>37</v>
      </c>
      <c r="N30" s="377">
        <f t="shared" si="59"/>
        <v>37</v>
      </c>
      <c r="O30" s="377">
        <f t="shared" si="60"/>
        <v>37</v>
      </c>
      <c r="P30" s="377">
        <f t="shared" si="61"/>
        <v>37</v>
      </c>
    </row>
    <row r="31" spans="1:44" s="32" customFormat="1" x14ac:dyDescent="0.2">
      <c r="A31" s="2" t="s">
        <v>172</v>
      </c>
      <c r="B31" s="206" t="s">
        <v>217</v>
      </c>
      <c r="C31" s="270">
        <f>SUM(C32:C33)</f>
        <v>68</v>
      </c>
      <c r="D31" s="270">
        <f t="shared" ref="D31:P31" si="62">SUM(D32:D33)</f>
        <v>68</v>
      </c>
      <c r="E31" s="270">
        <f t="shared" si="62"/>
        <v>68</v>
      </c>
      <c r="F31" s="270">
        <f t="shared" si="62"/>
        <v>68</v>
      </c>
      <c r="G31" s="270">
        <f t="shared" si="62"/>
        <v>68</v>
      </c>
      <c r="H31" s="270">
        <f t="shared" si="62"/>
        <v>76</v>
      </c>
      <c r="I31" s="270">
        <f t="shared" si="62"/>
        <v>76</v>
      </c>
      <c r="J31" s="270">
        <f t="shared" si="62"/>
        <v>82</v>
      </c>
      <c r="K31" s="270">
        <f t="shared" si="62"/>
        <v>82</v>
      </c>
      <c r="L31" s="270">
        <f t="shared" si="62"/>
        <v>82</v>
      </c>
      <c r="M31" s="270">
        <f t="shared" si="62"/>
        <v>82</v>
      </c>
      <c r="N31" s="270">
        <f t="shared" si="62"/>
        <v>82</v>
      </c>
      <c r="O31" s="270">
        <f t="shared" si="62"/>
        <v>82</v>
      </c>
      <c r="P31" s="270">
        <f t="shared" si="62"/>
        <v>82</v>
      </c>
    </row>
    <row r="32" spans="1:44" s="247" customFormat="1" x14ac:dyDescent="0.2">
      <c r="A32" s="244"/>
      <c r="B32" s="535" t="s">
        <v>504</v>
      </c>
      <c r="C32" s="536">
        <f>+'[6]ТЭЦ-1'!$G$88</f>
        <v>68</v>
      </c>
      <c r="D32" s="530">
        <f>+C32</f>
        <v>68</v>
      </c>
      <c r="E32" s="530">
        <f t="shared" ref="E32:P32" si="63">+D32</f>
        <v>68</v>
      </c>
      <c r="F32" s="530">
        <f t="shared" si="63"/>
        <v>68</v>
      </c>
      <c r="G32" s="530">
        <f t="shared" si="63"/>
        <v>68</v>
      </c>
      <c r="H32" s="530">
        <f t="shared" si="63"/>
        <v>68</v>
      </c>
      <c r="I32" s="530">
        <f t="shared" si="63"/>
        <v>68</v>
      </c>
      <c r="J32" s="530">
        <f t="shared" si="63"/>
        <v>68</v>
      </c>
      <c r="K32" s="530">
        <f t="shared" si="63"/>
        <v>68</v>
      </c>
      <c r="L32" s="530">
        <f t="shared" si="63"/>
        <v>68</v>
      </c>
      <c r="M32" s="530">
        <f t="shared" si="63"/>
        <v>68</v>
      </c>
      <c r="N32" s="530">
        <f t="shared" si="63"/>
        <v>68</v>
      </c>
      <c r="O32" s="530">
        <f t="shared" si="63"/>
        <v>68</v>
      </c>
      <c r="P32" s="530">
        <f t="shared" si="63"/>
        <v>68</v>
      </c>
    </row>
    <row r="33" spans="1:17" s="247" customFormat="1" ht="45" x14ac:dyDescent="0.2">
      <c r="A33" s="244"/>
      <c r="B33" s="537" t="s">
        <v>515</v>
      </c>
      <c r="C33" s="208"/>
      <c r="D33" s="211"/>
      <c r="E33" s="211"/>
      <c r="F33" s="211"/>
      <c r="G33" s="381"/>
      <c r="H33" s="539">
        <v>8</v>
      </c>
      <c r="I33" s="538">
        <f>+H33</f>
        <v>8</v>
      </c>
      <c r="J33" s="539">
        <f>+I33+6</f>
        <v>14</v>
      </c>
      <c r="K33" s="538">
        <f>+J33</f>
        <v>14</v>
      </c>
      <c r="L33" s="538">
        <f t="shared" ref="L33:P33" si="64">+K33</f>
        <v>14</v>
      </c>
      <c r="M33" s="538">
        <f t="shared" si="64"/>
        <v>14</v>
      </c>
      <c r="N33" s="538">
        <f t="shared" si="64"/>
        <v>14</v>
      </c>
      <c r="O33" s="538">
        <f t="shared" si="64"/>
        <v>14</v>
      </c>
      <c r="P33" s="538">
        <f t="shared" si="64"/>
        <v>14</v>
      </c>
    </row>
    <row r="34" spans="1:17" s="11" customFormat="1" x14ac:dyDescent="0.2">
      <c r="A34" s="2" t="s">
        <v>204</v>
      </c>
      <c r="B34" s="44" t="s">
        <v>205</v>
      </c>
      <c r="C34" s="208"/>
      <c r="D34" s="211"/>
      <c r="E34" s="211"/>
      <c r="F34" s="211"/>
      <c r="G34" s="381"/>
      <c r="H34" s="381"/>
      <c r="I34" s="381"/>
      <c r="J34" s="381"/>
      <c r="K34" s="381"/>
      <c r="L34" s="381"/>
      <c r="M34" s="381"/>
      <c r="N34" s="381"/>
      <c r="O34" s="381"/>
      <c r="P34" s="381"/>
    </row>
    <row r="35" spans="1:17" s="11" customFormat="1" x14ac:dyDescent="0.2">
      <c r="A35" s="2" t="s">
        <v>216</v>
      </c>
      <c r="B35" s="44" t="s">
        <v>206</v>
      </c>
      <c r="C35" s="107">
        <f>+'[6]ТЭЦ-1'!$G$90</f>
        <v>60</v>
      </c>
      <c r="D35" s="90">
        <f>+C35</f>
        <v>60</v>
      </c>
      <c r="E35" s="90">
        <f t="shared" ref="E35" si="65">+D35</f>
        <v>60</v>
      </c>
      <c r="F35" s="90">
        <f t="shared" ref="F35" si="66">+E35</f>
        <v>60</v>
      </c>
      <c r="G35" s="372">
        <f t="shared" ref="G35" si="67">+F35</f>
        <v>60</v>
      </c>
      <c r="H35" s="90">
        <f t="shared" ref="H35" si="68">+G35</f>
        <v>60</v>
      </c>
      <c r="I35" s="423">
        <f t="shared" ref="I35" si="69">+H35</f>
        <v>60</v>
      </c>
      <c r="J35" s="90">
        <f t="shared" ref="J35" si="70">+I35</f>
        <v>60</v>
      </c>
      <c r="K35" s="90">
        <f t="shared" ref="K35" si="71">+J35</f>
        <v>60</v>
      </c>
      <c r="L35" s="90">
        <f t="shared" ref="L35" si="72">+K35</f>
        <v>60</v>
      </c>
      <c r="M35" s="90">
        <f t="shared" ref="M35" si="73">+L35</f>
        <v>60</v>
      </c>
      <c r="N35" s="90">
        <f t="shared" ref="N35" si="74">+M35</f>
        <v>60</v>
      </c>
      <c r="O35" s="90">
        <f t="shared" ref="O35" si="75">+N35</f>
        <v>60</v>
      </c>
      <c r="P35" s="90">
        <f t="shared" ref="P35" si="76">+O35</f>
        <v>60</v>
      </c>
    </row>
    <row r="36" spans="1:17" s="11" customFormat="1" ht="22.5" x14ac:dyDescent="0.2">
      <c r="A36" s="2" t="s">
        <v>218</v>
      </c>
      <c r="B36" s="44" t="s">
        <v>514</v>
      </c>
      <c r="C36" s="270">
        <f>SUM(C37:C38)</f>
        <v>170</v>
      </c>
      <c r="D36" s="270">
        <f t="shared" ref="D36:G36" si="77">SUM(D37:D38)</f>
        <v>170</v>
      </c>
      <c r="E36" s="270">
        <f t="shared" si="77"/>
        <v>170</v>
      </c>
      <c r="F36" s="270">
        <f t="shared" si="77"/>
        <v>170</v>
      </c>
      <c r="G36" s="382">
        <f t="shared" si="77"/>
        <v>170</v>
      </c>
      <c r="H36" s="382">
        <f t="shared" ref="H36:P36" si="78">SUM(H37:H38)</f>
        <v>178</v>
      </c>
      <c r="I36" s="382">
        <f t="shared" si="78"/>
        <v>178</v>
      </c>
      <c r="J36" s="382">
        <f t="shared" si="78"/>
        <v>184</v>
      </c>
      <c r="K36" s="382">
        <f t="shared" si="78"/>
        <v>184</v>
      </c>
      <c r="L36" s="382">
        <f t="shared" si="78"/>
        <v>184</v>
      </c>
      <c r="M36" s="382">
        <f t="shared" si="78"/>
        <v>184</v>
      </c>
      <c r="N36" s="382">
        <f t="shared" si="78"/>
        <v>184</v>
      </c>
      <c r="O36" s="382">
        <f t="shared" si="78"/>
        <v>184</v>
      </c>
      <c r="P36" s="382">
        <f t="shared" si="78"/>
        <v>184</v>
      </c>
    </row>
    <row r="37" spans="1:17" s="32" customFormat="1" x14ac:dyDescent="0.2">
      <c r="A37" s="33"/>
      <c r="B37" s="205" t="s">
        <v>214</v>
      </c>
      <c r="C37" s="204">
        <f>+'[6]ТЭЦ-1'!$G$92</f>
        <v>133</v>
      </c>
      <c r="D37" s="105">
        <f>+C37</f>
        <v>133</v>
      </c>
      <c r="E37" s="105">
        <f t="shared" ref="E37:E38" si="79">+D37</f>
        <v>133</v>
      </c>
      <c r="F37" s="105">
        <f t="shared" ref="F37:F38" si="80">+E37</f>
        <v>133</v>
      </c>
      <c r="G37" s="377">
        <f t="shared" ref="G37:G38" si="81">+F37</f>
        <v>133</v>
      </c>
      <c r="H37" s="540">
        <f>+$G37+H33</f>
        <v>141</v>
      </c>
      <c r="I37" s="540">
        <f>+$G37+I33</f>
        <v>141</v>
      </c>
      <c r="J37" s="540">
        <f>+$G37+J33</f>
        <v>147</v>
      </c>
      <c r="K37" s="540">
        <f t="shared" ref="K37:P37" si="82">+$G37+K33</f>
        <v>147</v>
      </c>
      <c r="L37" s="540">
        <f t="shared" si="82"/>
        <v>147</v>
      </c>
      <c r="M37" s="540">
        <f t="shared" si="82"/>
        <v>147</v>
      </c>
      <c r="N37" s="540">
        <f t="shared" si="82"/>
        <v>147</v>
      </c>
      <c r="O37" s="540">
        <f t="shared" si="82"/>
        <v>147</v>
      </c>
      <c r="P37" s="540">
        <f t="shared" si="82"/>
        <v>147</v>
      </c>
    </row>
    <row r="38" spans="1:17" s="32" customFormat="1" x14ac:dyDescent="0.2">
      <c r="A38" s="33"/>
      <c r="B38" s="205" t="s">
        <v>215</v>
      </c>
      <c r="C38" s="204">
        <f>+'[6]ТЭЦ-1'!$G$93</f>
        <v>37</v>
      </c>
      <c r="D38" s="105">
        <f>+C38</f>
        <v>37</v>
      </c>
      <c r="E38" s="105">
        <f t="shared" si="79"/>
        <v>37</v>
      </c>
      <c r="F38" s="105">
        <f t="shared" si="80"/>
        <v>37</v>
      </c>
      <c r="G38" s="377">
        <f t="shared" si="81"/>
        <v>37</v>
      </c>
      <c r="H38" s="377">
        <f t="shared" ref="H38" si="83">+G38</f>
        <v>37</v>
      </c>
      <c r="I38" s="377">
        <f t="shared" ref="I38" si="84">+H38</f>
        <v>37</v>
      </c>
      <c r="J38" s="377">
        <f t="shared" ref="J38" si="85">+I38</f>
        <v>37</v>
      </c>
      <c r="K38" s="377">
        <f t="shared" ref="K38" si="86">+J38</f>
        <v>37</v>
      </c>
      <c r="L38" s="377">
        <f t="shared" ref="L38" si="87">+K38</f>
        <v>37</v>
      </c>
      <c r="M38" s="377">
        <f t="shared" ref="M38" si="88">+L38</f>
        <v>37</v>
      </c>
      <c r="N38" s="377">
        <f t="shared" ref="N38" si="89">+M38</f>
        <v>37</v>
      </c>
      <c r="O38" s="377">
        <f t="shared" ref="O38" si="90">+N38</f>
        <v>37</v>
      </c>
      <c r="P38" s="377">
        <f t="shared" ref="P38" si="91">+O38</f>
        <v>37</v>
      </c>
    </row>
    <row r="39" spans="1:17" s="67" customFormat="1" x14ac:dyDescent="0.2">
      <c r="A39" s="108">
        <v>7</v>
      </c>
      <c r="B39" s="109" t="s">
        <v>402</v>
      </c>
      <c r="C39" s="102">
        <f>+C40</f>
        <v>139.041</v>
      </c>
      <c r="D39" s="102">
        <f t="shared" ref="D39:P39" si="92">+D40</f>
        <v>139.041</v>
      </c>
      <c r="E39" s="102">
        <f t="shared" si="92"/>
        <v>139.041</v>
      </c>
      <c r="F39" s="102">
        <f t="shared" si="92"/>
        <v>143.191</v>
      </c>
      <c r="G39" s="383">
        <f t="shared" si="92"/>
        <v>146.57900000000001</v>
      </c>
      <c r="H39" s="102">
        <f t="shared" si="92"/>
        <v>149.96699999999998</v>
      </c>
      <c r="I39" s="426">
        <f t="shared" si="92"/>
        <v>153.35499999999999</v>
      </c>
      <c r="J39" s="102">
        <f t="shared" si="92"/>
        <v>156.74299999999999</v>
      </c>
      <c r="K39" s="102">
        <f t="shared" si="92"/>
        <v>160.131</v>
      </c>
      <c r="L39" s="102">
        <f t="shared" si="92"/>
        <v>160.40699999999998</v>
      </c>
      <c r="M39" s="102">
        <f t="shared" si="92"/>
        <v>160.68299999999999</v>
      </c>
      <c r="N39" s="102">
        <f t="shared" si="92"/>
        <v>160.959</v>
      </c>
      <c r="O39" s="102">
        <f t="shared" si="92"/>
        <v>161.23500000000001</v>
      </c>
      <c r="P39" s="102">
        <f t="shared" si="92"/>
        <v>161.511</v>
      </c>
    </row>
    <row r="40" spans="1:17" s="96" customFormat="1" x14ac:dyDescent="0.2">
      <c r="A40" s="131"/>
      <c r="B40" s="225" t="s">
        <v>214</v>
      </c>
      <c r="C40" s="228">
        <f>SUM(C41:C44)</f>
        <v>139.041</v>
      </c>
      <c r="D40" s="228">
        <f>SUM(D41:D44)</f>
        <v>139.041</v>
      </c>
      <c r="E40" s="228">
        <f t="shared" ref="E40:P40" si="93">SUM(E41:E44)</f>
        <v>139.041</v>
      </c>
      <c r="F40" s="228">
        <f t="shared" si="93"/>
        <v>143.191</v>
      </c>
      <c r="G40" s="228">
        <f t="shared" si="93"/>
        <v>146.57900000000001</v>
      </c>
      <c r="H40" s="228">
        <f t="shared" si="93"/>
        <v>149.96699999999998</v>
      </c>
      <c r="I40" s="228">
        <f t="shared" si="93"/>
        <v>153.35499999999999</v>
      </c>
      <c r="J40" s="228">
        <f t="shared" si="93"/>
        <v>156.74299999999999</v>
      </c>
      <c r="K40" s="228">
        <f t="shared" si="93"/>
        <v>160.131</v>
      </c>
      <c r="L40" s="228">
        <f t="shared" si="93"/>
        <v>160.40699999999998</v>
      </c>
      <c r="M40" s="228">
        <f t="shared" si="93"/>
        <v>160.68299999999999</v>
      </c>
      <c r="N40" s="228">
        <f t="shared" si="93"/>
        <v>160.959</v>
      </c>
      <c r="O40" s="228">
        <f t="shared" si="93"/>
        <v>161.23500000000001</v>
      </c>
      <c r="P40" s="228">
        <f t="shared" si="93"/>
        <v>161.511</v>
      </c>
    </row>
    <row r="41" spans="1:17" s="236" customFormat="1" x14ac:dyDescent="0.2">
      <c r="A41" s="353"/>
      <c r="B41" s="354" t="s">
        <v>415</v>
      </c>
      <c r="C41" s="355">
        <f>+'[6]ТЭЦ-1'!$G$96</f>
        <v>80.367999999999995</v>
      </c>
      <c r="D41" s="356">
        <f>+C41</f>
        <v>80.367999999999995</v>
      </c>
      <c r="E41" s="356">
        <f t="shared" ref="E41:P42" si="94">+D41</f>
        <v>80.367999999999995</v>
      </c>
      <c r="F41" s="356">
        <f t="shared" si="94"/>
        <v>80.367999999999995</v>
      </c>
      <c r="G41" s="384">
        <f t="shared" si="94"/>
        <v>80.367999999999995</v>
      </c>
      <c r="H41" s="384">
        <f t="shared" si="94"/>
        <v>80.367999999999995</v>
      </c>
      <c r="I41" s="242">
        <f t="shared" si="94"/>
        <v>80.367999999999995</v>
      </c>
      <c r="J41" s="356">
        <f t="shared" ref="J41:L42" si="95">+I41</f>
        <v>80.367999999999995</v>
      </c>
      <c r="K41" s="356">
        <f t="shared" si="95"/>
        <v>80.367999999999995</v>
      </c>
      <c r="L41" s="356">
        <f t="shared" si="95"/>
        <v>80.367999999999995</v>
      </c>
      <c r="M41" s="356">
        <f t="shared" si="94"/>
        <v>80.367999999999995</v>
      </c>
      <c r="N41" s="356">
        <f t="shared" si="94"/>
        <v>80.367999999999995</v>
      </c>
      <c r="O41" s="356">
        <f t="shared" si="94"/>
        <v>80.367999999999995</v>
      </c>
      <c r="P41" s="356">
        <f t="shared" si="94"/>
        <v>80.367999999999995</v>
      </c>
    </row>
    <row r="42" spans="1:17" s="236" customFormat="1" x14ac:dyDescent="0.2">
      <c r="A42" s="353"/>
      <c r="B42" s="354" t="s">
        <v>416</v>
      </c>
      <c r="C42" s="355">
        <f>+'[6]ТЭЦ-1'!$G$97</f>
        <v>58.673000000000002</v>
      </c>
      <c r="D42" s="356">
        <f>+C42</f>
        <v>58.673000000000002</v>
      </c>
      <c r="E42" s="356">
        <f t="shared" si="94"/>
        <v>58.673000000000002</v>
      </c>
      <c r="F42" s="356">
        <f t="shared" si="94"/>
        <v>58.673000000000002</v>
      </c>
      <c r="G42" s="384">
        <f t="shared" si="94"/>
        <v>58.673000000000002</v>
      </c>
      <c r="H42" s="384">
        <f t="shared" si="94"/>
        <v>58.673000000000002</v>
      </c>
      <c r="I42" s="242">
        <f t="shared" si="94"/>
        <v>58.673000000000002</v>
      </c>
      <c r="J42" s="356">
        <f t="shared" si="95"/>
        <v>58.673000000000002</v>
      </c>
      <c r="K42" s="356">
        <f t="shared" si="95"/>
        <v>58.673000000000002</v>
      </c>
      <c r="L42" s="356">
        <f t="shared" si="95"/>
        <v>58.673000000000002</v>
      </c>
      <c r="M42" s="356">
        <f t="shared" si="94"/>
        <v>58.673000000000002</v>
      </c>
      <c r="N42" s="356">
        <f t="shared" si="94"/>
        <v>58.673000000000002</v>
      </c>
      <c r="O42" s="356">
        <f t="shared" si="94"/>
        <v>58.673000000000002</v>
      </c>
      <c r="P42" s="356">
        <f t="shared" si="94"/>
        <v>58.673000000000002</v>
      </c>
    </row>
    <row r="43" spans="1:17" s="349" customFormat="1" x14ac:dyDescent="0.2">
      <c r="A43" s="357"/>
      <c r="B43" s="358" t="s">
        <v>413</v>
      </c>
      <c r="C43" s="352"/>
      <c r="D43" s="352"/>
      <c r="E43" s="352"/>
      <c r="F43" s="351">
        <f>+'[2]ТЭЦ-1'!K$98-1.5</f>
        <v>2.08</v>
      </c>
      <c r="G43" s="351">
        <f>+'[2]ТЭЦ-1'!L$98-1.5</f>
        <v>3.774</v>
      </c>
      <c r="H43" s="351">
        <f>+'[2]ТЭЦ-1'!M$98-1.5</f>
        <v>5.468</v>
      </c>
      <c r="I43" s="351">
        <f>+'[2]ТЭЦ-1'!N$98-1.5</f>
        <v>7.1620000000000008</v>
      </c>
      <c r="J43" s="351">
        <f>+'[2]ТЭЦ-1'!O$98-1.5</f>
        <v>8.8560000000000016</v>
      </c>
      <c r="K43" s="351">
        <f>+'[2]ТЭЦ-1'!P$98-1.5</f>
        <v>10.550000000000002</v>
      </c>
      <c r="L43" s="351">
        <f>+'[2]ТЭЦ-1'!Q$98-1.5</f>
        <v>10.688000000000002</v>
      </c>
      <c r="M43" s="351">
        <f>+'[2]ТЭЦ-1'!R$98-1.5</f>
        <v>10.826000000000002</v>
      </c>
      <c r="N43" s="351">
        <f>+'[2]ТЭЦ-1'!S$98-1.5</f>
        <v>10.964000000000002</v>
      </c>
      <c r="O43" s="351">
        <f>+'[2]ТЭЦ-1'!T$98-1.5</f>
        <v>11.102000000000002</v>
      </c>
      <c r="P43" s="351">
        <f>+'[2]ТЭЦ-1'!U$98-1.5</f>
        <v>11.240000000000002</v>
      </c>
    </row>
    <row r="44" spans="1:17" s="349" customFormat="1" x14ac:dyDescent="0.2">
      <c r="A44" s="357"/>
      <c r="B44" s="358" t="s">
        <v>414</v>
      </c>
      <c r="C44" s="352"/>
      <c r="D44" s="352"/>
      <c r="E44" s="352"/>
      <c r="F44" s="351">
        <f>+'[2]ТЭЦ-1'!K$99-0.1</f>
        <v>2.0699999999999998</v>
      </c>
      <c r="G44" s="351">
        <f>+'[2]ТЭЦ-1'!L$99-0.1</f>
        <v>3.7639999999999998</v>
      </c>
      <c r="H44" s="351">
        <f>+'[2]ТЭЦ-1'!M$99-0.1</f>
        <v>5.4580000000000002</v>
      </c>
      <c r="I44" s="351">
        <f>+'[2]ТЭЦ-1'!N$99-0.1</f>
        <v>7.1520000000000001</v>
      </c>
      <c r="J44" s="351">
        <f>+'[2]ТЭЦ-1'!O$99-0.1</f>
        <v>8.8460000000000001</v>
      </c>
      <c r="K44" s="351">
        <f>+'[2]ТЭЦ-1'!P$99-0.1</f>
        <v>10.540000000000001</v>
      </c>
      <c r="L44" s="351">
        <f>+'[2]ТЭЦ-1'!Q$99-0.1</f>
        <v>10.678000000000001</v>
      </c>
      <c r="M44" s="351">
        <f>+'[2]ТЭЦ-1'!R$99-0.1</f>
        <v>10.816000000000001</v>
      </c>
      <c r="N44" s="351">
        <f>+'[2]ТЭЦ-1'!S$99-0.1</f>
        <v>10.954000000000001</v>
      </c>
      <c r="O44" s="351">
        <f>+'[2]ТЭЦ-1'!T$99-0.1</f>
        <v>11.092000000000001</v>
      </c>
      <c r="P44" s="351">
        <f>+'[2]ТЭЦ-1'!U$99-0.1</f>
        <v>11.23</v>
      </c>
    </row>
    <row r="45" spans="1:17" s="96" customFormat="1" x14ac:dyDescent="0.2">
      <c r="A45" s="131"/>
      <c r="B45" s="225" t="s">
        <v>215</v>
      </c>
      <c r="C45" s="226">
        <v>0</v>
      </c>
      <c r="D45" s="226">
        <v>0</v>
      </c>
      <c r="E45" s="226">
        <v>0</v>
      </c>
      <c r="F45" s="226">
        <v>0</v>
      </c>
      <c r="G45" s="385">
        <v>0</v>
      </c>
      <c r="H45" s="226">
        <v>0</v>
      </c>
      <c r="I45" s="229">
        <v>0</v>
      </c>
      <c r="J45" s="226">
        <v>0</v>
      </c>
      <c r="K45" s="226">
        <v>0</v>
      </c>
      <c r="L45" s="226">
        <v>0</v>
      </c>
      <c r="M45" s="226">
        <v>0</v>
      </c>
      <c r="N45" s="226">
        <v>0</v>
      </c>
      <c r="O45" s="226">
        <v>0</v>
      </c>
      <c r="P45" s="226">
        <v>0</v>
      </c>
    </row>
    <row r="46" spans="1:17" s="453" customFormat="1" ht="22.5" x14ac:dyDescent="0.2">
      <c r="A46" s="451"/>
      <c r="B46" s="452" t="s">
        <v>458</v>
      </c>
      <c r="C46" s="454">
        <f>(+'[5]1'!K$55/744+'[5]1'!L$55/744+[7]январь!$K$55/744)/3</f>
        <v>54.371191756272395</v>
      </c>
      <c r="D46" s="461">
        <f>+$C46+D43*($C46/$C41)</f>
        <v>54.371191756272395</v>
      </c>
      <c r="E46" s="461">
        <f>+$C46+E43*($C46/$C41)</f>
        <v>54.371191756272395</v>
      </c>
      <c r="F46" s="461">
        <f t="shared" ref="F46:J46" si="96">+$C46+F43*($C46/$C41)</f>
        <v>55.778369723287213</v>
      </c>
      <c r="G46" s="461">
        <f t="shared" si="96"/>
        <v>56.924407932961778</v>
      </c>
      <c r="H46" s="461">
        <f t="shared" si="96"/>
        <v>58.070446142636342</v>
      </c>
      <c r="I46" s="461">
        <f t="shared" si="96"/>
        <v>59.216484352310907</v>
      </c>
      <c r="J46" s="461">
        <f t="shared" si="96"/>
        <v>60.362522561985472</v>
      </c>
      <c r="K46" s="461">
        <f>+$C46+K43*($C46/$C41)</f>
        <v>61.508560771660036</v>
      </c>
      <c r="L46" s="461">
        <f>+$C46+L43*($C46/$C41)</f>
        <v>61.60192161754852</v>
      </c>
      <c r="M46" s="461">
        <f t="shared" ref="M46" si="97">+$C46+M43*($C46/$C41)</f>
        <v>61.695282463437003</v>
      </c>
      <c r="N46" s="461">
        <f>+$C46+N43*($C46/$C41)</f>
        <v>61.788643309325487</v>
      </c>
      <c r="O46" s="461">
        <f>+$C46+O43*($C46/$C41)</f>
        <v>61.88200415521397</v>
      </c>
      <c r="P46" s="461">
        <f t="shared" ref="P46" si="98">+$C46+P43*($C46/$C41)</f>
        <v>61.975365001102453</v>
      </c>
    </row>
    <row r="47" spans="1:17" s="453" customFormat="1" x14ac:dyDescent="0.2">
      <c r="A47" s="451"/>
      <c r="B47" s="452" t="s">
        <v>457</v>
      </c>
      <c r="C47" s="454">
        <f>(+'[5]1'!Q$55/744+'[5]1'!R$55/744+[7]январь!$Q$55/744)/3</f>
        <v>27.565170250896056</v>
      </c>
      <c r="D47" s="461">
        <f>+$C47+D44*($C47/$C42)</f>
        <v>27.565170250896056</v>
      </c>
      <c r="E47" s="461">
        <f>+$C47+E44*($C47/$C42)</f>
        <v>27.565170250896056</v>
      </c>
      <c r="F47" s="461">
        <f t="shared" ref="F47:J47" si="99">+$C47+F44*($C47/$C42)</f>
        <v>28.53767723740356</v>
      </c>
      <c r="G47" s="461">
        <f t="shared" si="99"/>
        <v>29.333535611869124</v>
      </c>
      <c r="H47" s="461">
        <f t="shared" si="99"/>
        <v>30.129393986334684</v>
      </c>
      <c r="I47" s="461">
        <f t="shared" si="99"/>
        <v>30.925252360800247</v>
      </c>
      <c r="J47" s="461">
        <f t="shared" si="99"/>
        <v>31.72111073526581</v>
      </c>
      <c r="K47" s="461">
        <f>+$C47+K44*($C47/$C42)</f>
        <v>32.51696910973137</v>
      </c>
      <c r="L47" s="461">
        <f>+$C47+L44*($C47/$C42)</f>
        <v>32.581802908831875</v>
      </c>
      <c r="M47" s="461">
        <f t="shared" ref="M47" si="100">+$C47+M44*($C47/$C42)</f>
        <v>32.646636707932373</v>
      </c>
      <c r="N47" s="461">
        <f>+$C47+N44*($C47/$C42)</f>
        <v>32.711470507032871</v>
      </c>
      <c r="O47" s="461">
        <f>+$C47+O44*($C47/$C42)</f>
        <v>32.776304306133369</v>
      </c>
      <c r="P47" s="461">
        <f t="shared" ref="P47" si="101">+$C47+P44*($C47/$C42)</f>
        <v>32.841138105233874</v>
      </c>
    </row>
    <row r="48" spans="1:17" s="35" customFormat="1" x14ac:dyDescent="0.2">
      <c r="A48" s="33" t="s">
        <v>175</v>
      </c>
      <c r="B48" s="110" t="s">
        <v>220</v>
      </c>
      <c r="C48" s="174">
        <f t="shared" ref="C48:P48" si="102">C39/C26</f>
        <v>0.84781097560975605</v>
      </c>
      <c r="D48" s="174">
        <f t="shared" si="102"/>
        <v>0.84781097560975605</v>
      </c>
      <c r="E48" s="174">
        <f t="shared" si="102"/>
        <v>0.84781097560975605</v>
      </c>
      <c r="F48" s="174">
        <f t="shared" si="102"/>
        <v>0.87311585365853661</v>
      </c>
      <c r="G48" s="386">
        <f t="shared" si="102"/>
        <v>0.89377439024390248</v>
      </c>
      <c r="H48" s="174">
        <f t="shared" si="102"/>
        <v>0.87190116279069763</v>
      </c>
      <c r="I48" s="70">
        <f t="shared" si="102"/>
        <v>0.89159883720930222</v>
      </c>
      <c r="J48" s="174">
        <f t="shared" si="102"/>
        <v>0.88057865168539318</v>
      </c>
      <c r="K48" s="174">
        <f t="shared" si="102"/>
        <v>0.89961235955056185</v>
      </c>
      <c r="L48" s="174">
        <f t="shared" si="102"/>
        <v>0.90116292134831455</v>
      </c>
      <c r="M48" s="174">
        <f t="shared" si="102"/>
        <v>0.90271348314606736</v>
      </c>
      <c r="N48" s="174">
        <f t="shared" si="102"/>
        <v>0.90426404494382029</v>
      </c>
      <c r="O48" s="174">
        <f t="shared" si="102"/>
        <v>0.9058146067415731</v>
      </c>
      <c r="P48" s="174">
        <f t="shared" si="102"/>
        <v>0.90736516853932581</v>
      </c>
      <c r="Q48" s="32"/>
    </row>
    <row r="49" spans="1:17" s="35" customFormat="1" x14ac:dyDescent="0.2">
      <c r="A49" s="33" t="s">
        <v>221</v>
      </c>
      <c r="B49" s="110" t="s">
        <v>222</v>
      </c>
      <c r="C49" s="174">
        <f t="shared" ref="C49:P49" si="103">+C40/C37</f>
        <v>1.045421052631579</v>
      </c>
      <c r="D49" s="174">
        <f t="shared" si="103"/>
        <v>1.045421052631579</v>
      </c>
      <c r="E49" s="174">
        <f t="shared" si="103"/>
        <v>1.045421052631579</v>
      </c>
      <c r="F49" s="174">
        <f t="shared" si="103"/>
        <v>1.076624060150376</v>
      </c>
      <c r="G49" s="386">
        <f t="shared" si="103"/>
        <v>1.1020977443609024</v>
      </c>
      <c r="H49" s="174">
        <f t="shared" si="103"/>
        <v>1.0635957446808511</v>
      </c>
      <c r="I49" s="70">
        <f t="shared" si="103"/>
        <v>1.0876241134751772</v>
      </c>
      <c r="J49" s="174">
        <f t="shared" si="103"/>
        <v>1.0662789115646258</v>
      </c>
      <c r="K49" s="174">
        <f t="shared" si="103"/>
        <v>1.0893265306122448</v>
      </c>
      <c r="L49" s="174">
        <f t="shared" si="103"/>
        <v>1.0912040816326529</v>
      </c>
      <c r="M49" s="174">
        <f t="shared" si="103"/>
        <v>1.0930816326530612</v>
      </c>
      <c r="N49" s="174">
        <f t="shared" si="103"/>
        <v>1.0949591836734693</v>
      </c>
      <c r="O49" s="174">
        <f t="shared" si="103"/>
        <v>1.0968367346938777</v>
      </c>
      <c r="P49" s="174">
        <f t="shared" si="103"/>
        <v>1.0987142857142858</v>
      </c>
      <c r="Q49" s="32"/>
    </row>
    <row r="50" spans="1:17" s="35" customFormat="1" ht="22.5" x14ac:dyDescent="0.2">
      <c r="A50" s="33" t="s">
        <v>223</v>
      </c>
      <c r="B50" s="110" t="s">
        <v>459</v>
      </c>
      <c r="C50" s="331">
        <f>+(C46+C47)/C37</f>
        <v>0.6160628722343493</v>
      </c>
      <c r="D50" s="331">
        <f t="shared" ref="D50:P50" si="104">+(D46+D47)/D37</f>
        <v>0.6160628722343493</v>
      </c>
      <c r="E50" s="331">
        <f t="shared" si="104"/>
        <v>0.6160628722343493</v>
      </c>
      <c r="F50" s="331">
        <f t="shared" si="104"/>
        <v>0.63395524030594563</v>
      </c>
      <c r="G50" s="331">
        <f t="shared" si="104"/>
        <v>0.64855596650248803</v>
      </c>
      <c r="H50" s="331">
        <f t="shared" si="104"/>
        <v>0.62553078105653215</v>
      </c>
      <c r="I50" s="331">
        <f t="shared" si="104"/>
        <v>0.63930309725610746</v>
      </c>
      <c r="J50" s="331">
        <f t="shared" si="104"/>
        <v>0.6264192741309611</v>
      </c>
      <c r="K50" s="331">
        <f t="shared" si="104"/>
        <v>0.63962945497545176</v>
      </c>
      <c r="L50" s="331">
        <f t="shared" si="104"/>
        <v>0.64070560902299578</v>
      </c>
      <c r="M50" s="331">
        <f t="shared" si="104"/>
        <v>0.64178176307053991</v>
      </c>
      <c r="N50" s="331">
        <f t="shared" si="104"/>
        <v>0.64285791711808404</v>
      </c>
      <c r="O50" s="331">
        <f t="shared" si="104"/>
        <v>0.64393407116562806</v>
      </c>
      <c r="P50" s="331">
        <f t="shared" si="104"/>
        <v>0.64501022521317231</v>
      </c>
      <c r="Q50" s="32"/>
    </row>
    <row r="51" spans="1:17" s="74" customFormat="1" x14ac:dyDescent="0.2">
      <c r="A51" s="71">
        <v>8</v>
      </c>
      <c r="B51" s="101" t="s">
        <v>176</v>
      </c>
      <c r="C51" s="103">
        <f>+C52+C56</f>
        <v>308.33985999999999</v>
      </c>
      <c r="D51" s="103">
        <f t="shared" ref="D51:P51" si="105">+D52+D56</f>
        <v>339.47571333333332</v>
      </c>
      <c r="E51" s="103">
        <f t="shared" si="105"/>
        <v>339.47571333333332</v>
      </c>
      <c r="F51" s="103">
        <f t="shared" si="105"/>
        <v>329.38125995466856</v>
      </c>
      <c r="G51" s="379">
        <f t="shared" si="105"/>
        <v>327.40112225294774</v>
      </c>
      <c r="H51" s="103">
        <f t="shared" si="105"/>
        <v>323.48642057016622</v>
      </c>
      <c r="I51" s="78">
        <f t="shared" si="105"/>
        <v>320.55908281240841</v>
      </c>
      <c r="J51" s="103">
        <f t="shared" si="105"/>
        <v>318.14490323490048</v>
      </c>
      <c r="K51" s="103">
        <f t="shared" si="105"/>
        <v>326.09187070833246</v>
      </c>
      <c r="L51" s="103">
        <f t="shared" si="105"/>
        <v>334.03883818176439</v>
      </c>
      <c r="M51" s="103">
        <f t="shared" si="105"/>
        <v>334.68622986496018</v>
      </c>
      <c r="N51" s="103">
        <f t="shared" si="105"/>
        <v>335.33362154815586</v>
      </c>
      <c r="O51" s="103">
        <f t="shared" si="105"/>
        <v>335.98101323135165</v>
      </c>
      <c r="P51" s="103">
        <f t="shared" si="105"/>
        <v>336.62840491454739</v>
      </c>
    </row>
    <row r="52" spans="1:17" s="130" customFormat="1" x14ac:dyDescent="0.2">
      <c r="A52" s="29" t="s">
        <v>177</v>
      </c>
      <c r="B52" s="149" t="s">
        <v>405</v>
      </c>
      <c r="C52" s="198">
        <f>SUM(C53:C55)</f>
        <v>206.78731999999999</v>
      </c>
      <c r="D52" s="198">
        <f t="shared" ref="D52:P52" si="106">SUM(D53:D55)</f>
        <v>237.9231733333333</v>
      </c>
      <c r="E52" s="198">
        <f t="shared" si="106"/>
        <v>237.9231733333333</v>
      </c>
      <c r="F52" s="198">
        <f t="shared" si="106"/>
        <v>230.84842752210923</v>
      </c>
      <c r="G52" s="388">
        <f t="shared" si="106"/>
        <v>228.79165425301719</v>
      </c>
      <c r="H52" s="228">
        <f t="shared" si="106"/>
        <v>225.49330123775539</v>
      </c>
      <c r="I52" s="198">
        <f t="shared" si="106"/>
        <v>222.88694694007441</v>
      </c>
      <c r="J52" s="198">
        <f t="shared" si="106"/>
        <v>220.64024200130686</v>
      </c>
      <c r="K52" s="198">
        <f t="shared" si="106"/>
        <v>225.65519640637689</v>
      </c>
      <c r="L52" s="198">
        <f t="shared" si="106"/>
        <v>230.67015081144689</v>
      </c>
      <c r="M52" s="198">
        <f t="shared" si="106"/>
        <v>231.07868900973477</v>
      </c>
      <c r="N52" s="198">
        <f t="shared" si="106"/>
        <v>231.48722720802263</v>
      </c>
      <c r="O52" s="198">
        <f t="shared" si="106"/>
        <v>231.89576540631052</v>
      </c>
      <c r="P52" s="198">
        <f t="shared" si="106"/>
        <v>232.30430360459837</v>
      </c>
    </row>
    <row r="53" spans="1:17" s="341" customFormat="1" x14ac:dyDescent="0.2">
      <c r="A53" s="339"/>
      <c r="B53" s="340" t="s">
        <v>404</v>
      </c>
      <c r="C53" s="111">
        <f>+'[4]4.4.Р_т'!$E$17</f>
        <v>206.78731999999999</v>
      </c>
      <c r="D53" s="111">
        <f>+'[4]4.4.Р_т'!$Y$17</f>
        <v>237.9231733333333</v>
      </c>
      <c r="E53" s="111">
        <f>+'[4]4.4.Р_т'!$Y$17</f>
        <v>237.9231733333333</v>
      </c>
      <c r="F53" s="198">
        <f t="shared" ref="F53:P58" si="107">+E53</f>
        <v>237.9231733333333</v>
      </c>
      <c r="G53" s="388">
        <f t="shared" si="107"/>
        <v>237.9231733333333</v>
      </c>
      <c r="H53" s="228">
        <f t="shared" si="107"/>
        <v>237.9231733333333</v>
      </c>
      <c r="I53" s="198">
        <f t="shared" si="107"/>
        <v>237.9231733333333</v>
      </c>
      <c r="J53" s="198">
        <f t="shared" si="107"/>
        <v>237.9231733333333</v>
      </c>
      <c r="K53" s="198">
        <f t="shared" si="107"/>
        <v>237.9231733333333</v>
      </c>
      <c r="L53" s="198">
        <f t="shared" si="107"/>
        <v>237.9231733333333</v>
      </c>
      <c r="M53" s="198">
        <f t="shared" si="107"/>
        <v>237.9231733333333</v>
      </c>
      <c r="N53" s="198">
        <f t="shared" si="107"/>
        <v>237.9231733333333</v>
      </c>
      <c r="O53" s="198">
        <f t="shared" si="107"/>
        <v>237.9231733333333</v>
      </c>
      <c r="P53" s="198">
        <f t="shared" si="107"/>
        <v>237.9231733333333</v>
      </c>
    </row>
    <row r="54" spans="1:17" s="240" customFormat="1" ht="22.5" x14ac:dyDescent="0.2">
      <c r="A54" s="237"/>
      <c r="B54" s="238" t="s">
        <v>357</v>
      </c>
      <c r="C54" s="241"/>
      <c r="D54" s="241"/>
      <c r="E54" s="241"/>
      <c r="F54" s="462">
        <f>F53*Сети!F$31</f>
        <v>-7.0747458112240755</v>
      </c>
      <c r="G54" s="462">
        <f>G53*Сети!G31</f>
        <v>-15.289196271901481</v>
      </c>
      <c r="H54" s="462">
        <f>H53*Сети!H31</f>
        <v>-23.602503692233284</v>
      </c>
      <c r="I54" s="462">
        <f>I53*Сети!I31</f>
        <v>-31.223812394984307</v>
      </c>
      <c r="J54" s="462">
        <f>J53*Сети!J31</f>
        <v>-38.485471738821829</v>
      </c>
      <c r="K54" s="198">
        <f t="shared" si="107"/>
        <v>-38.485471738821829</v>
      </c>
      <c r="L54" s="198">
        <f t="shared" si="107"/>
        <v>-38.485471738821829</v>
      </c>
      <c r="M54" s="198">
        <f t="shared" si="107"/>
        <v>-38.485471738821829</v>
      </c>
      <c r="N54" s="198">
        <f t="shared" si="107"/>
        <v>-38.485471738821829</v>
      </c>
      <c r="O54" s="198">
        <f t="shared" si="107"/>
        <v>-38.485471738821829</v>
      </c>
      <c r="P54" s="198">
        <f t="shared" si="107"/>
        <v>-38.485471738821829</v>
      </c>
    </row>
    <row r="55" spans="1:17" s="265" customFormat="1" x14ac:dyDescent="0.2">
      <c r="A55" s="359"/>
      <c r="B55" s="360" t="s">
        <v>358</v>
      </c>
      <c r="C55" s="241"/>
      <c r="D55" s="117">
        <f>D53/C41*C43</f>
        <v>0</v>
      </c>
      <c r="E55" s="117">
        <f>E53/D41*D43</f>
        <v>0</v>
      </c>
      <c r="F55" s="117">
        <f>F53/E41*E43</f>
        <v>0</v>
      </c>
      <c r="G55" s="117">
        <f>G53/F41*F43</f>
        <v>6.1576771915853739</v>
      </c>
      <c r="H55" s="117">
        <f t="shared" ref="H55:P55" si="108">H53/G41*G43</f>
        <v>11.172631596655386</v>
      </c>
      <c r="I55" s="117">
        <f t="shared" si="108"/>
        <v>16.187586001725396</v>
      </c>
      <c r="J55" s="117">
        <f t="shared" si="108"/>
        <v>21.202540406795411</v>
      </c>
      <c r="K55" s="117">
        <f t="shared" si="108"/>
        <v>26.217494811865421</v>
      </c>
      <c r="L55" s="117">
        <f t="shared" si="108"/>
        <v>31.232449216935436</v>
      </c>
      <c r="M55" s="117">
        <f t="shared" si="108"/>
        <v>31.640987415223311</v>
      </c>
      <c r="N55" s="117">
        <f t="shared" si="108"/>
        <v>32.049525613511186</v>
      </c>
      <c r="O55" s="117">
        <f t="shared" si="108"/>
        <v>32.458063811799065</v>
      </c>
      <c r="P55" s="117">
        <f t="shared" si="108"/>
        <v>32.866602010086936</v>
      </c>
    </row>
    <row r="56" spans="1:17" s="130" customFormat="1" x14ac:dyDescent="0.2">
      <c r="A56" s="29" t="s">
        <v>180</v>
      </c>
      <c r="B56" s="149" t="s">
        <v>210</v>
      </c>
      <c r="C56" s="198">
        <f>SUM(C57:C59)</f>
        <v>101.55254000000001</v>
      </c>
      <c r="D56" s="198">
        <f>SUM(D57:D59)</f>
        <v>101.55254000000001</v>
      </c>
      <c r="E56" s="198">
        <f>SUM(E57:E59)</f>
        <v>101.55254000000001</v>
      </c>
      <c r="F56" s="198">
        <f t="shared" ref="F56:P56" si="109">SUM(F57:F59)</f>
        <v>98.532832432559331</v>
      </c>
      <c r="G56" s="388">
        <f t="shared" si="109"/>
        <v>98.609467999930544</v>
      </c>
      <c r="H56" s="228">
        <f t="shared" si="109"/>
        <v>97.993119332410814</v>
      </c>
      <c r="I56" s="198">
        <f t="shared" si="109"/>
        <v>97.672135872333982</v>
      </c>
      <c r="J56" s="198">
        <f t="shared" si="109"/>
        <v>97.504661233593623</v>
      </c>
      <c r="K56" s="198">
        <f t="shared" si="109"/>
        <v>100.43667430195556</v>
      </c>
      <c r="L56" s="198">
        <f t="shared" si="109"/>
        <v>103.3686873703175</v>
      </c>
      <c r="M56" s="198">
        <f t="shared" si="109"/>
        <v>103.60754085522538</v>
      </c>
      <c r="N56" s="198">
        <f t="shared" si="109"/>
        <v>103.84639434013326</v>
      </c>
      <c r="O56" s="198">
        <f t="shared" si="109"/>
        <v>104.08524782504114</v>
      </c>
      <c r="P56" s="198">
        <f t="shared" si="109"/>
        <v>104.32410130994901</v>
      </c>
    </row>
    <row r="57" spans="1:17" s="341" customFormat="1" x14ac:dyDescent="0.2">
      <c r="A57" s="339"/>
      <c r="B57" s="340" t="s">
        <v>406</v>
      </c>
      <c r="C57" s="111">
        <f>+'[4]4.4.Р_т'!$I$17</f>
        <v>101.55254000000001</v>
      </c>
      <c r="D57" s="111">
        <f>+C57</f>
        <v>101.55254000000001</v>
      </c>
      <c r="E57" s="198">
        <f t="shared" ref="E57" si="110">+D57</f>
        <v>101.55254000000001</v>
      </c>
      <c r="F57" s="198">
        <f t="shared" si="107"/>
        <v>101.55254000000001</v>
      </c>
      <c r="G57" s="388">
        <f t="shared" si="107"/>
        <v>101.55254000000001</v>
      </c>
      <c r="H57" s="228">
        <f t="shared" si="107"/>
        <v>101.55254000000001</v>
      </c>
      <c r="I57" s="198">
        <f t="shared" si="107"/>
        <v>101.55254000000001</v>
      </c>
      <c r="J57" s="198">
        <f t="shared" si="107"/>
        <v>101.55254000000001</v>
      </c>
      <c r="K57" s="198">
        <f t="shared" si="107"/>
        <v>101.55254000000001</v>
      </c>
      <c r="L57" s="198">
        <f t="shared" si="107"/>
        <v>101.55254000000001</v>
      </c>
      <c r="M57" s="198">
        <f t="shared" si="107"/>
        <v>101.55254000000001</v>
      </c>
      <c r="N57" s="198">
        <f t="shared" si="107"/>
        <v>101.55254000000001</v>
      </c>
      <c r="O57" s="198">
        <f t="shared" si="107"/>
        <v>101.55254000000001</v>
      </c>
      <c r="P57" s="198">
        <f t="shared" si="107"/>
        <v>101.55254000000001</v>
      </c>
    </row>
    <row r="58" spans="1:17" s="240" customFormat="1" ht="22.5" x14ac:dyDescent="0.2">
      <c r="A58" s="237"/>
      <c r="B58" s="238" t="s">
        <v>357</v>
      </c>
      <c r="C58" s="241"/>
      <c r="D58" s="241"/>
      <c r="E58" s="241"/>
      <c r="F58" s="462">
        <f>F57*Сети!F$31</f>
        <v>-3.0197075674406726</v>
      </c>
      <c r="G58" s="462">
        <f>G57*Сети!G$31</f>
        <v>-6.5258742736876449</v>
      </c>
      <c r="H58" s="462">
        <f>H57*Сети!H$31</f>
        <v>-10.074236009569317</v>
      </c>
      <c r="I58" s="462">
        <f>I57*Сети!I$31</f>
        <v>-13.327232538008097</v>
      </c>
      <c r="J58" s="462">
        <f>J57*Сети!J$31</f>
        <v>-16.426720245110385</v>
      </c>
      <c r="K58" s="198">
        <f t="shared" si="107"/>
        <v>-16.426720245110385</v>
      </c>
      <c r="L58" s="198">
        <f t="shared" si="107"/>
        <v>-16.426720245110385</v>
      </c>
      <c r="M58" s="198">
        <f t="shared" si="107"/>
        <v>-16.426720245110385</v>
      </c>
      <c r="N58" s="198">
        <f t="shared" si="107"/>
        <v>-16.426720245110385</v>
      </c>
      <c r="O58" s="198">
        <f t="shared" si="107"/>
        <v>-16.426720245110385</v>
      </c>
      <c r="P58" s="198">
        <f t="shared" si="107"/>
        <v>-16.426720245110385</v>
      </c>
    </row>
    <row r="59" spans="1:17" s="265" customFormat="1" x14ac:dyDescent="0.2">
      <c r="A59" s="359"/>
      <c r="B59" s="360" t="s">
        <v>358</v>
      </c>
      <c r="C59" s="241"/>
      <c r="D59" s="117">
        <f>D57/C42*C44</f>
        <v>0</v>
      </c>
      <c r="E59" s="117">
        <f t="shared" ref="E59:P59" si="111">E57/D42*D44</f>
        <v>0</v>
      </c>
      <c r="F59" s="117">
        <f t="shared" si="111"/>
        <v>0</v>
      </c>
      <c r="G59" s="117">
        <f t="shared" si="111"/>
        <v>3.582802273618189</v>
      </c>
      <c r="H59" s="117">
        <f t="shared" si="111"/>
        <v>6.5148153419801274</v>
      </c>
      <c r="I59" s="117">
        <f t="shared" si="111"/>
        <v>9.4468284103420661</v>
      </c>
      <c r="J59" s="117">
        <f t="shared" si="111"/>
        <v>12.378841478704006</v>
      </c>
      <c r="K59" s="117">
        <f t="shared" si="111"/>
        <v>15.310854547065944</v>
      </c>
      <c r="L59" s="117">
        <f t="shared" si="111"/>
        <v>18.242867615427883</v>
      </c>
      <c r="M59" s="117">
        <f t="shared" si="111"/>
        <v>18.481721100335761</v>
      </c>
      <c r="N59" s="117">
        <f t="shared" si="111"/>
        <v>18.720574585243643</v>
      </c>
      <c r="O59" s="117">
        <f t="shared" si="111"/>
        <v>18.959428070151521</v>
      </c>
      <c r="P59" s="117">
        <f t="shared" si="111"/>
        <v>19.198281555059399</v>
      </c>
    </row>
    <row r="60" spans="1:17" x14ac:dyDescent="0.2">
      <c r="A60" s="29" t="s">
        <v>207</v>
      </c>
      <c r="B60" s="3" t="s">
        <v>178</v>
      </c>
      <c r="C60" s="111">
        <f>+'[4]4.4.Р_т'!$E$18</f>
        <v>0.71899999999999997</v>
      </c>
      <c r="D60" s="111">
        <f>+'[4]4.4.Р_т'!$Y$18</f>
        <v>0.82499999999999996</v>
      </c>
      <c r="E60" s="90">
        <f t="shared" ref="E60:P60" si="112">+D60</f>
        <v>0.82499999999999996</v>
      </c>
      <c r="F60" s="90">
        <f t="shared" si="112"/>
        <v>0.82499999999999996</v>
      </c>
      <c r="G60" s="372">
        <f t="shared" si="112"/>
        <v>0.82499999999999996</v>
      </c>
      <c r="H60" s="90">
        <f t="shared" si="112"/>
        <v>0.82499999999999996</v>
      </c>
      <c r="I60" s="423">
        <f t="shared" si="112"/>
        <v>0.82499999999999996</v>
      </c>
      <c r="J60" s="90">
        <f t="shared" si="112"/>
        <v>0.82499999999999996</v>
      </c>
      <c r="K60" s="90">
        <f t="shared" si="112"/>
        <v>0.82499999999999996</v>
      </c>
      <c r="L60" s="90">
        <f t="shared" si="112"/>
        <v>0.82499999999999996</v>
      </c>
      <c r="M60" s="90">
        <f t="shared" si="112"/>
        <v>0.82499999999999996</v>
      </c>
      <c r="N60" s="90">
        <f t="shared" si="112"/>
        <v>0.82499999999999996</v>
      </c>
      <c r="O60" s="90">
        <f t="shared" si="112"/>
        <v>0.82499999999999996</v>
      </c>
      <c r="P60" s="90">
        <f t="shared" si="112"/>
        <v>0.82499999999999996</v>
      </c>
    </row>
    <row r="61" spans="1:17" s="35" customFormat="1" x14ac:dyDescent="0.2">
      <c r="A61" s="112" t="s">
        <v>208</v>
      </c>
      <c r="B61" s="34" t="s">
        <v>179</v>
      </c>
      <c r="C61" s="70">
        <f t="shared" ref="C61:P61" si="113">C60/C51</f>
        <v>2.3318425324575292E-3</v>
      </c>
      <c r="D61" s="70">
        <f t="shared" si="113"/>
        <v>2.4302180320921142E-3</v>
      </c>
      <c r="E61" s="70">
        <f t="shared" si="113"/>
        <v>2.4302180320921142E-3</v>
      </c>
      <c r="F61" s="70">
        <f t="shared" si="113"/>
        <v>2.5046962298751951E-3</v>
      </c>
      <c r="G61" s="375">
        <f t="shared" si="113"/>
        <v>2.5198447528918698E-3</v>
      </c>
      <c r="H61" s="174">
        <f t="shared" si="113"/>
        <v>2.5503388938116255E-3</v>
      </c>
      <c r="I61" s="70">
        <f t="shared" si="113"/>
        <v>2.5736285266413461E-3</v>
      </c>
      <c r="J61" s="70">
        <f t="shared" si="113"/>
        <v>2.5931579969108161E-3</v>
      </c>
      <c r="K61" s="70">
        <f t="shared" si="113"/>
        <v>2.5299618730388641E-3</v>
      </c>
      <c r="L61" s="70">
        <f t="shared" si="113"/>
        <v>2.4697726901776709E-3</v>
      </c>
      <c r="M61" s="70">
        <f t="shared" si="113"/>
        <v>2.464995349025481E-3</v>
      </c>
      <c r="N61" s="70">
        <f t="shared" si="113"/>
        <v>2.4602364540458857E-3</v>
      </c>
      <c r="O61" s="70">
        <f t="shared" si="113"/>
        <v>2.4554958986087614E-3</v>
      </c>
      <c r="P61" s="70">
        <f t="shared" si="113"/>
        <v>2.4507735769042573E-3</v>
      </c>
      <c r="Q61" s="32"/>
    </row>
    <row r="62" spans="1:17" s="114" customFormat="1" x14ac:dyDescent="0.2">
      <c r="A62" s="113">
        <v>9</v>
      </c>
      <c r="B62" s="72" t="s">
        <v>77</v>
      </c>
      <c r="C62" s="78">
        <f>+C51-C60</f>
        <v>307.62085999999999</v>
      </c>
      <c r="D62" s="78">
        <f t="shared" ref="D62:P62" si="114">+D51-D60</f>
        <v>338.65071333333333</v>
      </c>
      <c r="E62" s="78">
        <f t="shared" si="114"/>
        <v>338.65071333333333</v>
      </c>
      <c r="F62" s="78">
        <f t="shared" si="114"/>
        <v>328.55625995466858</v>
      </c>
      <c r="G62" s="389">
        <f t="shared" si="114"/>
        <v>326.57612225294775</v>
      </c>
      <c r="H62" s="103">
        <f t="shared" si="114"/>
        <v>322.66142057016623</v>
      </c>
      <c r="I62" s="78">
        <f t="shared" si="114"/>
        <v>319.73408281240842</v>
      </c>
      <c r="J62" s="78">
        <f t="shared" si="114"/>
        <v>317.31990323490049</v>
      </c>
      <c r="K62" s="78">
        <f t="shared" si="114"/>
        <v>325.26687070833248</v>
      </c>
      <c r="L62" s="78">
        <f t="shared" si="114"/>
        <v>333.2138381817644</v>
      </c>
      <c r="M62" s="78">
        <f t="shared" si="114"/>
        <v>333.86122986496019</v>
      </c>
      <c r="N62" s="78">
        <f t="shared" si="114"/>
        <v>334.50862154815587</v>
      </c>
      <c r="O62" s="78">
        <f t="shared" si="114"/>
        <v>335.15601323135166</v>
      </c>
      <c r="P62" s="78">
        <f t="shared" si="114"/>
        <v>335.8034049145474</v>
      </c>
      <c r="Q62" s="74"/>
    </row>
    <row r="63" spans="1:17" s="32" customFormat="1" x14ac:dyDescent="0.2">
      <c r="A63" s="30"/>
      <c r="B63" s="31" t="s">
        <v>21</v>
      </c>
      <c r="C63" s="116">
        <f>+('[5]6 мес.'!$K$55+'[5]6 мес.'!$Q$55)/1000</f>
        <v>195.32070000000002</v>
      </c>
      <c r="D63" s="118">
        <f>+C63*D62/C62</f>
        <v>215.02278611328899</v>
      </c>
      <c r="E63" s="118">
        <f>+D63*E62/D62</f>
        <v>215.02278611328902</v>
      </c>
      <c r="F63" s="118">
        <f t="shared" ref="F63:P63" si="115">+E63*F62/E62</f>
        <v>208.61341680056373</v>
      </c>
      <c r="G63" s="390">
        <f t="shared" si="115"/>
        <v>207.35614874014516</v>
      </c>
      <c r="H63" s="445">
        <f t="shared" si="115"/>
        <v>204.87054918434106</v>
      </c>
      <c r="I63" s="118">
        <f t="shared" si="115"/>
        <v>203.01186619391677</v>
      </c>
      <c r="J63" s="118">
        <f t="shared" si="115"/>
        <v>201.4790077102478</v>
      </c>
      <c r="K63" s="118">
        <f t="shared" si="115"/>
        <v>206.52485294255087</v>
      </c>
      <c r="L63" s="118">
        <f t="shared" si="115"/>
        <v>211.5706981748539</v>
      </c>
      <c r="M63" s="118">
        <f t="shared" si="115"/>
        <v>211.98175286319974</v>
      </c>
      <c r="N63" s="118">
        <f t="shared" si="115"/>
        <v>212.3928075515455</v>
      </c>
      <c r="O63" s="118">
        <f t="shared" si="115"/>
        <v>212.80386223989134</v>
      </c>
      <c r="P63" s="118">
        <f t="shared" si="115"/>
        <v>213.21491692823713</v>
      </c>
    </row>
    <row r="64" spans="1:17" s="32" customFormat="1" x14ac:dyDescent="0.2">
      <c r="A64" s="33"/>
      <c r="B64" s="34" t="s">
        <v>22</v>
      </c>
      <c r="C64" s="117">
        <f>+C62-C63</f>
        <v>112.30015999999998</v>
      </c>
      <c r="D64" s="117">
        <f t="shared" ref="D64:P64" si="116">+D62-D63</f>
        <v>123.62792722004434</v>
      </c>
      <c r="E64" s="117">
        <f t="shared" si="116"/>
        <v>123.62792722004431</v>
      </c>
      <c r="F64" s="117">
        <f t="shared" si="116"/>
        <v>119.94284315410485</v>
      </c>
      <c r="G64" s="391">
        <f t="shared" si="116"/>
        <v>119.2199735128026</v>
      </c>
      <c r="H64" s="445">
        <f t="shared" si="116"/>
        <v>117.79087138582517</v>
      </c>
      <c r="I64" s="117">
        <f t="shared" si="116"/>
        <v>116.72221661849164</v>
      </c>
      <c r="J64" s="117">
        <f t="shared" si="116"/>
        <v>115.84089552465269</v>
      </c>
      <c r="K64" s="117">
        <f t="shared" si="116"/>
        <v>118.74201776578161</v>
      </c>
      <c r="L64" s="117">
        <f t="shared" si="116"/>
        <v>121.6431400069105</v>
      </c>
      <c r="M64" s="117">
        <f t="shared" si="116"/>
        <v>121.87947700176045</v>
      </c>
      <c r="N64" s="117">
        <f t="shared" si="116"/>
        <v>122.11581399661037</v>
      </c>
      <c r="O64" s="117">
        <f t="shared" si="116"/>
        <v>122.35215099146032</v>
      </c>
      <c r="P64" s="117">
        <f t="shared" si="116"/>
        <v>122.58848798631027</v>
      </c>
    </row>
    <row r="65" spans="1:19" s="24" customFormat="1" x14ac:dyDescent="0.2">
      <c r="A65" s="1"/>
      <c r="B65" s="4"/>
      <c r="C65" s="115"/>
      <c r="D65" s="115"/>
      <c r="E65" s="115"/>
      <c r="F65" s="115"/>
      <c r="G65" s="392"/>
      <c r="H65" s="115"/>
      <c r="I65" s="427"/>
      <c r="J65" s="115"/>
      <c r="K65" s="115"/>
      <c r="L65" s="115"/>
      <c r="M65" s="115"/>
      <c r="N65" s="115"/>
      <c r="O65" s="115"/>
      <c r="P65" s="115"/>
    </row>
    <row r="66" spans="1:19" s="37" customFormat="1" x14ac:dyDescent="0.2">
      <c r="A66" s="1">
        <v>12</v>
      </c>
      <c r="B66" s="4" t="s">
        <v>183</v>
      </c>
      <c r="C66" s="481">
        <f t="shared" ref="C66:P66" si="117">C67+C68</f>
        <v>47063.201911145006</v>
      </c>
      <c r="D66" s="481">
        <f t="shared" si="117"/>
        <v>51962.080863644973</v>
      </c>
      <c r="E66" s="481">
        <f t="shared" si="117"/>
        <v>52044.416406041506</v>
      </c>
      <c r="F66" s="481">
        <f t="shared" si="117"/>
        <v>50663.373382016638</v>
      </c>
      <c r="G66" s="482">
        <f t="shared" si="117"/>
        <v>50207.06160058362</v>
      </c>
      <c r="H66" s="481">
        <f t="shared" si="117"/>
        <v>49636.904944113179</v>
      </c>
      <c r="I66" s="483">
        <f t="shared" si="117"/>
        <v>49179.653811439377</v>
      </c>
      <c r="J66" s="481">
        <f t="shared" si="117"/>
        <v>48824.986439021515</v>
      </c>
      <c r="K66" s="481">
        <f t="shared" si="117"/>
        <v>49958.278592240495</v>
      </c>
      <c r="L66" s="481">
        <f t="shared" si="117"/>
        <v>51091.570745459474</v>
      </c>
      <c r="M66" s="481">
        <f t="shared" si="117"/>
        <v>51183.893246725245</v>
      </c>
      <c r="N66" s="481">
        <f t="shared" si="117"/>
        <v>51276.215747991017</v>
      </c>
      <c r="O66" s="481">
        <f t="shared" si="117"/>
        <v>51368.538249256788</v>
      </c>
      <c r="P66" s="481">
        <f t="shared" si="117"/>
        <v>51460.860750522559</v>
      </c>
      <c r="Q66" s="36"/>
    </row>
    <row r="67" spans="1:19" s="37" customFormat="1" x14ac:dyDescent="0.2">
      <c r="A67" s="1" t="s">
        <v>48</v>
      </c>
      <c r="B67" s="3" t="s">
        <v>181</v>
      </c>
      <c r="C67" s="484">
        <f t="shared" ref="C67:P67" si="118">+(C15-C17)*C70</f>
        <v>6608.4118430174822</v>
      </c>
      <c r="D67" s="484">
        <f t="shared" si="118"/>
        <v>5881.5402755010537</v>
      </c>
      <c r="E67" s="484">
        <f t="shared" si="118"/>
        <v>4540.1440110944377</v>
      </c>
      <c r="F67" s="484">
        <f t="shared" si="118"/>
        <v>3198.7477466878227</v>
      </c>
      <c r="G67" s="485">
        <f t="shared" si="118"/>
        <v>3198.7477466878227</v>
      </c>
      <c r="H67" s="486">
        <f t="shared" si="118"/>
        <v>3198.7477466878227</v>
      </c>
      <c r="I67" s="484">
        <f t="shared" si="118"/>
        <v>3169.8583948508744</v>
      </c>
      <c r="J67" s="484">
        <f t="shared" si="118"/>
        <v>3169.8583948508744</v>
      </c>
      <c r="K67" s="484">
        <f t="shared" si="118"/>
        <v>3169.8583948508744</v>
      </c>
      <c r="L67" s="484">
        <f t="shared" si="118"/>
        <v>3169.8583948508744</v>
      </c>
      <c r="M67" s="484">
        <f t="shared" si="118"/>
        <v>3169.8583948508744</v>
      </c>
      <c r="N67" s="484">
        <f t="shared" si="118"/>
        <v>3169.8583948508744</v>
      </c>
      <c r="O67" s="484">
        <f t="shared" si="118"/>
        <v>3169.8583948508744</v>
      </c>
      <c r="P67" s="484">
        <f t="shared" si="118"/>
        <v>3169.8583948508744</v>
      </c>
      <c r="Q67" s="36"/>
    </row>
    <row r="68" spans="1:19" s="32" customFormat="1" ht="12" thickBot="1" x14ac:dyDescent="0.25">
      <c r="A68" s="39" t="s">
        <v>49</v>
      </c>
      <c r="B68" s="3" t="s">
        <v>182</v>
      </c>
      <c r="C68" s="487">
        <f t="shared" ref="C68:P68" si="119">+C52*C72+C56*C83</f>
        <v>40454.79006812752</v>
      </c>
      <c r="D68" s="487">
        <f t="shared" si="119"/>
        <v>46080.540588143922</v>
      </c>
      <c r="E68" s="487">
        <f t="shared" si="119"/>
        <v>47504.272394947067</v>
      </c>
      <c r="F68" s="487">
        <f t="shared" si="119"/>
        <v>47464.625635328812</v>
      </c>
      <c r="G68" s="485">
        <f t="shared" si="119"/>
        <v>47008.313853895801</v>
      </c>
      <c r="H68" s="486">
        <f t="shared" si="119"/>
        <v>46438.15719742536</v>
      </c>
      <c r="I68" s="484">
        <f t="shared" si="119"/>
        <v>46009.795416588502</v>
      </c>
      <c r="J68" s="484">
        <f t="shared" si="119"/>
        <v>45655.12804417064</v>
      </c>
      <c r="K68" s="484">
        <f t="shared" si="119"/>
        <v>46788.42019738962</v>
      </c>
      <c r="L68" s="484">
        <f t="shared" si="119"/>
        <v>47921.712350608599</v>
      </c>
      <c r="M68" s="484">
        <f t="shared" si="119"/>
        <v>48014.03485187437</v>
      </c>
      <c r="N68" s="484">
        <f t="shared" si="119"/>
        <v>48106.357353140142</v>
      </c>
      <c r="O68" s="484">
        <f t="shared" si="119"/>
        <v>48198.679854405913</v>
      </c>
      <c r="P68" s="484">
        <f t="shared" si="119"/>
        <v>48291.002355671684</v>
      </c>
    </row>
    <row r="69" spans="1:19" s="32" customFormat="1" ht="23.25" thickBot="1" x14ac:dyDescent="0.25">
      <c r="A69" s="33" t="s">
        <v>39</v>
      </c>
      <c r="B69" s="455" t="s">
        <v>242</v>
      </c>
      <c r="C69" s="458">
        <f>+'[4]4.4.Р_т'!$E$22</f>
        <v>387.277988797901</v>
      </c>
      <c r="D69" s="459">
        <f>+'[4]4.4.Р_т'!$O$22</f>
        <v>336.85</v>
      </c>
      <c r="E69" s="459">
        <f>+'[4]4.4.Р_т'!$Y$22</f>
        <v>260.02499999999998</v>
      </c>
      <c r="F69" s="460">
        <f>+'[4]4.4.Р_т'!$Y$164</f>
        <v>183.2</v>
      </c>
      <c r="G69" s="122">
        <f t="shared" ref="G69:P69" si="120">F69</f>
        <v>183.2</v>
      </c>
      <c r="H69" s="122">
        <f t="shared" si="120"/>
        <v>183.2</v>
      </c>
      <c r="I69" s="544">
        <f>H69*(1+I73)</f>
        <v>165.78977547434022</v>
      </c>
      <c r="J69" s="122">
        <f t="shared" si="120"/>
        <v>165.78977547434022</v>
      </c>
      <c r="K69" s="122">
        <f t="shared" si="120"/>
        <v>165.78977547434022</v>
      </c>
      <c r="L69" s="122">
        <f t="shared" si="120"/>
        <v>165.78977547434022</v>
      </c>
      <c r="M69" s="122">
        <f t="shared" si="120"/>
        <v>165.78977547434022</v>
      </c>
      <c r="N69" s="122">
        <f t="shared" si="120"/>
        <v>165.78977547434022</v>
      </c>
      <c r="O69" s="122">
        <f t="shared" si="120"/>
        <v>165.78977547434022</v>
      </c>
      <c r="P69" s="122">
        <f t="shared" si="120"/>
        <v>165.78977547434022</v>
      </c>
    </row>
    <row r="70" spans="1:19" s="32" customFormat="1" ht="23.25" thickBot="1" x14ac:dyDescent="0.25">
      <c r="A70" s="33"/>
      <c r="B70" s="121" t="s">
        <v>243</v>
      </c>
      <c r="C70" s="457">
        <f>+C69/C$84</f>
        <v>333.44902622439798</v>
      </c>
      <c r="D70" s="457">
        <f t="shared" ref="D70:P70" si="121">+D69/D84</f>
        <v>290.03017918042138</v>
      </c>
      <c r="E70" s="457">
        <f t="shared" si="121"/>
        <v>223.88332296686676</v>
      </c>
      <c r="F70" s="457">
        <f t="shared" si="121"/>
        <v>157.73646675331216</v>
      </c>
      <c r="G70" s="122">
        <f t="shared" si="121"/>
        <v>157.73646675331216</v>
      </c>
      <c r="H70" s="122">
        <f t="shared" si="121"/>
        <v>157.73646675331216</v>
      </c>
      <c r="I70" s="122">
        <f t="shared" si="121"/>
        <v>142.74614305211438</v>
      </c>
      <c r="J70" s="122">
        <f t="shared" si="121"/>
        <v>142.74614305211438</v>
      </c>
      <c r="K70" s="122">
        <f t="shared" si="121"/>
        <v>142.74614305211438</v>
      </c>
      <c r="L70" s="122">
        <f t="shared" si="121"/>
        <v>142.74614305211438</v>
      </c>
      <c r="M70" s="122">
        <f t="shared" si="121"/>
        <v>142.74614305211438</v>
      </c>
      <c r="N70" s="122">
        <f t="shared" si="121"/>
        <v>142.74614305211438</v>
      </c>
      <c r="O70" s="122">
        <f t="shared" si="121"/>
        <v>142.74614305211438</v>
      </c>
      <c r="P70" s="122">
        <f t="shared" si="121"/>
        <v>142.74614305211438</v>
      </c>
    </row>
    <row r="71" spans="1:19" s="32" customFormat="1" ht="23.25" thickBot="1" x14ac:dyDescent="0.25">
      <c r="A71" s="33"/>
      <c r="B71" s="455" t="s">
        <v>244</v>
      </c>
      <c r="C71" s="458">
        <f>+'[4]4.4.Р_т'!$E$25</f>
        <v>152.56357381952233</v>
      </c>
      <c r="D71" s="459">
        <f>+'[4]4.4.Р_т'!$O$25</f>
        <v>158.69999999999999</v>
      </c>
      <c r="E71" s="459">
        <f>+'[4]4.4.Р_т'!$Y$25</f>
        <v>165.65</v>
      </c>
      <c r="F71" s="460">
        <f>+'[4]4.4.Р_т'!$Z$164</f>
        <v>172.6</v>
      </c>
      <c r="G71" s="544">
        <f>F71*(1+G76)</f>
        <v>171.78326699930074</v>
      </c>
      <c r="H71" s="122">
        <f t="shared" ref="H71:P71" si="122">G71</f>
        <v>171.78326699930074</v>
      </c>
      <c r="I71" s="122">
        <f t="shared" si="122"/>
        <v>171.78326699930074</v>
      </c>
      <c r="J71" s="122">
        <f t="shared" si="122"/>
        <v>171.78326699930074</v>
      </c>
      <c r="K71" s="122">
        <f t="shared" si="122"/>
        <v>171.78326699930074</v>
      </c>
      <c r="L71" s="122">
        <f t="shared" si="122"/>
        <v>171.78326699930074</v>
      </c>
      <c r="M71" s="122">
        <f t="shared" si="122"/>
        <v>171.78326699930074</v>
      </c>
      <c r="N71" s="122">
        <f t="shared" si="122"/>
        <v>171.78326699930074</v>
      </c>
      <c r="O71" s="122">
        <f t="shared" si="122"/>
        <v>171.78326699930074</v>
      </c>
      <c r="P71" s="122">
        <f t="shared" si="122"/>
        <v>171.78326699930074</v>
      </c>
    </row>
    <row r="72" spans="1:19" s="32" customFormat="1" ht="22.5" x14ac:dyDescent="0.2">
      <c r="A72" s="33"/>
      <c r="B72" s="121" t="s">
        <v>245</v>
      </c>
      <c r="C72" s="456">
        <f t="shared" ref="C72:P72" si="123">+C71/C$84</f>
        <v>131.35829197352385</v>
      </c>
      <c r="D72" s="456">
        <f t="shared" si="123"/>
        <v>136.64179734580043</v>
      </c>
      <c r="E72" s="456">
        <f t="shared" si="123"/>
        <v>142.62579540221702</v>
      </c>
      <c r="F72" s="456">
        <f t="shared" si="123"/>
        <v>148.60979345863362</v>
      </c>
      <c r="G72" s="394">
        <f t="shared" si="123"/>
        <v>147.90658069765581</v>
      </c>
      <c r="H72" s="446">
        <f t="shared" si="123"/>
        <v>147.90658069765581</v>
      </c>
      <c r="I72" s="122">
        <f t="shared" si="123"/>
        <v>147.90658069765581</v>
      </c>
      <c r="J72" s="122">
        <f t="shared" si="123"/>
        <v>147.90658069765581</v>
      </c>
      <c r="K72" s="122">
        <f t="shared" si="123"/>
        <v>147.90658069765581</v>
      </c>
      <c r="L72" s="122">
        <f t="shared" si="123"/>
        <v>147.90658069765581</v>
      </c>
      <c r="M72" s="122">
        <f t="shared" si="123"/>
        <v>147.90658069765581</v>
      </c>
      <c r="N72" s="122">
        <f t="shared" si="123"/>
        <v>147.90658069765581</v>
      </c>
      <c r="O72" s="122">
        <f t="shared" si="123"/>
        <v>147.90658069765581</v>
      </c>
      <c r="P72" s="122">
        <f t="shared" si="123"/>
        <v>147.90658069765581</v>
      </c>
    </row>
    <row r="73" spans="1:19" s="295" customFormat="1" ht="22.5" x14ac:dyDescent="0.2">
      <c r="A73" s="293"/>
      <c r="B73" s="246" t="s">
        <v>518</v>
      </c>
      <c r="C73" s="344"/>
      <c r="D73" s="344"/>
      <c r="E73" s="541"/>
      <c r="F73" s="541"/>
      <c r="G73" s="546">
        <f>SUM(G74:G75)</f>
        <v>0</v>
      </c>
      <c r="H73" s="546">
        <f>SUM(H74:H75)</f>
        <v>0</v>
      </c>
      <c r="I73" s="546">
        <f>SUM(I74:I75)</f>
        <v>-9.5033976668448483E-2</v>
      </c>
      <c r="J73" s="542"/>
      <c r="K73" s="542"/>
      <c r="L73" s="542"/>
      <c r="M73" s="345"/>
      <c r="N73" s="345"/>
      <c r="O73" s="345"/>
      <c r="P73" s="345"/>
      <c r="S73" s="545">
        <f>1826/(H67*7000*H84/1000)</f>
        <v>7.0214915806774594E-2</v>
      </c>
    </row>
    <row r="74" spans="1:19" s="295" customFormat="1" ht="45" x14ac:dyDescent="0.2">
      <c r="A74" s="293"/>
      <c r="B74" s="248" t="s">
        <v>516</v>
      </c>
      <c r="C74" s="344"/>
      <c r="D74" s="344"/>
      <c r="E74" s="541"/>
      <c r="F74" s="541"/>
      <c r="G74" s="541"/>
      <c r="H74" s="541"/>
      <c r="I74" s="543">
        <f>-(I15-I17)/(H15-H17)+1</f>
        <v>-9.5033976668448483E-2</v>
      </c>
      <c r="J74" s="542"/>
      <c r="K74" s="542"/>
      <c r="L74" s="542"/>
      <c r="M74" s="345"/>
      <c r="N74" s="345"/>
      <c r="O74" s="345"/>
      <c r="P74" s="345"/>
    </row>
    <row r="75" spans="1:19" s="247" customFormat="1" x14ac:dyDescent="0.2">
      <c r="A75" s="244"/>
      <c r="B75" s="246"/>
      <c r="C75" s="342"/>
      <c r="D75" s="342"/>
      <c r="E75" s="547"/>
      <c r="F75" s="547"/>
      <c r="G75" s="547"/>
      <c r="H75" s="547"/>
      <c r="I75" s="548"/>
      <c r="J75" s="548"/>
      <c r="K75" s="548"/>
      <c r="L75" s="548"/>
      <c r="M75" s="243"/>
      <c r="N75" s="243"/>
      <c r="O75" s="243"/>
      <c r="P75" s="243"/>
      <c r="Q75" s="343"/>
    </row>
    <row r="76" spans="1:19" s="295" customFormat="1" ht="22.5" x14ac:dyDescent="0.2">
      <c r="A76" s="293"/>
      <c r="B76" s="246" t="s">
        <v>522</v>
      </c>
      <c r="C76" s="344"/>
      <c r="D76" s="344"/>
      <c r="E76" s="541"/>
      <c r="F76" s="541"/>
      <c r="G76" s="546">
        <f>SUM(G77:G78)</f>
        <v>-4.7319409078752216E-3</v>
      </c>
      <c r="H76" s="546">
        <f>SUM(H77:H78)</f>
        <v>0</v>
      </c>
      <c r="I76" s="546">
        <f>SUM(I77:I78)</f>
        <v>0</v>
      </c>
      <c r="J76" s="542"/>
      <c r="K76" s="542"/>
      <c r="L76" s="542"/>
      <c r="M76" s="345"/>
      <c r="N76" s="345"/>
      <c r="O76" s="345"/>
      <c r="P76" s="345"/>
      <c r="S76" s="545">
        <f>1826/(H71*7000*H88/1000)</f>
        <v>1.6231235970952975</v>
      </c>
    </row>
    <row r="77" spans="1:19" s="295" customFormat="1" ht="33.75" x14ac:dyDescent="0.2">
      <c r="A77" s="293"/>
      <c r="B77" s="248" t="s">
        <v>519</v>
      </c>
      <c r="C77" s="344"/>
      <c r="D77" s="344"/>
      <c r="E77" s="541"/>
      <c r="F77" s="541"/>
      <c r="G77" s="470">
        <f>-1826/(F68*7000*F84/1000)</f>
        <v>-4.7319409078752216E-3</v>
      </c>
      <c r="H77" s="541"/>
      <c r="I77" s="541"/>
      <c r="J77" s="542"/>
      <c r="K77" s="542"/>
      <c r="L77" s="542"/>
      <c r="M77" s="345"/>
      <c r="N77" s="345"/>
      <c r="O77" s="345"/>
      <c r="P77" s="345"/>
    </row>
    <row r="78" spans="1:19" s="247" customFormat="1" x14ac:dyDescent="0.2">
      <c r="A78" s="244"/>
      <c r="B78" s="246"/>
      <c r="C78" s="342"/>
      <c r="D78" s="342"/>
      <c r="E78" s="547"/>
      <c r="F78" s="547"/>
      <c r="G78" s="547"/>
      <c r="H78" s="547"/>
      <c r="I78" s="548"/>
      <c r="J78" s="548"/>
      <c r="K78" s="548"/>
      <c r="L78" s="548"/>
      <c r="M78" s="243"/>
      <c r="N78" s="243"/>
      <c r="O78" s="243"/>
      <c r="P78" s="243"/>
      <c r="Q78" s="343"/>
    </row>
    <row r="79" spans="1:19" s="32" customFormat="1" ht="22.5" x14ac:dyDescent="0.2">
      <c r="A79" s="33"/>
      <c r="B79" s="121" t="s">
        <v>211</v>
      </c>
      <c r="C79" s="122">
        <f>SUM(C80:C82)</f>
        <v>152.01223918180676</v>
      </c>
      <c r="D79" s="122">
        <f t="shared" ref="D79:P79" si="124">SUM(D80:D82)</f>
        <v>155.19999999999999</v>
      </c>
      <c r="E79" s="122">
        <f t="shared" si="124"/>
        <v>155.19999999999999</v>
      </c>
      <c r="F79" s="122">
        <f t="shared" si="124"/>
        <v>155.1</v>
      </c>
      <c r="G79" s="394">
        <f t="shared" si="124"/>
        <v>155.1</v>
      </c>
      <c r="H79" s="446">
        <f t="shared" si="124"/>
        <v>155.1</v>
      </c>
      <c r="I79" s="122">
        <f t="shared" si="124"/>
        <v>155.1</v>
      </c>
      <c r="J79" s="122">
        <f t="shared" si="124"/>
        <v>155.1</v>
      </c>
      <c r="K79" s="122">
        <f t="shared" si="124"/>
        <v>155.1</v>
      </c>
      <c r="L79" s="122">
        <f t="shared" si="124"/>
        <v>155.1</v>
      </c>
      <c r="M79" s="122">
        <f t="shared" si="124"/>
        <v>155.1</v>
      </c>
      <c r="N79" s="122">
        <f t="shared" si="124"/>
        <v>155.1</v>
      </c>
      <c r="O79" s="122">
        <f t="shared" si="124"/>
        <v>155.1</v>
      </c>
      <c r="P79" s="122">
        <f t="shared" si="124"/>
        <v>155.1</v>
      </c>
    </row>
    <row r="80" spans="1:19" s="247" customFormat="1" x14ac:dyDescent="0.2">
      <c r="A80" s="244"/>
      <c r="B80" s="246" t="s">
        <v>407</v>
      </c>
      <c r="C80" s="346">
        <f>+'[4]4.4.Р_т'!$I$25</f>
        <v>152.01223918180676</v>
      </c>
      <c r="D80" s="346">
        <f>+'[4]4.4.Р_т'!$S$25</f>
        <v>155.19999999999999</v>
      </c>
      <c r="E80" s="346">
        <f>+D80</f>
        <v>155.19999999999999</v>
      </c>
      <c r="F80" s="347">
        <f>+E80</f>
        <v>155.19999999999999</v>
      </c>
      <c r="G80" s="395">
        <f t="shared" ref="G80:P81" si="125">+F80</f>
        <v>155.19999999999999</v>
      </c>
      <c r="H80" s="446">
        <f t="shared" si="125"/>
        <v>155.19999999999999</v>
      </c>
      <c r="I80" s="347">
        <f t="shared" si="125"/>
        <v>155.19999999999999</v>
      </c>
      <c r="J80" s="347">
        <f t="shared" si="125"/>
        <v>155.19999999999999</v>
      </c>
      <c r="K80" s="347">
        <f t="shared" si="125"/>
        <v>155.19999999999999</v>
      </c>
      <c r="L80" s="347">
        <f t="shared" si="125"/>
        <v>155.19999999999999</v>
      </c>
      <c r="M80" s="347">
        <f t="shared" si="125"/>
        <v>155.19999999999999</v>
      </c>
      <c r="N80" s="347">
        <f t="shared" si="125"/>
        <v>155.19999999999999</v>
      </c>
      <c r="O80" s="347">
        <f t="shared" si="125"/>
        <v>155.19999999999999</v>
      </c>
      <c r="P80" s="347">
        <f t="shared" si="125"/>
        <v>155.19999999999999</v>
      </c>
    </row>
    <row r="81" spans="1:17" s="343" customFormat="1" ht="22.5" x14ac:dyDescent="0.2">
      <c r="A81" s="551"/>
      <c r="B81" s="552" t="s">
        <v>524</v>
      </c>
      <c r="C81" s="342"/>
      <c r="D81" s="342"/>
      <c r="E81" s="342"/>
      <c r="F81" s="553">
        <v>-0.1</v>
      </c>
      <c r="G81" s="446">
        <f>+F81</f>
        <v>-0.1</v>
      </c>
      <c r="H81" s="446">
        <f>+G81</f>
        <v>-0.1</v>
      </c>
      <c r="I81" s="446">
        <f t="shared" si="125"/>
        <v>-0.1</v>
      </c>
      <c r="J81" s="446">
        <f t="shared" si="125"/>
        <v>-0.1</v>
      </c>
      <c r="K81" s="446">
        <f t="shared" si="125"/>
        <v>-0.1</v>
      </c>
      <c r="L81" s="446">
        <f t="shared" si="125"/>
        <v>-0.1</v>
      </c>
      <c r="M81" s="446">
        <f t="shared" si="125"/>
        <v>-0.1</v>
      </c>
      <c r="N81" s="446">
        <f t="shared" si="125"/>
        <v>-0.1</v>
      </c>
      <c r="O81" s="446">
        <f t="shared" si="125"/>
        <v>-0.1</v>
      </c>
      <c r="P81" s="446">
        <f t="shared" si="125"/>
        <v>-0.1</v>
      </c>
    </row>
    <row r="82" spans="1:17" s="247" customFormat="1" x14ac:dyDescent="0.2">
      <c r="A82" s="244"/>
      <c r="B82" s="246"/>
      <c r="C82" s="342"/>
      <c r="D82" s="342"/>
      <c r="E82" s="342"/>
      <c r="F82" s="342"/>
      <c r="G82" s="342"/>
      <c r="H82" s="342"/>
      <c r="I82" s="342"/>
      <c r="J82" s="342"/>
      <c r="K82" s="342"/>
      <c r="L82" s="342"/>
      <c r="M82" s="342"/>
      <c r="N82" s="342"/>
      <c r="O82" s="342"/>
      <c r="P82" s="342"/>
    </row>
    <row r="83" spans="1:17" s="32" customFormat="1" ht="22.5" x14ac:dyDescent="0.2">
      <c r="A83" s="33"/>
      <c r="B83" s="121" t="s">
        <v>212</v>
      </c>
      <c r="C83" s="122">
        <f>+C79/C84</f>
        <v>130.8835890381965</v>
      </c>
      <c r="D83" s="122">
        <f t="shared" ref="D83:P83" si="126">+D79/D84</f>
        <v>133.62827314472733</v>
      </c>
      <c r="E83" s="122">
        <f t="shared" si="126"/>
        <v>133.62827314472733</v>
      </c>
      <c r="F83" s="122">
        <f t="shared" si="126"/>
        <v>133.54217245326808</v>
      </c>
      <c r="G83" s="394">
        <f t="shared" si="126"/>
        <v>133.54217245326808</v>
      </c>
      <c r="H83" s="446">
        <f t="shared" si="126"/>
        <v>133.54217245326808</v>
      </c>
      <c r="I83" s="122">
        <f t="shared" si="126"/>
        <v>133.54217245326808</v>
      </c>
      <c r="J83" s="122">
        <f t="shared" si="126"/>
        <v>133.54217245326808</v>
      </c>
      <c r="K83" s="122">
        <f t="shared" si="126"/>
        <v>133.54217245326808</v>
      </c>
      <c r="L83" s="122">
        <f t="shared" si="126"/>
        <v>133.54217245326808</v>
      </c>
      <c r="M83" s="122">
        <f t="shared" si="126"/>
        <v>133.54217245326808</v>
      </c>
      <c r="N83" s="122">
        <f t="shared" si="126"/>
        <v>133.54217245326808</v>
      </c>
      <c r="O83" s="122">
        <f t="shared" si="126"/>
        <v>133.54217245326808</v>
      </c>
      <c r="P83" s="122">
        <f t="shared" si="126"/>
        <v>133.54217245326808</v>
      </c>
    </row>
    <row r="84" spans="1:17" s="32" customFormat="1" x14ac:dyDescent="0.2">
      <c r="A84" s="39" t="s">
        <v>40</v>
      </c>
      <c r="B84" s="46" t="s">
        <v>41</v>
      </c>
      <c r="C84" s="161">
        <f>+'[4]4.4.Р_т'!$E$49</f>
        <v>1.1614308585123241</v>
      </c>
      <c r="D84" s="162">
        <f>+C84</f>
        <v>1.1614308585123241</v>
      </c>
      <c r="E84" s="162">
        <f t="shared" ref="E84:P84" si="127">+D84</f>
        <v>1.1614308585123241</v>
      </c>
      <c r="F84" s="162">
        <f t="shared" si="127"/>
        <v>1.1614308585123241</v>
      </c>
      <c r="G84" s="396">
        <f t="shared" si="127"/>
        <v>1.1614308585123241</v>
      </c>
      <c r="H84" s="162">
        <f t="shared" si="127"/>
        <v>1.1614308585123241</v>
      </c>
      <c r="I84" s="429">
        <f t="shared" si="127"/>
        <v>1.1614308585123241</v>
      </c>
      <c r="J84" s="162">
        <f t="shared" si="127"/>
        <v>1.1614308585123241</v>
      </c>
      <c r="K84" s="162">
        <f t="shared" si="127"/>
        <v>1.1614308585123241</v>
      </c>
      <c r="L84" s="162">
        <f t="shared" si="127"/>
        <v>1.1614308585123241</v>
      </c>
      <c r="M84" s="162">
        <f t="shared" si="127"/>
        <v>1.1614308585123241</v>
      </c>
      <c r="N84" s="162">
        <f t="shared" si="127"/>
        <v>1.1614308585123241</v>
      </c>
      <c r="O84" s="162">
        <f t="shared" si="127"/>
        <v>1.1614308585123241</v>
      </c>
      <c r="P84" s="162">
        <f t="shared" si="127"/>
        <v>1.1614308585123241</v>
      </c>
      <c r="Q84" s="38"/>
    </row>
    <row r="85" spans="1:17" s="32" customFormat="1" x14ac:dyDescent="0.2">
      <c r="A85" s="39"/>
      <c r="B85" s="46" t="s">
        <v>236</v>
      </c>
      <c r="C85" s="123">
        <f t="shared" ref="C85" si="128">C86+C87</f>
        <v>54660.654999999992</v>
      </c>
      <c r="D85" s="123">
        <f t="shared" ref="D85" si="129">D86+D87</f>
        <v>60350.364187549989</v>
      </c>
      <c r="E85" s="123">
        <f t="shared" ref="E85" si="130">E86+E87</f>
        <v>60445.99122724167</v>
      </c>
      <c r="F85" s="123">
        <f t="shared" ref="F85" si="131">F86+F87</f>
        <v>58842.005242206011</v>
      </c>
      <c r="G85" s="393">
        <f t="shared" ref="G85" si="132">G86+G87</f>
        <v>58312.030658146978</v>
      </c>
      <c r="H85" s="123">
        <f t="shared" ref="H85" si="133">H86+H87</f>
        <v>57649.833123135999</v>
      </c>
      <c r="I85" s="428">
        <f t="shared" ref="I85" si="134">I86+I87</f>
        <v>57118.767547558928</v>
      </c>
      <c r="J85" s="123">
        <f t="shared" ref="J85" si="135">J86+J87</f>
        <v>56706.845916725339</v>
      </c>
      <c r="K85" s="123">
        <f t="shared" ref="K85" si="136">K86+K87</f>
        <v>58023.086395183738</v>
      </c>
      <c r="L85" s="123">
        <f t="shared" ref="L85" si="137">L86+L87</f>
        <v>59339.326873642138</v>
      </c>
      <c r="M85" s="123">
        <f t="shared" ref="M85" si="138">M86+M87</f>
        <v>59446.55307554725</v>
      </c>
      <c r="N85" s="123">
        <f t="shared" ref="N85" si="139">N86+N87</f>
        <v>59553.779277452362</v>
      </c>
      <c r="O85" s="123">
        <f t="shared" ref="O85" si="140">O86+O87</f>
        <v>59661.005479357467</v>
      </c>
      <c r="P85" s="123">
        <f t="shared" ref="P85" si="141">P86+P87</f>
        <v>59768.23168126258</v>
      </c>
      <c r="Q85" s="217"/>
    </row>
    <row r="86" spans="1:17" s="8" customFormat="1" x14ac:dyDescent="0.2">
      <c r="A86" s="1"/>
      <c r="B86" s="83" t="s">
        <v>237</v>
      </c>
      <c r="C86" s="175">
        <f t="shared" ref="C86:P86" si="142">+C67*C$84</f>
        <v>7675.2134402388037</v>
      </c>
      <c r="D86" s="175">
        <f t="shared" si="142"/>
        <v>6831.0023715500001</v>
      </c>
      <c r="E86" s="175">
        <f t="shared" si="142"/>
        <v>5273.0633565749995</v>
      </c>
      <c r="F86" s="175">
        <f t="shared" si="142"/>
        <v>3715.1243416000002</v>
      </c>
      <c r="G86" s="397">
        <f t="shared" si="142"/>
        <v>3715.1243416000002</v>
      </c>
      <c r="H86" s="175">
        <f t="shared" si="142"/>
        <v>3715.1243416000002</v>
      </c>
      <c r="I86" s="95">
        <f t="shared" si="142"/>
        <v>3681.5713568941487</v>
      </c>
      <c r="J86" s="175">
        <f t="shared" si="142"/>
        <v>3681.5713568941487</v>
      </c>
      <c r="K86" s="175">
        <f t="shared" si="142"/>
        <v>3681.5713568941487</v>
      </c>
      <c r="L86" s="175">
        <f t="shared" si="142"/>
        <v>3681.5713568941487</v>
      </c>
      <c r="M86" s="175">
        <f t="shared" si="142"/>
        <v>3681.5713568941487</v>
      </c>
      <c r="N86" s="175">
        <f t="shared" si="142"/>
        <v>3681.5713568941487</v>
      </c>
      <c r="O86" s="175">
        <f t="shared" si="142"/>
        <v>3681.5713568941487</v>
      </c>
      <c r="P86" s="175">
        <f t="shared" si="142"/>
        <v>3681.5713568941487</v>
      </c>
      <c r="Q86" s="13"/>
    </row>
    <row r="87" spans="1:17" s="8" customFormat="1" x14ac:dyDescent="0.2">
      <c r="A87" s="1"/>
      <c r="B87" s="83" t="s">
        <v>238</v>
      </c>
      <c r="C87" s="175">
        <f t="shared" ref="C87:P87" si="143">+C68*C$84</f>
        <v>46985.441559761188</v>
      </c>
      <c r="D87" s="175">
        <f t="shared" si="143"/>
        <v>53519.36181599999</v>
      </c>
      <c r="E87" s="175">
        <f t="shared" si="143"/>
        <v>55172.927870666674</v>
      </c>
      <c r="F87" s="175">
        <f t="shared" si="143"/>
        <v>55126.880900606011</v>
      </c>
      <c r="G87" s="397">
        <f t="shared" si="143"/>
        <v>54596.906316546978</v>
      </c>
      <c r="H87" s="175">
        <f t="shared" si="143"/>
        <v>53934.708781535999</v>
      </c>
      <c r="I87" s="95">
        <f t="shared" si="143"/>
        <v>53437.196190664778</v>
      </c>
      <c r="J87" s="175">
        <f t="shared" si="143"/>
        <v>53025.274559831189</v>
      </c>
      <c r="K87" s="175">
        <f t="shared" si="143"/>
        <v>54341.515038289588</v>
      </c>
      <c r="L87" s="175">
        <f t="shared" si="143"/>
        <v>55657.755516747988</v>
      </c>
      <c r="M87" s="175">
        <f t="shared" si="143"/>
        <v>55764.9817186531</v>
      </c>
      <c r="N87" s="175">
        <f t="shared" si="143"/>
        <v>55872.207920558212</v>
      </c>
      <c r="O87" s="175">
        <f t="shared" si="143"/>
        <v>55979.434122463317</v>
      </c>
      <c r="P87" s="175">
        <f t="shared" si="143"/>
        <v>56086.660324368429</v>
      </c>
      <c r="Q87" s="13"/>
    </row>
    <row r="88" spans="1:17" s="37" customFormat="1" x14ac:dyDescent="0.2">
      <c r="A88" s="1"/>
      <c r="B88" s="100" t="s">
        <v>239</v>
      </c>
      <c r="C88" s="174">
        <f>+C87/C85</f>
        <v>0.85958431269733582</v>
      </c>
      <c r="D88" s="174">
        <f t="shared" ref="D88:P88" si="144">+D87/D85</f>
        <v>0.88681091715832261</v>
      </c>
      <c r="E88" s="174">
        <f t="shared" si="144"/>
        <v>0.9127640518500002</v>
      </c>
      <c r="F88" s="174">
        <f t="shared" si="144"/>
        <v>0.93686271692632206</v>
      </c>
      <c r="G88" s="386">
        <f t="shared" si="144"/>
        <v>0.93628888756456041</v>
      </c>
      <c r="H88" s="174">
        <f t="shared" si="144"/>
        <v>0.93555706685802964</v>
      </c>
      <c r="I88" s="70">
        <f t="shared" si="144"/>
        <v>0.93554532923300993</v>
      </c>
      <c r="J88" s="174">
        <f t="shared" si="144"/>
        <v>0.93507712697862655</v>
      </c>
      <c r="K88" s="174">
        <f t="shared" si="144"/>
        <v>0.93654988754269819</v>
      </c>
      <c r="L88" s="174">
        <f t="shared" si="144"/>
        <v>0.93795731177177433</v>
      </c>
      <c r="M88" s="174">
        <f t="shared" si="144"/>
        <v>0.93806922072983023</v>
      </c>
      <c r="N88" s="174">
        <f t="shared" si="144"/>
        <v>0.93818072670514752</v>
      </c>
      <c r="O88" s="174">
        <f t="shared" si="144"/>
        <v>0.93829183187051779</v>
      </c>
      <c r="P88" s="174">
        <f t="shared" si="144"/>
        <v>0.93840253838314025</v>
      </c>
      <c r="Q88" s="36"/>
    </row>
    <row r="89" spans="1:17" s="144" customFormat="1" x14ac:dyDescent="0.2">
      <c r="A89" s="64"/>
      <c r="B89" s="148"/>
      <c r="C89" s="215"/>
      <c r="D89" s="215"/>
      <c r="E89" s="215"/>
      <c r="F89" s="215"/>
      <c r="G89" s="387"/>
      <c r="H89" s="215"/>
      <c r="I89" s="367"/>
      <c r="J89" s="215"/>
      <c r="K89" s="215"/>
      <c r="L89" s="215"/>
      <c r="M89" s="215"/>
      <c r="N89" s="215"/>
      <c r="O89" s="215"/>
      <c r="P89" s="215"/>
      <c r="Q89" s="143"/>
    </row>
    <row r="90" spans="1:17" s="16" customFormat="1" ht="12" thickBot="1" x14ac:dyDescent="0.25">
      <c r="A90" s="1"/>
      <c r="B90" s="163" t="s">
        <v>9</v>
      </c>
      <c r="C90" s="47"/>
      <c r="D90" s="26"/>
      <c r="E90" s="26"/>
      <c r="F90" s="26"/>
      <c r="G90" s="398"/>
      <c r="H90" s="26"/>
      <c r="I90" s="25"/>
      <c r="J90" s="26"/>
      <c r="K90" s="26"/>
      <c r="L90" s="26"/>
      <c r="M90" s="26"/>
      <c r="N90" s="26"/>
      <c r="O90" s="26"/>
      <c r="P90" s="26"/>
      <c r="Q90" s="24"/>
    </row>
    <row r="91" spans="1:17" s="82" customFormat="1" x14ac:dyDescent="0.2">
      <c r="A91" s="2">
        <v>17</v>
      </c>
      <c r="B91" s="80" t="s">
        <v>192</v>
      </c>
      <c r="C91" s="464">
        <f>+[8]ГОД!$L$19</f>
        <v>129230.14983892316</v>
      </c>
      <c r="D91" s="464">
        <f>+[9]ГОД!$J$19</f>
        <v>133495.08264229706</v>
      </c>
      <c r="E91" s="128">
        <f>D91*(E92)</f>
        <v>138842.4365235001</v>
      </c>
      <c r="F91" s="128">
        <f t="shared" ref="F91" si="145">E91*(F92)</f>
        <v>144403.98701003758</v>
      </c>
      <c r="G91" s="128">
        <f t="shared" ref="G91" si="146">F91*(G92)</f>
        <v>150188.31408123308</v>
      </c>
      <c r="H91" s="469">
        <f>+C91*103.9%*106%</f>
        <v>142326.33322359965</v>
      </c>
      <c r="I91" s="469">
        <f>+H91/106%*113%</f>
        <v>151725.2420213845</v>
      </c>
      <c r="J91" s="469">
        <f>+I91/113%*120%</f>
        <v>161124.15081916939</v>
      </c>
      <c r="K91" s="128">
        <f t="shared" ref="K91" si="147">J91*(K92)</f>
        <v>167578.23014692316</v>
      </c>
      <c r="L91" s="128">
        <f t="shared" ref="L91" si="148">K91*(L92)</f>
        <v>174290.83769504094</v>
      </c>
      <c r="M91" s="128">
        <f t="shared" ref="M91" si="149">L91*(M92)</f>
        <v>181272.32921487474</v>
      </c>
      <c r="N91" s="128">
        <f t="shared" ref="N91" si="150">M91*(N92)</f>
        <v>188533.47527355925</v>
      </c>
      <c r="O91" s="128">
        <f t="shared" ref="O91" si="151">N91*(O92)</f>
        <v>196085.47787010539</v>
      </c>
      <c r="P91" s="128">
        <f t="shared" ref="P91" si="152">O91*(P92)</f>
        <v>203939.9877170774</v>
      </c>
      <c r="Q91" s="81"/>
    </row>
    <row r="92" spans="1:17" s="41" customFormat="1" ht="12" thickBot="1" x14ac:dyDescent="0.25">
      <c r="A92" s="2">
        <v>18</v>
      </c>
      <c r="B92" s="40" t="s">
        <v>8</v>
      </c>
      <c r="C92" s="43"/>
      <c r="D92" s="70">
        <f>+D91/C91</f>
        <v>1.0330026143952464</v>
      </c>
      <c r="E92" s="467">
        <f>+'[10]1.пч1-СPI баз'!$M$5/100</f>
        <v>1.040056560701426</v>
      </c>
      <c r="F92" s="70">
        <f t="shared" ref="F92:P92" si="153">+E92</f>
        <v>1.040056560701426</v>
      </c>
      <c r="G92" s="70">
        <f t="shared" si="153"/>
        <v>1.040056560701426</v>
      </c>
      <c r="H92" s="468">
        <f>+G92*106%</f>
        <v>1.1024599543435116</v>
      </c>
      <c r="I92" s="468">
        <f>+G92/106%*113%</f>
        <v>1.1087395411251049</v>
      </c>
      <c r="J92" s="468">
        <f>+G92/113%*120%</f>
        <v>1.1044848432227534</v>
      </c>
      <c r="K92" s="465">
        <f>+G92</f>
        <v>1.040056560701426</v>
      </c>
      <c r="L92" s="70">
        <f t="shared" si="153"/>
        <v>1.040056560701426</v>
      </c>
      <c r="M92" s="70">
        <f t="shared" si="153"/>
        <v>1.040056560701426</v>
      </c>
      <c r="N92" s="70">
        <f t="shared" si="153"/>
        <v>1.040056560701426</v>
      </c>
      <c r="O92" s="70">
        <f t="shared" si="153"/>
        <v>1.040056560701426</v>
      </c>
      <c r="P92" s="70">
        <f t="shared" si="153"/>
        <v>1.040056560701426</v>
      </c>
      <c r="Q92" s="11"/>
    </row>
    <row r="93" spans="1:17" s="11" customFormat="1" x14ac:dyDescent="0.2">
      <c r="A93" s="2" t="s">
        <v>50</v>
      </c>
      <c r="B93" s="80" t="s">
        <v>461</v>
      </c>
      <c r="C93" s="127">
        <f>+[8]ГОД!$L$12*10</f>
        <v>1189.9545217965053</v>
      </c>
      <c r="D93" s="127">
        <f>+[9]ГОД!$J$12*10</f>
        <v>1205.0791085144335</v>
      </c>
      <c r="E93" s="128">
        <f>D93*(E94)</f>
        <v>1220.3959320945257</v>
      </c>
      <c r="F93" s="128">
        <f t="shared" ref="F93:P93" si="154">E93*(F94)</f>
        <v>1235.9074359100698</v>
      </c>
      <c r="G93" s="128">
        <f t="shared" si="154"/>
        <v>1251.6160943901716</v>
      </c>
      <c r="H93" s="128">
        <f t="shared" si="154"/>
        <v>1267.5244134144814</v>
      </c>
      <c r="I93" s="128">
        <f t="shared" si="154"/>
        <v>1283.6349307129371</v>
      </c>
      <c r="J93" s="128">
        <f t="shared" si="154"/>
        <v>1299.9502162705894</v>
      </c>
      <c r="K93" s="128">
        <f t="shared" si="154"/>
        <v>1316.47287273757</v>
      </c>
      <c r="L93" s="128">
        <f t="shared" si="154"/>
        <v>1333.2055358442735</v>
      </c>
      <c r="M93" s="128">
        <f t="shared" si="154"/>
        <v>1350.1508748218137</v>
      </c>
      <c r="N93" s="128">
        <f t="shared" si="154"/>
        <v>1367.311592827826</v>
      </c>
      <c r="O93" s="128">
        <f t="shared" si="154"/>
        <v>1384.6904273776806</v>
      </c>
      <c r="P93" s="128">
        <f t="shared" si="154"/>
        <v>1402.2901507811773</v>
      </c>
    </row>
    <row r="94" spans="1:17" s="11" customFormat="1" x14ac:dyDescent="0.2">
      <c r="A94" s="2" t="s">
        <v>51</v>
      </c>
      <c r="B94" s="40" t="s">
        <v>8</v>
      </c>
      <c r="C94" s="43"/>
      <c r="D94" s="70">
        <f>+D93/C93</f>
        <v>1.0127102224840443</v>
      </c>
      <c r="E94" s="465">
        <f>+D94</f>
        <v>1.0127102224840443</v>
      </c>
      <c r="F94" s="465">
        <f t="shared" ref="F94:P94" si="155">+E94</f>
        <v>1.0127102224840443</v>
      </c>
      <c r="G94" s="465">
        <f t="shared" si="155"/>
        <v>1.0127102224840443</v>
      </c>
      <c r="H94" s="465">
        <f t="shared" si="155"/>
        <v>1.0127102224840443</v>
      </c>
      <c r="I94" s="465">
        <f t="shared" si="155"/>
        <v>1.0127102224840443</v>
      </c>
      <c r="J94" s="465">
        <f t="shared" si="155"/>
        <v>1.0127102224840443</v>
      </c>
      <c r="K94" s="465">
        <f t="shared" si="155"/>
        <v>1.0127102224840443</v>
      </c>
      <c r="L94" s="465">
        <f t="shared" si="155"/>
        <v>1.0127102224840443</v>
      </c>
      <c r="M94" s="465">
        <f t="shared" si="155"/>
        <v>1.0127102224840443</v>
      </c>
      <c r="N94" s="465">
        <f t="shared" si="155"/>
        <v>1.0127102224840443</v>
      </c>
      <c r="O94" s="465">
        <f t="shared" si="155"/>
        <v>1.0127102224840443</v>
      </c>
      <c r="P94" s="465">
        <f t="shared" si="155"/>
        <v>1.0127102224840443</v>
      </c>
    </row>
    <row r="95" spans="1:17" s="11" customFormat="1" ht="22.5" x14ac:dyDescent="0.2">
      <c r="A95" s="2"/>
      <c r="B95" s="40" t="s">
        <v>154</v>
      </c>
      <c r="C95" s="230">
        <f t="shared" ref="C95:P95" si="156">+C178/C15</f>
        <v>2258.4148140000007</v>
      </c>
      <c r="D95" s="230">
        <f t="shared" si="156"/>
        <v>2229.6736965343157</v>
      </c>
      <c r="E95" s="230">
        <f t="shared" si="156"/>
        <v>1869.8012446864054</v>
      </c>
      <c r="F95" s="230">
        <f t="shared" si="156"/>
        <v>1495.7542364175449</v>
      </c>
      <c r="G95" s="399">
        <f t="shared" si="156"/>
        <v>1543.6736418724868</v>
      </c>
      <c r="H95" s="447">
        <f t="shared" si="156"/>
        <v>1597.0631969630358</v>
      </c>
      <c r="I95" s="230">
        <f t="shared" si="156"/>
        <v>1549.357609235888</v>
      </c>
      <c r="J95" s="230">
        <f t="shared" si="156"/>
        <v>1597.1337562252563</v>
      </c>
      <c r="K95" s="230">
        <f t="shared" si="156"/>
        <v>1630.4937130375044</v>
      </c>
      <c r="L95" s="230">
        <f t="shared" si="156"/>
        <v>1665.0039322703697</v>
      </c>
      <c r="M95" s="230">
        <f t="shared" si="156"/>
        <v>1710.954317303587</v>
      </c>
      <c r="N95" s="230">
        <f t="shared" si="156"/>
        <v>1758.3411786851968</v>
      </c>
      <c r="O95" s="230">
        <f t="shared" si="156"/>
        <v>1807.2118923868497</v>
      </c>
      <c r="P95" s="230">
        <f t="shared" si="156"/>
        <v>1832.5886416667158</v>
      </c>
    </row>
    <row r="96" spans="1:17" s="11" customFormat="1" x14ac:dyDescent="0.2">
      <c r="A96" s="2"/>
      <c r="B96" s="40" t="s">
        <v>78</v>
      </c>
      <c r="C96" s="42"/>
      <c r="D96" s="157">
        <f t="shared" ref="D96" si="157">(D95-C95)/C95</f>
        <v>-1.2726234918190258E-2</v>
      </c>
      <c r="E96" s="157">
        <f t="shared" ref="E96" si="158">(E95-D95)/D95</f>
        <v>-0.16140139806433407</v>
      </c>
      <c r="F96" s="157">
        <f t="shared" ref="F96" si="159">(F95-E95)/E95</f>
        <v>-0.20004640029619511</v>
      </c>
      <c r="G96" s="400">
        <f t="shared" ref="G96" si="160">(G95-F95)/F95</f>
        <v>3.2036951183713705E-2</v>
      </c>
      <c r="H96" s="448">
        <f t="shared" ref="H96" si="161">(H95-G95)/G95</f>
        <v>3.4586037904869027E-2</v>
      </c>
      <c r="I96" s="157">
        <f t="shared" ref="I96" si="162">(I95-H95)/H95</f>
        <v>-2.9870820276783266E-2</v>
      </c>
      <c r="J96" s="157">
        <f t="shared" ref="J96" si="163">(J95-I95)/I95</f>
        <v>3.083610052615968E-2</v>
      </c>
      <c r="K96" s="157">
        <f t="shared" ref="K96" si="164">(K95-J95)/J95</f>
        <v>2.0887390728684285E-2</v>
      </c>
      <c r="L96" s="157">
        <f t="shared" ref="L96" si="165">(L95-K95)/K95</f>
        <v>2.1165502790302024E-2</v>
      </c>
      <c r="M96" s="157">
        <f t="shared" ref="M96" si="166">(M95-L95)/L95</f>
        <v>2.7597763670479877E-2</v>
      </c>
      <c r="N96" s="157">
        <f t="shared" ref="N96" si="167">(N95-M95)/M95</f>
        <v>2.769615816294272E-2</v>
      </c>
      <c r="O96" s="157">
        <f t="shared" ref="O96" si="168">(O95-N95)/N95</f>
        <v>2.779364681557198E-2</v>
      </c>
      <c r="P96" s="157">
        <f t="shared" ref="P96" si="169">(P95-O95)/O95</f>
        <v>1.4041933536830651E-2</v>
      </c>
    </row>
    <row r="97" spans="1:17" s="96" customFormat="1" x14ac:dyDescent="0.2">
      <c r="A97" s="64">
        <v>21</v>
      </c>
      <c r="B97" s="132" t="s">
        <v>185</v>
      </c>
      <c r="C97" s="195">
        <f>+[8]ГОД!$L$22</f>
        <v>891.40301952264429</v>
      </c>
      <c r="D97" s="196">
        <f>+[9]ГОД!$J$22</f>
        <v>977.58454786238337</v>
      </c>
      <c r="E97" s="606">
        <f>D97*(E98)</f>
        <v>1055.7913116913742</v>
      </c>
      <c r="F97" s="606">
        <f t="shared" ref="F97:P97" si="170">E97*(F98)</f>
        <v>1140.2546166266841</v>
      </c>
      <c r="G97" s="606">
        <f t="shared" si="170"/>
        <v>1231.474985956819</v>
      </c>
      <c r="H97" s="606">
        <f t="shared" si="170"/>
        <v>1329.9929848333645</v>
      </c>
      <c r="I97" s="606">
        <f t="shared" si="170"/>
        <v>1436.3924236200337</v>
      </c>
      <c r="J97" s="606">
        <f t="shared" si="170"/>
        <v>1436.3924236200337</v>
      </c>
      <c r="K97" s="606">
        <f t="shared" si="170"/>
        <v>1436.3924236200337</v>
      </c>
      <c r="L97" s="606">
        <f t="shared" si="170"/>
        <v>1436.3924236200337</v>
      </c>
      <c r="M97" s="606">
        <f t="shared" si="170"/>
        <v>1436.3924236200337</v>
      </c>
      <c r="N97" s="606">
        <f t="shared" si="170"/>
        <v>1436.3924236200337</v>
      </c>
      <c r="O97" s="606">
        <f t="shared" si="170"/>
        <v>1450.756347856234</v>
      </c>
      <c r="P97" s="606">
        <f t="shared" si="170"/>
        <v>1479.7714748133587</v>
      </c>
    </row>
    <row r="98" spans="1:17" s="96" customFormat="1" x14ac:dyDescent="0.2">
      <c r="A98" s="64">
        <v>22</v>
      </c>
      <c r="B98" s="133" t="s">
        <v>7</v>
      </c>
      <c r="C98" s="151"/>
      <c r="D98" s="375">
        <f>+D97/C97</f>
        <v>1.096680767792205</v>
      </c>
      <c r="E98" s="152">
        <f>+СВОД!D61</f>
        <v>1.08</v>
      </c>
      <c r="F98" s="152">
        <f>+СВОД!E61</f>
        <v>1.08</v>
      </c>
      <c r="G98" s="152">
        <f>+СВОД!F61</f>
        <v>1.08</v>
      </c>
      <c r="H98" s="152">
        <f>+СВОД!G61</f>
        <v>1.08</v>
      </c>
      <c r="I98" s="152">
        <f>+СВОД!H61</f>
        <v>1.08</v>
      </c>
      <c r="J98" s="152">
        <f>+СВОД!I61</f>
        <v>1</v>
      </c>
      <c r="K98" s="152">
        <f>+СВОД!J61</f>
        <v>1</v>
      </c>
      <c r="L98" s="152">
        <f>+СВОД!K61</f>
        <v>1</v>
      </c>
      <c r="M98" s="152">
        <f>+СВОД!L61</f>
        <v>1</v>
      </c>
      <c r="N98" s="152">
        <f>+СВОД!M61</f>
        <v>1</v>
      </c>
      <c r="O98" s="152">
        <f>+СВОД!N61</f>
        <v>1.01</v>
      </c>
      <c r="P98" s="152">
        <f>+СВОД!O61</f>
        <v>1.02</v>
      </c>
    </row>
    <row r="99" spans="1:17" s="96" customFormat="1" x14ac:dyDescent="0.2">
      <c r="A99" s="64"/>
      <c r="B99" s="133" t="s">
        <v>630</v>
      </c>
      <c r="C99" s="675"/>
      <c r="D99" s="641">
        <f>+('[11]5.4.ЭРВ'!$L$5+'[11]5.4.ЭРВ'!$L$18)/'[11]4.1.РчПО_ТЭ'!$S$42</f>
        <v>642.55004875058455</v>
      </c>
      <c r="E99" s="640">
        <f t="shared" ref="E99:P99" si="171">+D99*E105</f>
        <v>663.03578918511687</v>
      </c>
      <c r="F99" s="640">
        <f t="shared" si="171"/>
        <v>682.92686286067044</v>
      </c>
      <c r="G99" s="640">
        <f t="shared" si="171"/>
        <v>703.41466874649052</v>
      </c>
      <c r="H99" s="640">
        <f t="shared" si="171"/>
        <v>724.51710880888527</v>
      </c>
      <c r="I99" s="640">
        <f t="shared" si="171"/>
        <v>746.25262207315188</v>
      </c>
      <c r="J99" s="640">
        <f t="shared" si="171"/>
        <v>768.64020073534641</v>
      </c>
      <c r="K99" s="640">
        <f t="shared" si="171"/>
        <v>791.69940675740679</v>
      </c>
      <c r="L99" s="640">
        <f t="shared" si="171"/>
        <v>815.45038896012898</v>
      </c>
      <c r="M99" s="640">
        <f t="shared" si="171"/>
        <v>839.91390062893288</v>
      </c>
      <c r="N99" s="640">
        <f t="shared" si="171"/>
        <v>865.11131764780089</v>
      </c>
      <c r="O99" s="640">
        <f t="shared" si="171"/>
        <v>891.06465717723495</v>
      </c>
      <c r="P99" s="640">
        <f t="shared" si="171"/>
        <v>917.79659689255197</v>
      </c>
    </row>
    <row r="100" spans="1:17" s="96" customFormat="1" ht="22.5" x14ac:dyDescent="0.2">
      <c r="A100" s="64" t="s">
        <v>73</v>
      </c>
      <c r="B100" s="133" t="s">
        <v>72</v>
      </c>
      <c r="C100" s="230">
        <f t="shared" ref="C100:P100" si="172">+C187/C51</f>
        <v>1137.8415227425473</v>
      </c>
      <c r="D100" s="230">
        <f t="shared" si="172"/>
        <v>1157.4999582322785</v>
      </c>
      <c r="E100" s="607">
        <f t="shared" si="172"/>
        <v>1232.3160409884856</v>
      </c>
      <c r="F100" s="607">
        <f t="shared" si="172"/>
        <v>1325.9792754284108</v>
      </c>
      <c r="G100" s="608">
        <f t="shared" si="172"/>
        <v>1373.7473085099614</v>
      </c>
      <c r="H100" s="609">
        <f t="shared" si="172"/>
        <v>1432.7730468413142</v>
      </c>
      <c r="I100" s="607">
        <f t="shared" si="172"/>
        <v>1491.3782929147751</v>
      </c>
      <c r="J100" s="607">
        <f t="shared" si="172"/>
        <v>1545.1058085982017</v>
      </c>
      <c r="K100" s="607">
        <f t="shared" si="172"/>
        <v>1580.3751143354116</v>
      </c>
      <c r="L100" s="607">
        <f t="shared" si="172"/>
        <v>1617.0124629796603</v>
      </c>
      <c r="M100" s="607">
        <f t="shared" si="172"/>
        <v>1668.3347095707343</v>
      </c>
      <c r="N100" s="607">
        <f t="shared" si="172"/>
        <v>1721.3679151563522</v>
      </c>
      <c r="O100" s="607">
        <f t="shared" si="172"/>
        <v>1776.1699853616562</v>
      </c>
      <c r="P100" s="607">
        <f t="shared" si="172"/>
        <v>1801.6875220383813</v>
      </c>
    </row>
    <row r="101" spans="1:17" s="96" customFormat="1" x14ac:dyDescent="0.2">
      <c r="A101" s="64" t="s">
        <v>74</v>
      </c>
      <c r="B101" s="133" t="s">
        <v>75</v>
      </c>
      <c r="C101" s="135"/>
      <c r="D101" s="157">
        <f t="shared" ref="D101" si="173">(D100-C100)/C100</f>
        <v>1.7276953861156564E-2</v>
      </c>
      <c r="E101" s="157">
        <f t="shared" ref="E101" si="174">(E100-D100)/D100</f>
        <v>6.4635926959743017E-2</v>
      </c>
      <c r="F101" s="157">
        <f t="shared" ref="F101" si="175">(F100-E100)/E100</f>
        <v>7.6005855092817334E-2</v>
      </c>
      <c r="G101" s="400">
        <f t="shared" ref="G101" si="176">(G100-F100)/F100</f>
        <v>3.602472072281613E-2</v>
      </c>
      <c r="H101" s="448">
        <f t="shared" ref="H101" si="177">(H100-G100)/G100</f>
        <v>4.2966954668959653E-2</v>
      </c>
      <c r="I101" s="157">
        <f t="shared" ref="I101" si="178">(I100-H100)/H100</f>
        <v>4.0903370008712664E-2</v>
      </c>
      <c r="J101" s="157">
        <f t="shared" ref="J101" si="179">(J100-I100)/I100</f>
        <v>3.6025410815401289E-2</v>
      </c>
      <c r="K101" s="157">
        <f t="shared" ref="K101" si="180">(K100-J100)/J100</f>
        <v>2.282646634356254E-2</v>
      </c>
      <c r="L101" s="157">
        <f t="shared" ref="L101" si="181">(L100-K100)/K100</f>
        <v>2.3182691445793664E-2</v>
      </c>
      <c r="M101" s="157">
        <f t="shared" ref="M101" si="182">(M100-L100)/L100</f>
        <v>3.1738930754128349E-2</v>
      </c>
      <c r="N101" s="157">
        <f t="shared" ref="N101" si="183">(N100-M100)/M100</f>
        <v>3.1788108993586459E-2</v>
      </c>
      <c r="O101" s="157">
        <f t="shared" ref="O101" si="184">(O100-N100)/N100</f>
        <v>3.1836349291038332E-2</v>
      </c>
      <c r="P101" s="157">
        <f t="shared" ref="P101" si="185">(P100-O100)/O100</f>
        <v>1.4366607299429894E-2</v>
      </c>
    </row>
    <row r="102" spans="1:17" s="96" customFormat="1" x14ac:dyDescent="0.2">
      <c r="A102" s="64" t="s">
        <v>20</v>
      </c>
      <c r="B102" s="132" t="s">
        <v>408</v>
      </c>
      <c r="C102" s="155">
        <f>+[8]ГОД!$E$22+[8]ГОД!$E$25</f>
        <v>1437.4878616436636</v>
      </c>
      <c r="D102" s="155">
        <f>+'[11]6.4.Рч_тф'!$C$21</f>
        <v>1494.3340947457748</v>
      </c>
      <c r="E102" s="128">
        <f>D102*(E103)</f>
        <v>1613.8808223254368</v>
      </c>
      <c r="F102" s="128">
        <f t="shared" ref="F102:P102" si="186">E102*(F103)</f>
        <v>1742.9912881114719</v>
      </c>
      <c r="G102" s="128">
        <f t="shared" si="186"/>
        <v>1882.4305911603899</v>
      </c>
      <c r="H102" s="128">
        <f t="shared" si="186"/>
        <v>2033.0250384532212</v>
      </c>
      <c r="I102" s="128">
        <f t="shared" si="186"/>
        <v>2195.6670415294789</v>
      </c>
      <c r="J102" s="128">
        <f t="shared" si="186"/>
        <v>2195.6670415294789</v>
      </c>
      <c r="K102" s="128">
        <f t="shared" si="186"/>
        <v>2195.6670415294789</v>
      </c>
      <c r="L102" s="128">
        <f t="shared" si="186"/>
        <v>2195.6670415294789</v>
      </c>
      <c r="M102" s="128">
        <f t="shared" si="186"/>
        <v>2195.6670415294789</v>
      </c>
      <c r="N102" s="128">
        <f t="shared" si="186"/>
        <v>2195.6670415294789</v>
      </c>
      <c r="O102" s="128">
        <f t="shared" si="186"/>
        <v>2217.6237119447737</v>
      </c>
      <c r="P102" s="128">
        <f t="shared" si="186"/>
        <v>2261.9761861836691</v>
      </c>
    </row>
    <row r="103" spans="1:17" s="96" customFormat="1" x14ac:dyDescent="0.2">
      <c r="A103" s="64"/>
      <c r="B103" s="133" t="s">
        <v>75</v>
      </c>
      <c r="C103" s="154"/>
      <c r="D103" s="157">
        <f>+D102/C102</f>
        <v>1.0395455395617126</v>
      </c>
      <c r="E103" s="157">
        <f>+E98</f>
        <v>1.08</v>
      </c>
      <c r="F103" s="157">
        <f t="shared" ref="F103:P103" si="187">+F98</f>
        <v>1.08</v>
      </c>
      <c r="G103" s="157">
        <f t="shared" si="187"/>
        <v>1.08</v>
      </c>
      <c r="H103" s="157">
        <f t="shared" si="187"/>
        <v>1.08</v>
      </c>
      <c r="I103" s="157">
        <f t="shared" si="187"/>
        <v>1.08</v>
      </c>
      <c r="J103" s="157">
        <f t="shared" si="187"/>
        <v>1</v>
      </c>
      <c r="K103" s="157">
        <f t="shared" si="187"/>
        <v>1</v>
      </c>
      <c r="L103" s="157">
        <f t="shared" si="187"/>
        <v>1</v>
      </c>
      <c r="M103" s="157">
        <f t="shared" si="187"/>
        <v>1</v>
      </c>
      <c r="N103" s="157">
        <f t="shared" si="187"/>
        <v>1</v>
      </c>
      <c r="O103" s="157">
        <f t="shared" si="187"/>
        <v>1.01</v>
      </c>
      <c r="P103" s="157">
        <f t="shared" si="187"/>
        <v>1.02</v>
      </c>
    </row>
    <row r="104" spans="1:17" s="136" customFormat="1" ht="22.5" x14ac:dyDescent="0.2">
      <c r="A104" s="64">
        <v>23</v>
      </c>
      <c r="B104" s="132" t="s">
        <v>184</v>
      </c>
      <c r="C104" s="141">
        <f>+'[4]4.4.Р_т'!$E$150</f>
        <v>5195.375787039784</v>
      </c>
      <c r="D104" s="141">
        <f>+'[4]4.4.Р_т'!$O$150</f>
        <v>5391.8265926278982</v>
      </c>
      <c r="E104" s="141">
        <f>+'[4]4.4.Р_т'!$Y$149</f>
        <v>5563.7284705584352</v>
      </c>
      <c r="F104" s="105">
        <f>E104*(F105)</f>
        <v>5730.6403246751888</v>
      </c>
      <c r="G104" s="105">
        <f t="shared" ref="G104:P104" si="188">F104*(G105)</f>
        <v>5902.5595344154444</v>
      </c>
      <c r="H104" s="105">
        <f t="shared" si="188"/>
        <v>6079.6363204479076</v>
      </c>
      <c r="I104" s="105">
        <f t="shared" si="188"/>
        <v>6262.0254100613447</v>
      </c>
      <c r="J104" s="105">
        <f t="shared" si="188"/>
        <v>6449.8861723631853</v>
      </c>
      <c r="K104" s="105">
        <f t="shared" si="188"/>
        <v>6643.3827575340811</v>
      </c>
      <c r="L104" s="105">
        <f t="shared" si="188"/>
        <v>6842.6842402601033</v>
      </c>
      <c r="M104" s="105">
        <f t="shared" si="188"/>
        <v>7047.9647674679063</v>
      </c>
      <c r="N104" s="105">
        <f t="shared" si="188"/>
        <v>7259.4037104919435</v>
      </c>
      <c r="O104" s="105">
        <f t="shared" si="188"/>
        <v>7477.1858218067018</v>
      </c>
      <c r="P104" s="105">
        <f t="shared" si="188"/>
        <v>7701.5013964609034</v>
      </c>
    </row>
    <row r="105" spans="1:17" s="138" customFormat="1" ht="12" thickBot="1" x14ac:dyDescent="0.25">
      <c r="A105" s="64">
        <v>24</v>
      </c>
      <c r="B105" s="133" t="s">
        <v>6</v>
      </c>
      <c r="C105" s="137"/>
      <c r="D105" s="70">
        <f>+D104/C104</f>
        <v>1.0378126267744046</v>
      </c>
      <c r="E105" s="70">
        <f>+E104/D104</f>
        <v>1.0318819374060684</v>
      </c>
      <c r="F105" s="471">
        <f>+'[4]+Газ'!$H$32</f>
        <v>1.03</v>
      </c>
      <c r="G105" s="70">
        <f t="shared" ref="G105:P105" si="189">+F105</f>
        <v>1.03</v>
      </c>
      <c r="H105" s="70">
        <f t="shared" si="189"/>
        <v>1.03</v>
      </c>
      <c r="I105" s="70">
        <f t="shared" si="189"/>
        <v>1.03</v>
      </c>
      <c r="J105" s="70">
        <f t="shared" si="189"/>
        <v>1.03</v>
      </c>
      <c r="K105" s="70">
        <f t="shared" si="189"/>
        <v>1.03</v>
      </c>
      <c r="L105" s="70">
        <f t="shared" si="189"/>
        <v>1.03</v>
      </c>
      <c r="M105" s="70">
        <f t="shared" si="189"/>
        <v>1.03</v>
      </c>
      <c r="N105" s="70">
        <f t="shared" si="189"/>
        <v>1.03</v>
      </c>
      <c r="O105" s="70">
        <f t="shared" si="189"/>
        <v>1.03</v>
      </c>
      <c r="P105" s="70">
        <f t="shared" si="189"/>
        <v>1.03</v>
      </c>
      <c r="Q105" s="96"/>
    </row>
    <row r="106" spans="1:17" s="96" customFormat="1" x14ac:dyDescent="0.2">
      <c r="A106" s="64"/>
      <c r="B106" s="133" t="s">
        <v>610</v>
      </c>
      <c r="C106" s="137"/>
      <c r="D106" s="641">
        <f>+('[11]5.4.ЭРВ'!$L$5+'[11]5.4.ЭРВ'!$L$18)/'[11]4.1.РчПО_ТЭ'!$S$64</f>
        <v>796.82125602687006</v>
      </c>
      <c r="E106" s="640">
        <f>+D106*E105</f>
        <v>822.2254614353435</v>
      </c>
      <c r="F106" s="640">
        <f t="shared" ref="F106:P106" si="190">+E106*F105</f>
        <v>846.89222527840388</v>
      </c>
      <c r="G106" s="640">
        <f t="shared" si="190"/>
        <v>872.29899203675598</v>
      </c>
      <c r="H106" s="640">
        <f t="shared" si="190"/>
        <v>898.46796179785872</v>
      </c>
      <c r="I106" s="640">
        <f t="shared" si="190"/>
        <v>925.42200065179452</v>
      </c>
      <c r="J106" s="640">
        <f t="shared" si="190"/>
        <v>953.18466067134841</v>
      </c>
      <c r="K106" s="640">
        <f t="shared" si="190"/>
        <v>981.78020049148893</v>
      </c>
      <c r="L106" s="640">
        <f t="shared" si="190"/>
        <v>1011.2336065062336</v>
      </c>
      <c r="M106" s="640">
        <f t="shared" si="190"/>
        <v>1041.5706147014207</v>
      </c>
      <c r="N106" s="640">
        <f t="shared" si="190"/>
        <v>1072.8177331424633</v>
      </c>
      <c r="O106" s="640">
        <f t="shared" si="190"/>
        <v>1105.0022651367374</v>
      </c>
      <c r="P106" s="640">
        <f t="shared" si="190"/>
        <v>1138.1523330908394</v>
      </c>
    </row>
    <row r="107" spans="1:17" s="96" customFormat="1" x14ac:dyDescent="0.2">
      <c r="A107" s="64"/>
      <c r="B107" s="133" t="s">
        <v>611</v>
      </c>
      <c r="C107" s="137"/>
      <c r="D107" s="640">
        <f>+D102-D106</f>
        <v>697.51283871890473</v>
      </c>
      <c r="E107" s="640">
        <f t="shared" ref="E107:P107" si="191">+E102-E106</f>
        <v>791.65536089009333</v>
      </c>
      <c r="F107" s="640">
        <f t="shared" si="191"/>
        <v>896.09906283306805</v>
      </c>
      <c r="G107" s="640">
        <f t="shared" si="191"/>
        <v>1010.1315991236339</v>
      </c>
      <c r="H107" s="640">
        <f t="shared" si="191"/>
        <v>1134.5570766553624</v>
      </c>
      <c r="I107" s="640">
        <f t="shared" si="191"/>
        <v>1270.2450408776845</v>
      </c>
      <c r="J107" s="640">
        <f t="shared" si="191"/>
        <v>1242.4823808581305</v>
      </c>
      <c r="K107" s="640">
        <f t="shared" si="191"/>
        <v>1213.8868410379901</v>
      </c>
      <c r="L107" s="640">
        <f t="shared" si="191"/>
        <v>1184.4334350232452</v>
      </c>
      <c r="M107" s="640">
        <f t="shared" si="191"/>
        <v>1154.0964268280582</v>
      </c>
      <c r="N107" s="640">
        <f t="shared" si="191"/>
        <v>1122.8493083870155</v>
      </c>
      <c r="O107" s="640">
        <f t="shared" si="191"/>
        <v>1112.6214468080364</v>
      </c>
      <c r="P107" s="640">
        <f t="shared" si="191"/>
        <v>1123.8238530928297</v>
      </c>
    </row>
    <row r="108" spans="1:17" s="144" customFormat="1" x14ac:dyDescent="0.2">
      <c r="A108" s="142">
        <v>27</v>
      </c>
      <c r="B108" s="148" t="s">
        <v>5</v>
      </c>
      <c r="C108" s="137"/>
      <c r="D108" s="145">
        <f>1+'[4]5.2.Оп_i1'!$E$6</f>
        <v>1.04</v>
      </c>
      <c r="E108" s="147">
        <f>+D108</f>
        <v>1.04</v>
      </c>
      <c r="F108" s="147">
        <f t="shared" ref="F108:P108" si="192">+E108</f>
        <v>1.04</v>
      </c>
      <c r="G108" s="147">
        <f t="shared" si="192"/>
        <v>1.04</v>
      </c>
      <c r="H108" s="147">
        <f t="shared" si="192"/>
        <v>1.04</v>
      </c>
      <c r="I108" s="147">
        <f t="shared" si="192"/>
        <v>1.04</v>
      </c>
      <c r="J108" s="147">
        <f t="shared" si="192"/>
        <v>1.04</v>
      </c>
      <c r="K108" s="147">
        <f t="shared" si="192"/>
        <v>1.04</v>
      </c>
      <c r="L108" s="147">
        <f t="shared" si="192"/>
        <v>1.04</v>
      </c>
      <c r="M108" s="147">
        <f t="shared" si="192"/>
        <v>1.04</v>
      </c>
      <c r="N108" s="147">
        <f t="shared" si="192"/>
        <v>1.04</v>
      </c>
      <c r="O108" s="147">
        <f t="shared" si="192"/>
        <v>1.04</v>
      </c>
      <c r="P108" s="147">
        <f t="shared" si="192"/>
        <v>1.04</v>
      </c>
      <c r="Q108" s="143"/>
    </row>
    <row r="109" spans="1:17" s="139" customFormat="1" x14ac:dyDescent="0.2">
      <c r="A109" s="64"/>
      <c r="B109" s="149" t="s">
        <v>52</v>
      </c>
      <c r="C109" s="137"/>
      <c r="D109" s="146">
        <f>+D108</f>
        <v>1.04</v>
      </c>
      <c r="E109" s="146">
        <f>+D109*E108</f>
        <v>1.0816000000000001</v>
      </c>
      <c r="F109" s="146">
        <f t="shared" ref="F109:P109" si="193">+E109*F108</f>
        <v>1.1248640000000001</v>
      </c>
      <c r="G109" s="146">
        <f t="shared" si="193"/>
        <v>1.1698585600000002</v>
      </c>
      <c r="H109" s="146">
        <f t="shared" si="193"/>
        <v>1.2166529024000003</v>
      </c>
      <c r="I109" s="146">
        <f t="shared" si="193"/>
        <v>1.2653190184960004</v>
      </c>
      <c r="J109" s="146">
        <f t="shared" si="193"/>
        <v>1.3159317792358405</v>
      </c>
      <c r="K109" s="146">
        <f t="shared" si="193"/>
        <v>1.3685690504052741</v>
      </c>
      <c r="L109" s="146">
        <f t="shared" si="193"/>
        <v>1.4233118124214852</v>
      </c>
      <c r="M109" s="146">
        <f t="shared" si="193"/>
        <v>1.4802442849183446</v>
      </c>
      <c r="N109" s="146">
        <f t="shared" si="193"/>
        <v>1.5394540563150785</v>
      </c>
      <c r="O109" s="146">
        <f t="shared" si="193"/>
        <v>1.6010322185676817</v>
      </c>
      <c r="P109" s="146">
        <f t="shared" si="193"/>
        <v>1.6650735073103891</v>
      </c>
      <c r="Q109" s="96"/>
    </row>
    <row r="110" spans="1:17" s="130" customFormat="1" x14ac:dyDescent="0.2">
      <c r="A110" s="150"/>
      <c r="B110" s="164"/>
      <c r="C110" s="137"/>
      <c r="D110" s="165"/>
      <c r="E110" s="165"/>
      <c r="F110" s="166"/>
      <c r="G110" s="401"/>
      <c r="H110" s="165"/>
      <c r="I110" s="430"/>
      <c r="J110" s="165"/>
      <c r="K110" s="165"/>
      <c r="L110" s="165"/>
      <c r="M110" s="165"/>
      <c r="N110" s="165"/>
      <c r="O110" s="165"/>
      <c r="P110" s="165"/>
    </row>
    <row r="111" spans="1:17" s="18" customFormat="1" ht="12" x14ac:dyDescent="0.2">
      <c r="A111" s="2"/>
      <c r="B111" s="256" t="s">
        <v>10</v>
      </c>
      <c r="C111" s="28"/>
      <c r="D111" s="28"/>
      <c r="E111" s="28"/>
      <c r="F111" s="28"/>
      <c r="G111" s="398"/>
      <c r="H111" s="26"/>
      <c r="I111" s="27"/>
      <c r="J111" s="28"/>
      <c r="K111" s="28"/>
      <c r="L111" s="28"/>
      <c r="M111" s="28"/>
      <c r="N111" s="28"/>
      <c r="O111" s="28"/>
      <c r="P111" s="28"/>
      <c r="Q111" s="17"/>
    </row>
    <row r="112" spans="1:17" s="18" customFormat="1" x14ac:dyDescent="0.2">
      <c r="A112" s="2">
        <v>26</v>
      </c>
      <c r="B112" s="6" t="s">
        <v>412</v>
      </c>
      <c r="C112" s="160">
        <f>SUM(C113:C119)</f>
        <v>0</v>
      </c>
      <c r="D112" s="160">
        <f t="shared" ref="D112:P112" si="194">SUM(D113:D119)</f>
        <v>0</v>
      </c>
      <c r="E112" s="160">
        <f t="shared" si="194"/>
        <v>10279</v>
      </c>
      <c r="F112" s="160">
        <f t="shared" si="194"/>
        <v>14924</v>
      </c>
      <c r="G112" s="160">
        <f t="shared" si="194"/>
        <v>27430</v>
      </c>
      <c r="H112" s="160">
        <f t="shared" si="194"/>
        <v>27532</v>
      </c>
      <c r="I112" s="160">
        <f t="shared" si="194"/>
        <v>9103</v>
      </c>
      <c r="J112" s="160">
        <f t="shared" si="194"/>
        <v>4978.2171757312317</v>
      </c>
      <c r="K112" s="160">
        <f t="shared" si="194"/>
        <v>5251.3071757312318</v>
      </c>
      <c r="L112" s="160">
        <f t="shared" si="194"/>
        <v>5400.6536910031682</v>
      </c>
      <c r="M112" s="160">
        <f t="shared" si="194"/>
        <v>5558.1929062751051</v>
      </c>
      <c r="N112" s="160">
        <f t="shared" si="194"/>
        <v>5720.2125170052004</v>
      </c>
      <c r="O112" s="160">
        <f t="shared" si="194"/>
        <v>5886.9583041934538</v>
      </c>
      <c r="P112" s="160">
        <f t="shared" si="194"/>
        <v>6058.5646797036097</v>
      </c>
      <c r="Q112" s="17"/>
    </row>
    <row r="113" spans="1:19" s="233" customFormat="1" x14ac:dyDescent="0.2">
      <c r="A113" s="567">
        <v>1</v>
      </c>
      <c r="B113" s="568" t="s">
        <v>534</v>
      </c>
      <c r="C113" s="564"/>
      <c r="D113" s="564"/>
      <c r="E113" s="569">
        <f>+[12]Пр.4.Амортизация!F7</f>
        <v>5726</v>
      </c>
      <c r="F113" s="569">
        <f>+[12]Пр.4.Амортизация!G7</f>
        <v>0</v>
      </c>
      <c r="G113" s="569">
        <f>+[12]Пр.4.Амортизация!H7</f>
        <v>0</v>
      </c>
      <c r="H113" s="569">
        <f>+[12]Пр.4.Амортизация!I7</f>
        <v>0</v>
      </c>
      <c r="I113" s="569">
        <f>+[12]Пр.4.Амортизация!J7</f>
        <v>0</v>
      </c>
      <c r="J113" s="564"/>
      <c r="K113" s="564"/>
      <c r="L113" s="564"/>
      <c r="M113" s="564"/>
      <c r="N113" s="564"/>
      <c r="O113" s="564"/>
      <c r="P113" s="564"/>
      <c r="Q113" s="235"/>
    </row>
    <row r="114" spans="1:19" s="233" customFormat="1" ht="45" x14ac:dyDescent="0.2">
      <c r="A114" s="567">
        <v>2</v>
      </c>
      <c r="B114" s="568" t="s">
        <v>535</v>
      </c>
      <c r="C114" s="564"/>
      <c r="D114" s="564"/>
      <c r="E114" s="569">
        <f>+[12]Пр.4.Амортизация!F8</f>
        <v>0</v>
      </c>
      <c r="F114" s="569">
        <f>+[12]Пр.4.Амортизация!G8</f>
        <v>0</v>
      </c>
      <c r="G114" s="569">
        <f>+[12]Пр.4.Амортизация!H8</f>
        <v>8448</v>
      </c>
      <c r="H114" s="569">
        <f>+[12]Пр.4.Амортизация!I8</f>
        <v>0</v>
      </c>
      <c r="I114" s="569">
        <f>+[12]Пр.4.Амортизация!J8</f>
        <v>9103</v>
      </c>
      <c r="J114" s="564"/>
      <c r="K114" s="564"/>
      <c r="L114" s="564"/>
      <c r="M114" s="564"/>
      <c r="N114" s="564"/>
      <c r="O114" s="564"/>
      <c r="P114" s="564"/>
      <c r="Q114" s="235"/>
    </row>
    <row r="115" spans="1:19" s="233" customFormat="1" ht="22.5" x14ac:dyDescent="0.2">
      <c r="A115" s="567">
        <v>3</v>
      </c>
      <c r="B115" s="568" t="s">
        <v>536</v>
      </c>
      <c r="C115" s="564"/>
      <c r="D115" s="564"/>
      <c r="E115" s="569">
        <f>+[12]Пр.4.Амортизация!F9</f>
        <v>4553</v>
      </c>
      <c r="F115" s="569">
        <f>+[12]Пр.4.Амортизация!G9</f>
        <v>0</v>
      </c>
      <c r="G115" s="569">
        <f>+[12]Пр.4.Амортизация!H9</f>
        <v>0</v>
      </c>
      <c r="H115" s="569">
        <f>+[12]Пр.4.Амортизация!I9</f>
        <v>0</v>
      </c>
      <c r="I115" s="569">
        <f>+[12]Пр.4.Амортизация!J9</f>
        <v>0</v>
      </c>
      <c r="J115" s="564"/>
      <c r="K115" s="564"/>
      <c r="L115" s="564"/>
      <c r="M115" s="564"/>
      <c r="N115" s="564"/>
      <c r="O115" s="564"/>
      <c r="P115" s="564"/>
      <c r="Q115" s="235"/>
    </row>
    <row r="116" spans="1:19" s="233" customFormat="1" ht="45" x14ac:dyDescent="0.2">
      <c r="A116" s="567">
        <v>4</v>
      </c>
      <c r="B116" s="568" t="s">
        <v>537</v>
      </c>
      <c r="C116" s="564"/>
      <c r="D116" s="564"/>
      <c r="E116" s="569">
        <f>+[12]Пр.4.Амортизация!F10</f>
        <v>0</v>
      </c>
      <c r="F116" s="569">
        <f>+[12]Пр.4.Амортизация!G10</f>
        <v>0</v>
      </c>
      <c r="G116" s="569">
        <f>+[12]Пр.4.Амортизация!H10</f>
        <v>18982</v>
      </c>
      <c r="H116" s="569">
        <f>+[12]Пр.4.Амортизация!I10</f>
        <v>27532</v>
      </c>
      <c r="I116" s="569">
        <f>+[12]Пр.4.Амортизация!J10</f>
        <v>0</v>
      </c>
      <c r="J116" s="564"/>
      <c r="K116" s="564"/>
      <c r="L116" s="564"/>
      <c r="M116" s="564"/>
      <c r="N116" s="564"/>
      <c r="O116" s="564"/>
      <c r="P116" s="564"/>
      <c r="Q116" s="235"/>
    </row>
    <row r="117" spans="1:19" s="566" customFormat="1" ht="22.5" x14ac:dyDescent="0.2">
      <c r="A117" s="567">
        <v>5</v>
      </c>
      <c r="B117" s="568" t="s">
        <v>538</v>
      </c>
      <c r="C117" s="564"/>
      <c r="D117" s="564"/>
      <c r="E117" s="569">
        <f>+[12]Пр.4.Амортизация!F11</f>
        <v>0</v>
      </c>
      <c r="F117" s="569">
        <f>+[12]Пр.4.Амортизация!G11</f>
        <v>14924</v>
      </c>
      <c r="G117" s="569">
        <f>+[12]Пр.4.Амортизация!H11</f>
        <v>0</v>
      </c>
      <c r="H117" s="569">
        <f>+[12]Пр.4.Амортизация!I11</f>
        <v>0</v>
      </c>
      <c r="I117" s="569">
        <f>+[12]Пр.4.Амортизация!J11</f>
        <v>0</v>
      </c>
      <c r="J117" s="564"/>
      <c r="K117" s="564"/>
      <c r="L117" s="564"/>
      <c r="M117" s="564"/>
      <c r="N117" s="564"/>
      <c r="O117" s="564"/>
      <c r="P117" s="564"/>
      <c r="Q117" s="565"/>
    </row>
    <row r="118" spans="1:19" s="717" customFormat="1" ht="12.75" customHeight="1" x14ac:dyDescent="0.2">
      <c r="A118" s="714"/>
      <c r="B118" s="715" t="s">
        <v>675</v>
      </c>
      <c r="C118" s="716"/>
      <c r="D118" s="716"/>
      <c r="E118" s="716"/>
      <c r="F118" s="716"/>
      <c r="G118" s="716"/>
      <c r="H118" s="716"/>
      <c r="I118" s="716"/>
      <c r="J118" s="718">
        <f t="shared" ref="J118:P118" si="195">+I122*$R118</f>
        <v>4978.2171757312317</v>
      </c>
      <c r="K118" s="718">
        <f t="shared" ref="K118" si="196">+J122*$R118</f>
        <v>5251.3071757312318</v>
      </c>
      <c r="L118" s="718">
        <f t="shared" ref="L118" si="197">+K122*$R118</f>
        <v>5400.6536910031682</v>
      </c>
      <c r="M118" s="718">
        <f t="shared" ref="M118" si="198">+L122*$R118</f>
        <v>5558.1929062751051</v>
      </c>
      <c r="N118" s="718">
        <f t="shared" ref="N118" si="199">+M122*$R118</f>
        <v>5720.2125170052004</v>
      </c>
      <c r="O118" s="718">
        <f t="shared" si="195"/>
        <v>5886.9583041934538</v>
      </c>
      <c r="P118" s="718">
        <f t="shared" si="195"/>
        <v>6058.5646797036097</v>
      </c>
      <c r="R118" s="719">
        <v>0.3</v>
      </c>
      <c r="S118" s="717" t="s">
        <v>657</v>
      </c>
    </row>
    <row r="119" spans="1:19" s="11" customFormat="1" x14ac:dyDescent="0.2">
      <c r="A119" s="2"/>
      <c r="B119" s="46"/>
      <c r="C119" s="158"/>
      <c r="D119" s="158"/>
      <c r="E119" s="158"/>
      <c r="F119" s="158"/>
      <c r="G119" s="403"/>
      <c r="H119" s="158"/>
      <c r="I119" s="431"/>
      <c r="J119" s="158"/>
      <c r="K119" s="158"/>
      <c r="L119" s="158"/>
      <c r="M119" s="158"/>
      <c r="N119" s="158"/>
      <c r="O119" s="158"/>
      <c r="P119" s="158"/>
    </row>
    <row r="120" spans="1:19" s="18" customFormat="1" ht="12" x14ac:dyDescent="0.2">
      <c r="A120" s="2"/>
      <c r="B120" s="256" t="s">
        <v>42</v>
      </c>
      <c r="C120" s="28"/>
      <c r="D120" s="28"/>
      <c r="E120" s="28"/>
      <c r="F120" s="28"/>
      <c r="G120" s="398"/>
      <c r="H120" s="26"/>
      <c r="I120" s="27"/>
      <c r="J120" s="28"/>
      <c r="K120" s="28"/>
      <c r="L120" s="28"/>
      <c r="M120" s="28"/>
      <c r="N120" s="28"/>
      <c r="O120" s="28"/>
      <c r="P120" s="28"/>
      <c r="Q120" s="17"/>
    </row>
    <row r="121" spans="1:19" s="13" customFormat="1" x14ac:dyDescent="0.2">
      <c r="A121" s="1">
        <v>29</v>
      </c>
      <c r="B121" s="44" t="s">
        <v>4</v>
      </c>
      <c r="C121" s="570">
        <v>120</v>
      </c>
      <c r="D121" s="180">
        <f>+C121</f>
        <v>120</v>
      </c>
      <c r="E121" s="180">
        <f t="shared" ref="E121:I121" si="200">+D121</f>
        <v>120</v>
      </c>
      <c r="F121" s="180">
        <f t="shared" si="200"/>
        <v>120</v>
      </c>
      <c r="G121" s="404">
        <f t="shared" si="200"/>
        <v>120</v>
      </c>
      <c r="H121" s="180">
        <f t="shared" si="200"/>
        <v>120</v>
      </c>
      <c r="I121" s="180">
        <f t="shared" si="200"/>
        <v>120</v>
      </c>
      <c r="J121" s="180">
        <f t="shared" ref="J121" si="201">+I121</f>
        <v>120</v>
      </c>
      <c r="K121" s="180">
        <f t="shared" ref="K121" si="202">+J121</f>
        <v>120</v>
      </c>
      <c r="L121" s="180">
        <f t="shared" ref="L121" si="203">+K121</f>
        <v>120</v>
      </c>
      <c r="M121" s="180">
        <f t="shared" ref="M121" si="204">+L121</f>
        <v>120</v>
      </c>
      <c r="N121" s="180">
        <f t="shared" ref="N121" si="205">+M121</f>
        <v>120</v>
      </c>
      <c r="O121" s="180">
        <f t="shared" ref="O121" si="206">+N121</f>
        <v>120</v>
      </c>
      <c r="P121" s="180">
        <f t="shared" ref="P121" si="207">+O121</f>
        <v>120</v>
      </c>
    </row>
    <row r="122" spans="1:19" s="130" customFormat="1" x14ac:dyDescent="0.2">
      <c r="A122" s="150">
        <v>30</v>
      </c>
      <c r="B122" s="168" t="s">
        <v>186</v>
      </c>
      <c r="C122" s="176">
        <f>+'[4]+Ам'!$D$97</f>
        <v>8577.5572524374402</v>
      </c>
      <c r="D122" s="177">
        <f>IF(D123-C125-C122&lt;0,0,IF(C125+C122*2&gt;D123,D123-C125-C122,IF(C121=0,C122,+C122+C124/C121*12)))</f>
        <v>8577.5572524374402</v>
      </c>
      <c r="E122" s="177">
        <f>IF(E123-D125-D122&lt;0,0,IF(D125+D122*2&gt;E123,E123-D125-D122,IF(D121=0,D122,+D122+D124/D121*12)))</f>
        <v>8577.5572524374402</v>
      </c>
      <c r="F122" s="177">
        <f>IF(F123-E125-E122&lt;0,0,IF(E125+E122*2&gt;F123,F123-E125-E122,IF(E121=0,E122,+E122+E124/E121*12)))</f>
        <v>9605.4572524374398</v>
      </c>
      <c r="G122" s="405">
        <f t="shared" ref="G122:P122" si="208">IF(G123-F125-F122&lt;0,0,IF(F125+F122*2&gt;G123,G123-F125-F122,IF(F121=0,F122,+F122+F124/F121*12)))</f>
        <v>11097.857252437439</v>
      </c>
      <c r="H122" s="177">
        <f t="shared" si="208"/>
        <v>13840.857252437439</v>
      </c>
      <c r="I122" s="432">
        <f t="shared" si="208"/>
        <v>16594.05725243744</v>
      </c>
      <c r="J122" s="177">
        <f t="shared" si="208"/>
        <v>17504.357252437439</v>
      </c>
      <c r="K122" s="177">
        <f t="shared" si="208"/>
        <v>18002.178970010562</v>
      </c>
      <c r="L122" s="177">
        <f t="shared" si="208"/>
        <v>18527.309687583685</v>
      </c>
      <c r="M122" s="177">
        <f t="shared" si="208"/>
        <v>19067.375056684003</v>
      </c>
      <c r="N122" s="177">
        <f t="shared" si="208"/>
        <v>19623.194347311513</v>
      </c>
      <c r="O122" s="177">
        <f t="shared" si="208"/>
        <v>20195.215599012034</v>
      </c>
      <c r="P122" s="177">
        <f t="shared" si="208"/>
        <v>9371.7151937598865</v>
      </c>
    </row>
    <row r="123" spans="1:19" s="96" customFormat="1" x14ac:dyDescent="0.2">
      <c r="A123" s="64">
        <v>31</v>
      </c>
      <c r="B123" s="149" t="s">
        <v>187</v>
      </c>
      <c r="C123" s="178">
        <f>+'[13]Расчет ТЭЦ-1'!$O$216/1000</f>
        <v>96394.211569999999</v>
      </c>
      <c r="D123" s="179">
        <f>+C123+C124</f>
        <v>96394.211569999999</v>
      </c>
      <c r="E123" s="179">
        <f t="shared" ref="E123:P123" si="209">+D123+D124</f>
        <v>96394.211569999999</v>
      </c>
      <c r="F123" s="179">
        <f t="shared" si="209"/>
        <v>106673.21157</v>
      </c>
      <c r="G123" s="406">
        <f t="shared" si="209"/>
        <v>121597.21157</v>
      </c>
      <c r="H123" s="179">
        <f t="shared" si="209"/>
        <v>149027.21156999998</v>
      </c>
      <c r="I123" s="433">
        <f t="shared" si="209"/>
        <v>176559.21156999998</v>
      </c>
      <c r="J123" s="179">
        <f t="shared" si="209"/>
        <v>185662.21156999998</v>
      </c>
      <c r="K123" s="179">
        <f t="shared" si="209"/>
        <v>190640.42874573122</v>
      </c>
      <c r="L123" s="179">
        <f t="shared" si="209"/>
        <v>195891.73592146244</v>
      </c>
      <c r="M123" s="179">
        <f t="shared" si="209"/>
        <v>201292.3896124656</v>
      </c>
      <c r="N123" s="179">
        <f t="shared" si="209"/>
        <v>206850.5825187407</v>
      </c>
      <c r="O123" s="179">
        <f t="shared" si="209"/>
        <v>212570.79503574589</v>
      </c>
      <c r="P123" s="179">
        <f t="shared" si="209"/>
        <v>218457.75333993934</v>
      </c>
    </row>
    <row r="124" spans="1:19" s="96" customFormat="1" x14ac:dyDescent="0.2">
      <c r="A124" s="64"/>
      <c r="B124" s="149" t="s">
        <v>191</v>
      </c>
      <c r="C124" s="179">
        <f>+C112</f>
        <v>0</v>
      </c>
      <c r="D124" s="179">
        <f>+D112</f>
        <v>0</v>
      </c>
      <c r="E124" s="179">
        <f>+E112</f>
        <v>10279</v>
      </c>
      <c r="F124" s="179">
        <f>+F112</f>
        <v>14924</v>
      </c>
      <c r="G124" s="406">
        <f>+G112</f>
        <v>27430</v>
      </c>
      <c r="H124" s="179">
        <f t="shared" ref="H124:P124" si="210">+H112</f>
        <v>27532</v>
      </c>
      <c r="I124" s="433">
        <f t="shared" si="210"/>
        <v>9103</v>
      </c>
      <c r="J124" s="179">
        <f t="shared" si="210"/>
        <v>4978.2171757312317</v>
      </c>
      <c r="K124" s="179">
        <f t="shared" si="210"/>
        <v>5251.3071757312318</v>
      </c>
      <c r="L124" s="179">
        <f t="shared" si="210"/>
        <v>5400.6536910031682</v>
      </c>
      <c r="M124" s="179">
        <f t="shared" si="210"/>
        <v>5558.1929062751051</v>
      </c>
      <c r="N124" s="179">
        <f t="shared" si="210"/>
        <v>5720.2125170052004</v>
      </c>
      <c r="O124" s="179">
        <f t="shared" si="210"/>
        <v>5886.9583041934538</v>
      </c>
      <c r="P124" s="179">
        <f t="shared" si="210"/>
        <v>6058.5646797036097</v>
      </c>
    </row>
    <row r="125" spans="1:19" s="96" customFormat="1" x14ac:dyDescent="0.2">
      <c r="A125" s="64"/>
      <c r="B125" s="149" t="s">
        <v>190</v>
      </c>
      <c r="C125" s="178">
        <f>+'[13]Расчет ТЭЦ-1'!$P$216/1000-C122/12*7</f>
        <v>19295.506466078161</v>
      </c>
      <c r="D125" s="179">
        <f>IF(+C125+C122&gt;C123,C123,+C125+C122)</f>
        <v>27873.063718515601</v>
      </c>
      <c r="E125" s="179">
        <f t="shared" ref="E125:P125" si="211">IF(+D125+D122&gt;D123,D123,+D125+D122)</f>
        <v>36450.620970953038</v>
      </c>
      <c r="F125" s="179">
        <f t="shared" si="211"/>
        <v>45028.178223390481</v>
      </c>
      <c r="G125" s="406">
        <f t="shared" si="211"/>
        <v>54633.635475827919</v>
      </c>
      <c r="H125" s="179">
        <f t="shared" si="211"/>
        <v>65731.492728265352</v>
      </c>
      <c r="I125" s="433">
        <f t="shared" si="211"/>
        <v>79572.349980702798</v>
      </c>
      <c r="J125" s="179">
        <f t="shared" si="211"/>
        <v>96166.407233140242</v>
      </c>
      <c r="K125" s="179">
        <f t="shared" si="211"/>
        <v>113670.76448557767</v>
      </c>
      <c r="L125" s="179">
        <f t="shared" si="211"/>
        <v>131672.94345558825</v>
      </c>
      <c r="M125" s="179">
        <f t="shared" si="211"/>
        <v>150200.25314317193</v>
      </c>
      <c r="N125" s="179">
        <f t="shared" si="211"/>
        <v>169267.62819985591</v>
      </c>
      <c r="O125" s="179">
        <f t="shared" si="211"/>
        <v>188890.82254716742</v>
      </c>
      <c r="P125" s="179">
        <f t="shared" si="211"/>
        <v>209086.03814617946</v>
      </c>
    </row>
    <row r="126" spans="1:19" s="96" customFormat="1" x14ac:dyDescent="0.2">
      <c r="A126" s="64"/>
      <c r="B126" s="149" t="s">
        <v>189</v>
      </c>
      <c r="C126" s="174">
        <f>+C125/C123</f>
        <v>0.20017287502855977</v>
      </c>
      <c r="D126" s="174">
        <f t="shared" ref="D126:P126" si="212">+D125/D123</f>
        <v>0.28915702783952552</v>
      </c>
      <c r="E126" s="174">
        <f t="shared" si="212"/>
        <v>0.37814118065049118</v>
      </c>
      <c r="F126" s="174">
        <f t="shared" si="212"/>
        <v>0.42211327062036147</v>
      </c>
      <c r="G126" s="386">
        <f t="shared" si="212"/>
        <v>0.44930006840146097</v>
      </c>
      <c r="H126" s="174">
        <f t="shared" si="212"/>
        <v>0.441070406107615</v>
      </c>
      <c r="I126" s="70">
        <f t="shared" si="212"/>
        <v>0.45068365039200997</v>
      </c>
      <c r="J126" s="174">
        <f t="shared" si="212"/>
        <v>0.5179643526807971</v>
      </c>
      <c r="K126" s="174">
        <f t="shared" si="212"/>
        <v>0.59625739006906719</v>
      </c>
      <c r="L126" s="174">
        <f t="shared" si="212"/>
        <v>0.67217201805990934</v>
      </c>
      <c r="M126" s="174">
        <f t="shared" si="212"/>
        <v>0.7461794925895715</v>
      </c>
      <c r="N126" s="174">
        <f t="shared" si="212"/>
        <v>0.81830868513275878</v>
      </c>
      <c r="O126" s="174">
        <f t="shared" si="212"/>
        <v>0.88860194795528502</v>
      </c>
      <c r="P126" s="174">
        <f t="shared" si="212"/>
        <v>0.95710056040365532</v>
      </c>
    </row>
    <row r="127" spans="1:19" s="96" customFormat="1" x14ac:dyDescent="0.2">
      <c r="A127" s="64">
        <v>32</v>
      </c>
      <c r="B127" s="149" t="s">
        <v>188</v>
      </c>
      <c r="C127" s="180">
        <f>IF(+C123+C124-C125-C122&lt;0,0,+C123+C124-C125-C122)</f>
        <v>68521.147851484391</v>
      </c>
      <c r="D127" s="180">
        <f t="shared" ref="D127:P127" si="213">IF(+D123+D124-D125-D122&lt;0,0,+D123+D124-D125-D122)</f>
        <v>59943.590599046947</v>
      </c>
      <c r="E127" s="180">
        <f t="shared" si="213"/>
        <v>61645.033346609518</v>
      </c>
      <c r="F127" s="180">
        <f t="shared" si="213"/>
        <v>66963.57609417208</v>
      </c>
      <c r="G127" s="404">
        <f t="shared" si="213"/>
        <v>83295.718841734633</v>
      </c>
      <c r="H127" s="180">
        <f t="shared" si="213"/>
        <v>96986.861589297187</v>
      </c>
      <c r="I127" s="434">
        <f t="shared" si="213"/>
        <v>89495.804336859743</v>
      </c>
      <c r="J127" s="180">
        <f t="shared" si="213"/>
        <v>76969.664260153542</v>
      </c>
      <c r="K127" s="180">
        <f t="shared" si="213"/>
        <v>64218.792465874212</v>
      </c>
      <c r="L127" s="180">
        <f t="shared" si="213"/>
        <v>51092.13646929367</v>
      </c>
      <c r="M127" s="180">
        <f t="shared" si="213"/>
        <v>37582.954318884775</v>
      </c>
      <c r="N127" s="180">
        <f t="shared" si="213"/>
        <v>23679.972488578464</v>
      </c>
      <c r="O127" s="180">
        <f t="shared" si="213"/>
        <v>9371.7151937598865</v>
      </c>
      <c r="P127" s="180">
        <f t="shared" si="213"/>
        <v>6058.5646797036134</v>
      </c>
    </row>
    <row r="128" spans="1:19" s="96" customFormat="1" x14ac:dyDescent="0.2">
      <c r="A128" s="64">
        <v>34</v>
      </c>
      <c r="B128" s="65" t="s">
        <v>11</v>
      </c>
      <c r="C128" s="199">
        <f>+'[13]Налог на имущество'!$D$78/1000</f>
        <v>1540.7661580000001</v>
      </c>
      <c r="D128" s="181">
        <f t="shared" ref="D128:P128" si="214">+D127*2.2%</f>
        <v>1318.758993179033</v>
      </c>
      <c r="E128" s="181">
        <f t="shared" si="214"/>
        <v>1356.1907336254096</v>
      </c>
      <c r="F128" s="181">
        <f t="shared" si="214"/>
        <v>1473.1986740717859</v>
      </c>
      <c r="G128" s="407">
        <f t="shared" si="214"/>
        <v>1832.5058145181622</v>
      </c>
      <c r="H128" s="160">
        <f t="shared" si="214"/>
        <v>2133.7109549645384</v>
      </c>
      <c r="I128" s="181">
        <f t="shared" si="214"/>
        <v>1968.9076954109146</v>
      </c>
      <c r="J128" s="181">
        <f t="shared" si="214"/>
        <v>1693.332613723378</v>
      </c>
      <c r="K128" s="181">
        <f t="shared" si="214"/>
        <v>1412.8134342492328</v>
      </c>
      <c r="L128" s="181">
        <f t="shared" si="214"/>
        <v>1124.0270023244609</v>
      </c>
      <c r="M128" s="181">
        <f t="shared" si="214"/>
        <v>826.82499501546511</v>
      </c>
      <c r="N128" s="181">
        <f t="shared" si="214"/>
        <v>520.95939474872625</v>
      </c>
      <c r="O128" s="181">
        <f t="shared" si="214"/>
        <v>206.17773426271754</v>
      </c>
      <c r="P128" s="181">
        <f t="shared" si="214"/>
        <v>133.28842295347951</v>
      </c>
    </row>
    <row r="129" spans="1:17" s="96" customFormat="1" x14ac:dyDescent="0.2">
      <c r="A129" s="64">
        <v>35</v>
      </c>
      <c r="B129" s="65" t="s">
        <v>43</v>
      </c>
      <c r="C129" s="171"/>
      <c r="D129" s="171"/>
      <c r="E129" s="171"/>
      <c r="F129" s="171"/>
      <c r="G129" s="408"/>
      <c r="H129" s="449"/>
      <c r="I129" s="171"/>
      <c r="J129" s="171"/>
      <c r="K129" s="171"/>
      <c r="L129" s="171"/>
      <c r="M129" s="171"/>
      <c r="N129" s="171"/>
      <c r="O129" s="171"/>
      <c r="P129" s="171"/>
    </row>
    <row r="130" spans="1:17" s="96" customFormat="1" x14ac:dyDescent="0.2">
      <c r="A130" s="64">
        <v>36</v>
      </c>
      <c r="B130" s="65" t="s">
        <v>44</v>
      </c>
      <c r="C130" s="171"/>
      <c r="D130" s="171"/>
      <c r="E130" s="171"/>
      <c r="F130" s="171"/>
      <c r="G130" s="408"/>
      <c r="H130" s="449"/>
      <c r="I130" s="171"/>
      <c r="J130" s="171"/>
      <c r="K130" s="171"/>
      <c r="L130" s="171"/>
      <c r="M130" s="171"/>
      <c r="N130" s="171"/>
      <c r="O130" s="171"/>
      <c r="P130" s="171"/>
    </row>
    <row r="131" spans="1:17" s="96" customFormat="1" x14ac:dyDescent="0.2">
      <c r="A131" s="64">
        <v>37</v>
      </c>
      <c r="B131" s="65" t="s">
        <v>45</v>
      </c>
      <c r="C131" s="171"/>
      <c r="D131" s="171"/>
      <c r="E131" s="171"/>
      <c r="F131" s="171"/>
      <c r="G131" s="408"/>
      <c r="H131" s="449"/>
      <c r="I131" s="171"/>
      <c r="J131" s="171"/>
      <c r="K131" s="171"/>
      <c r="L131" s="171"/>
      <c r="M131" s="171"/>
      <c r="N131" s="171"/>
      <c r="O131" s="171"/>
      <c r="P131" s="171"/>
    </row>
    <row r="132" spans="1:17" s="96" customFormat="1" x14ac:dyDescent="0.2">
      <c r="A132" s="64">
        <v>38</v>
      </c>
      <c r="B132" s="129" t="s">
        <v>46</v>
      </c>
      <c r="C132" s="171"/>
      <c r="D132" s="171"/>
      <c r="E132" s="171"/>
      <c r="F132" s="171"/>
      <c r="G132" s="408"/>
      <c r="H132" s="449"/>
      <c r="I132" s="171"/>
      <c r="J132" s="171"/>
      <c r="K132" s="171"/>
      <c r="L132" s="171"/>
      <c r="M132" s="171"/>
      <c r="N132" s="171"/>
      <c r="O132" s="171"/>
      <c r="P132" s="171"/>
    </row>
    <row r="133" spans="1:17" s="96" customFormat="1" x14ac:dyDescent="0.2">
      <c r="A133" s="64">
        <v>39</v>
      </c>
      <c r="B133" s="129" t="s">
        <v>360</v>
      </c>
      <c r="C133" s="182">
        <f>C122+C128+C132</f>
        <v>10118.323410437441</v>
      </c>
      <c r="D133" s="182">
        <f t="shared" ref="D133:P133" si="215">D122+D128+D132</f>
        <v>9896.3162456164737</v>
      </c>
      <c r="E133" s="182">
        <f t="shared" si="215"/>
        <v>9933.74798606285</v>
      </c>
      <c r="F133" s="182">
        <f t="shared" si="215"/>
        <v>11078.655926509226</v>
      </c>
      <c r="G133" s="409">
        <f t="shared" si="215"/>
        <v>12930.363066955602</v>
      </c>
      <c r="H133" s="450">
        <f t="shared" si="215"/>
        <v>15974.568207401979</v>
      </c>
      <c r="I133" s="182">
        <f t="shared" si="215"/>
        <v>18562.964947848355</v>
      </c>
      <c r="J133" s="182">
        <f t="shared" si="215"/>
        <v>19197.689866160817</v>
      </c>
      <c r="K133" s="182">
        <f t="shared" si="215"/>
        <v>19414.992404259796</v>
      </c>
      <c r="L133" s="182">
        <f t="shared" si="215"/>
        <v>19651.336689908145</v>
      </c>
      <c r="M133" s="182">
        <f t="shared" si="215"/>
        <v>19894.200051699467</v>
      </c>
      <c r="N133" s="182">
        <f t="shared" si="215"/>
        <v>20144.15374206024</v>
      </c>
      <c r="O133" s="182">
        <f t="shared" si="215"/>
        <v>20401.393333274751</v>
      </c>
      <c r="P133" s="182">
        <f t="shared" si="215"/>
        <v>9505.0036167133658</v>
      </c>
    </row>
    <row r="134" spans="1:17" s="96" customFormat="1" x14ac:dyDescent="0.2">
      <c r="A134" s="64">
        <v>40</v>
      </c>
      <c r="B134" s="129" t="s">
        <v>13</v>
      </c>
      <c r="C134" s="172"/>
      <c r="D134" s="172"/>
      <c r="E134" s="172"/>
      <c r="F134" s="172"/>
      <c r="G134" s="410"/>
      <c r="H134" s="169"/>
      <c r="I134" s="172"/>
      <c r="J134" s="172"/>
      <c r="K134" s="172"/>
      <c r="L134" s="172"/>
      <c r="M134" s="172"/>
      <c r="N134" s="172"/>
      <c r="O134" s="172"/>
      <c r="P134" s="172"/>
    </row>
    <row r="135" spans="1:17" s="96" customFormat="1" x14ac:dyDescent="0.2">
      <c r="A135" s="64"/>
      <c r="B135" s="168"/>
      <c r="C135" s="169"/>
      <c r="D135" s="169"/>
      <c r="E135" s="169"/>
      <c r="F135" s="169"/>
      <c r="G135" s="411"/>
      <c r="H135" s="169"/>
      <c r="I135" s="172"/>
      <c r="J135" s="169"/>
      <c r="K135" s="169"/>
      <c r="L135" s="169"/>
      <c r="M135" s="169"/>
      <c r="N135" s="169"/>
      <c r="O135" s="169"/>
      <c r="P135" s="169"/>
    </row>
    <row r="136" spans="1:17" s="18" customFormat="1" ht="12" x14ac:dyDescent="0.2">
      <c r="A136" s="56"/>
      <c r="B136" s="256" t="s">
        <v>386</v>
      </c>
      <c r="C136" s="48"/>
      <c r="D136" s="28"/>
      <c r="E136" s="28"/>
      <c r="F136" s="28"/>
      <c r="G136" s="398"/>
      <c r="H136" s="26"/>
      <c r="I136" s="27"/>
      <c r="J136" s="28"/>
      <c r="K136" s="28"/>
      <c r="L136" s="28"/>
      <c r="M136" s="28"/>
      <c r="N136" s="28"/>
      <c r="O136" s="28"/>
      <c r="P136" s="28"/>
      <c r="Q136" s="17"/>
    </row>
    <row r="137" spans="1:17" s="139" customFormat="1" ht="22.5" x14ac:dyDescent="0.2">
      <c r="A137" s="64">
        <v>43</v>
      </c>
      <c r="B137" s="168" t="s">
        <v>231</v>
      </c>
      <c r="C137" s="189">
        <f>SUM(C138:C143)</f>
        <v>314380.34920906881</v>
      </c>
      <c r="D137" s="189">
        <f t="shared" ref="D137:P137" si="216">SUM(D138:D143)</f>
        <v>373843.56761762506</v>
      </c>
      <c r="E137" s="189">
        <f t="shared" si="216"/>
        <v>401136.79141697747</v>
      </c>
      <c r="F137" s="189">
        <f t="shared" si="216"/>
        <v>419059.4255103707</v>
      </c>
      <c r="G137" s="412">
        <f t="shared" si="216"/>
        <v>447442.8466456873</v>
      </c>
      <c r="H137" s="189">
        <f t="shared" si="216"/>
        <v>474375.41442277515</v>
      </c>
      <c r="I137" s="435">
        <f t="shared" si="216"/>
        <v>505603.29262897774</v>
      </c>
      <c r="J137" s="189">
        <f t="shared" si="216"/>
        <v>503244.67376535124</v>
      </c>
      <c r="K137" s="189">
        <f t="shared" si="216"/>
        <v>515583.6623376768</v>
      </c>
      <c r="L137" s="189">
        <f t="shared" si="216"/>
        <v>527947.24938139541</v>
      </c>
      <c r="M137" s="189">
        <f t="shared" si="216"/>
        <v>529851.20699721552</v>
      </c>
      <c r="N137" s="189">
        <f t="shared" si="216"/>
        <v>531781.44914306526</v>
      </c>
      <c r="O137" s="189">
        <f t="shared" si="216"/>
        <v>538553.02235477977</v>
      </c>
      <c r="P137" s="189">
        <f t="shared" si="216"/>
        <v>550291.21756283729</v>
      </c>
      <c r="Q137" s="96"/>
    </row>
    <row r="138" spans="1:17" s="139" customFormat="1" x14ac:dyDescent="0.2">
      <c r="A138" s="64" t="s">
        <v>79</v>
      </c>
      <c r="B138" s="149" t="s">
        <v>193</v>
      </c>
      <c r="C138" s="160">
        <f t="shared" ref="C138:P138" si="217">+C15*C93</f>
        <v>31189.395810000005</v>
      </c>
      <c r="D138" s="160">
        <f t="shared" si="217"/>
        <v>33104.005142534894</v>
      </c>
      <c r="E138" s="160">
        <f t="shared" si="217"/>
        <v>33524.764413009456</v>
      </c>
      <c r="F138" s="160">
        <f t="shared" si="217"/>
        <v>33950.871627423978</v>
      </c>
      <c r="G138" s="160">
        <f t="shared" si="217"/>
        <v>34382.394759335766</v>
      </c>
      <c r="H138" s="160">
        <f t="shared" si="217"/>
        <v>34819.402646261166</v>
      </c>
      <c r="I138" s="160">
        <f t="shared" si="217"/>
        <v>35261.965000656666</v>
      </c>
      <c r="J138" s="160">
        <f t="shared" si="217"/>
        <v>35710.152421039595</v>
      </c>
      <c r="K138" s="160">
        <f t="shared" si="217"/>
        <v>36164.036403250138</v>
      </c>
      <c r="L138" s="160">
        <f t="shared" si="217"/>
        <v>36623.689351856527</v>
      </c>
      <c r="M138" s="160">
        <f t="shared" si="217"/>
        <v>37089.184591705147</v>
      </c>
      <c r="N138" s="160">
        <f t="shared" si="217"/>
        <v>37560.596379617506</v>
      </c>
      <c r="O138" s="160">
        <f t="shared" si="217"/>
        <v>38037.999916235836</v>
      </c>
      <c r="P138" s="160">
        <f t="shared" si="217"/>
        <v>38521.471358019247</v>
      </c>
      <c r="Q138" s="96"/>
    </row>
    <row r="139" spans="1:17" s="139" customFormat="1" x14ac:dyDescent="0.2">
      <c r="A139" s="64" t="s">
        <v>80</v>
      </c>
      <c r="B139" s="149" t="s">
        <v>194</v>
      </c>
      <c r="C139" s="160">
        <f t="shared" ref="C139:P139" si="218">+C8*C91*12/1000</f>
        <v>8064.7545769161507</v>
      </c>
      <c r="D139" s="160">
        <f t="shared" si="218"/>
        <v>8731.3412338498983</v>
      </c>
      <c r="E139" s="160">
        <f t="shared" si="218"/>
        <v>9081.0887339884703</v>
      </c>
      <c r="F139" s="160">
        <f t="shared" si="218"/>
        <v>9444.8459160965158</v>
      </c>
      <c r="G139" s="160">
        <f t="shared" si="218"/>
        <v>9823.1739598502518</v>
      </c>
      <c r="H139" s="160">
        <f t="shared" si="218"/>
        <v>9308.9554861561228</v>
      </c>
      <c r="I139" s="160">
        <f t="shared" si="218"/>
        <v>9923.6978295815243</v>
      </c>
      <c r="J139" s="160">
        <f t="shared" si="218"/>
        <v>10538.440173006929</v>
      </c>
      <c r="K139" s="160">
        <f t="shared" si="218"/>
        <v>10960.573841495328</v>
      </c>
      <c r="L139" s="160">
        <f t="shared" si="218"/>
        <v>11399.616732899649</v>
      </c>
      <c r="M139" s="160">
        <f t="shared" si="218"/>
        <v>11856.246172534038</v>
      </c>
      <c r="N139" s="160">
        <f t="shared" si="218"/>
        <v>12331.166617035195</v>
      </c>
      <c r="O139" s="160">
        <f t="shared" si="218"/>
        <v>12825.110741149865</v>
      </c>
      <c r="P139" s="160">
        <f t="shared" si="218"/>
        <v>13338.840568055246</v>
      </c>
      <c r="Q139" s="96"/>
    </row>
    <row r="140" spans="1:17" s="139" customFormat="1" x14ac:dyDescent="0.2">
      <c r="A140" s="64" t="s">
        <v>81</v>
      </c>
      <c r="B140" s="149" t="s">
        <v>36</v>
      </c>
      <c r="C140" s="160">
        <f t="shared" ref="C140:P140" si="219">+C97*C62</f>
        <v>274214.16347215261</v>
      </c>
      <c r="D140" s="160">
        <f t="shared" si="219"/>
        <v>331059.70447724027</v>
      </c>
      <c r="E140" s="160">
        <f t="shared" si="219"/>
        <v>357544.48083541956</v>
      </c>
      <c r="F140" s="160">
        <f t="shared" si="219"/>
        <v>374637.7922349078</v>
      </c>
      <c r="G140" s="402">
        <f t="shared" si="219"/>
        <v>402170.32556528121</v>
      </c>
      <c r="H140" s="160">
        <f t="shared" si="219"/>
        <v>429137.42583468894</v>
      </c>
      <c r="I140" s="181">
        <f t="shared" si="219"/>
        <v>459263.61412484391</v>
      </c>
      <c r="J140" s="160">
        <f t="shared" si="219"/>
        <v>455795.90487045329</v>
      </c>
      <c r="K140" s="160">
        <f t="shared" si="219"/>
        <v>467210.86874004581</v>
      </c>
      <c r="L140" s="160">
        <f t="shared" si="219"/>
        <v>478625.83260963828</v>
      </c>
      <c r="M140" s="160">
        <f t="shared" si="219"/>
        <v>479555.74111849535</v>
      </c>
      <c r="N140" s="160">
        <f t="shared" si="219"/>
        <v>480485.64962735225</v>
      </c>
      <c r="O140" s="160">
        <f t="shared" si="219"/>
        <v>486229.7137175714</v>
      </c>
      <c r="P140" s="160">
        <f t="shared" si="219"/>
        <v>496912.29973774729</v>
      </c>
      <c r="Q140" s="96"/>
    </row>
    <row r="141" spans="1:17" s="139" customFormat="1" x14ac:dyDescent="0.2">
      <c r="A141" s="64" t="s">
        <v>195</v>
      </c>
      <c r="B141" s="149" t="s">
        <v>269</v>
      </c>
      <c r="C141" s="187"/>
      <c r="D141" s="186"/>
      <c r="E141" s="186"/>
      <c r="F141" s="186"/>
      <c r="G141" s="413"/>
      <c r="H141" s="186"/>
      <c r="I141" s="170"/>
      <c r="J141" s="186"/>
      <c r="K141" s="186"/>
      <c r="L141" s="186"/>
      <c r="M141" s="186"/>
      <c r="N141" s="186"/>
      <c r="O141" s="186"/>
      <c r="P141" s="186"/>
      <c r="Q141" s="96"/>
    </row>
    <row r="142" spans="1:17" s="139" customFormat="1" x14ac:dyDescent="0.2">
      <c r="A142" s="64" t="s">
        <v>362</v>
      </c>
      <c r="B142" s="149" t="s">
        <v>270</v>
      </c>
      <c r="C142" s="257">
        <f>+[8]ГОД!$L$28-[8]ГОД!$L$31</f>
        <v>912.03534999999988</v>
      </c>
      <c r="D142" s="160">
        <f t="shared" ref="D142:P142" si="220">+C142*(D108)</f>
        <v>948.51676399999985</v>
      </c>
      <c r="E142" s="160">
        <f t="shared" si="220"/>
        <v>986.45743455999991</v>
      </c>
      <c r="F142" s="160">
        <f t="shared" si="220"/>
        <v>1025.9157319424</v>
      </c>
      <c r="G142" s="160">
        <f t="shared" si="220"/>
        <v>1066.952361220096</v>
      </c>
      <c r="H142" s="160">
        <f t="shared" si="220"/>
        <v>1109.6304556688999</v>
      </c>
      <c r="I142" s="160">
        <f t="shared" si="220"/>
        <v>1154.0156738956559</v>
      </c>
      <c r="J142" s="160">
        <f t="shared" si="220"/>
        <v>1200.1763008514822</v>
      </c>
      <c r="K142" s="160">
        <f t="shared" si="220"/>
        <v>1248.1833528855416</v>
      </c>
      <c r="L142" s="160">
        <f t="shared" si="220"/>
        <v>1298.1106870009633</v>
      </c>
      <c r="M142" s="160">
        <f t="shared" si="220"/>
        <v>1350.0351144810018</v>
      </c>
      <c r="N142" s="160">
        <f t="shared" si="220"/>
        <v>1404.036519060242</v>
      </c>
      <c r="O142" s="160">
        <f t="shared" si="220"/>
        <v>1460.1979798226516</v>
      </c>
      <c r="P142" s="160">
        <f t="shared" si="220"/>
        <v>1518.6058990155577</v>
      </c>
      <c r="Q142" s="96"/>
    </row>
    <row r="143" spans="1:17" s="139" customFormat="1" x14ac:dyDescent="0.2">
      <c r="A143" s="64"/>
      <c r="B143" s="149"/>
      <c r="C143" s="187"/>
      <c r="D143" s="186"/>
      <c r="E143" s="186"/>
      <c r="F143" s="186"/>
      <c r="G143" s="413"/>
      <c r="H143" s="186"/>
      <c r="I143" s="170"/>
      <c r="J143" s="186"/>
      <c r="K143" s="186"/>
      <c r="L143" s="186"/>
      <c r="M143" s="186"/>
      <c r="N143" s="186"/>
      <c r="O143" s="186"/>
      <c r="P143" s="186"/>
      <c r="Q143" s="96"/>
    </row>
    <row r="144" spans="1:17" s="139" customFormat="1" ht="22.5" x14ac:dyDescent="0.2">
      <c r="A144" s="64">
        <v>44</v>
      </c>
      <c r="B144" s="168" t="s">
        <v>232</v>
      </c>
      <c r="C144" s="193">
        <f>+C145+C153+C163</f>
        <v>410948.28881332639</v>
      </c>
      <c r="D144" s="193">
        <f t="shared" ref="D144:P144" si="221">+D145+D153+D163</f>
        <v>455141.66908148257</v>
      </c>
      <c r="E144" s="193">
        <f t="shared" si="221"/>
        <v>470692.0126132688</v>
      </c>
      <c r="F144" s="193">
        <f t="shared" si="221"/>
        <v>478867.60732241545</v>
      </c>
      <c r="G144" s="414">
        <f t="shared" si="221"/>
        <v>493238.69527104188</v>
      </c>
      <c r="H144" s="193">
        <f t="shared" si="221"/>
        <v>508464.21971363004</v>
      </c>
      <c r="I144" s="436">
        <f t="shared" si="221"/>
        <v>521790.34664574481</v>
      </c>
      <c r="J144" s="193">
        <f t="shared" si="221"/>
        <v>536641.61740201933</v>
      </c>
      <c r="K144" s="193">
        <f t="shared" si="221"/>
        <v>561385.97530204011</v>
      </c>
      <c r="L144" s="193">
        <f t="shared" si="221"/>
        <v>587181.39916720008</v>
      </c>
      <c r="M144" s="193">
        <f t="shared" si="221"/>
        <v>606719.28869161976</v>
      </c>
      <c r="N144" s="193">
        <f t="shared" si="221"/>
        <v>626938.90904019237</v>
      </c>
      <c r="O144" s="193">
        <f t="shared" si="221"/>
        <v>647864.42290137068</v>
      </c>
      <c r="P144" s="193">
        <f t="shared" si="221"/>
        <v>658359.7456192805</v>
      </c>
      <c r="Q144" s="96"/>
    </row>
    <row r="145" spans="1:18" s="18" customFormat="1" x14ac:dyDescent="0.2">
      <c r="A145" s="56" t="s">
        <v>156</v>
      </c>
      <c r="B145" s="6" t="s">
        <v>157</v>
      </c>
      <c r="C145" s="193">
        <f>SUM(C146:C152)</f>
        <v>111980.76462502367</v>
      </c>
      <c r="D145" s="193">
        <f t="shared" ref="D145:P145" si="222">SUM(D146:D152)</f>
        <v>117816.3172153542</v>
      </c>
      <c r="E145" s="193">
        <f t="shared" si="222"/>
        <v>122528.96990396836</v>
      </c>
      <c r="F145" s="193">
        <f t="shared" si="222"/>
        <v>127430.1287001271</v>
      </c>
      <c r="G145" s="414">
        <f t="shared" si="222"/>
        <v>132527.33384813217</v>
      </c>
      <c r="H145" s="193">
        <f t="shared" si="222"/>
        <v>137828.42720205747</v>
      </c>
      <c r="I145" s="436">
        <f t="shared" si="222"/>
        <v>143341.56429013977</v>
      </c>
      <c r="J145" s="193">
        <f t="shared" si="222"/>
        <v>149075.22686174535</v>
      </c>
      <c r="K145" s="193">
        <f t="shared" si="222"/>
        <v>155038.23593621521</v>
      </c>
      <c r="L145" s="193">
        <f t="shared" si="222"/>
        <v>161239.7653736638</v>
      </c>
      <c r="M145" s="193">
        <f t="shared" si="222"/>
        <v>167689.35598861036</v>
      </c>
      <c r="N145" s="193">
        <f t="shared" si="222"/>
        <v>174396.93022815476</v>
      </c>
      <c r="O145" s="193">
        <f t="shared" si="222"/>
        <v>181372.80743728098</v>
      </c>
      <c r="P145" s="193">
        <f t="shared" si="222"/>
        <v>188627.7197347722</v>
      </c>
      <c r="Q145" s="17"/>
    </row>
    <row r="146" spans="1:18" s="232" customFormat="1" x14ac:dyDescent="0.2">
      <c r="A146" s="2"/>
      <c r="B146" s="334" t="s">
        <v>196</v>
      </c>
      <c r="C146" s="194">
        <f>+'[4]+Оп_i0'!$E$6+'[4]+Оп_i0'!$I$6</f>
        <v>3530.0871090760111</v>
      </c>
      <c r="D146" s="194">
        <f>+'[4]+Оп_i0'!$P$6+'[4]+Оп_i0'!$T$6</f>
        <v>3662.3456451544971</v>
      </c>
      <c r="E146" s="160">
        <f>+D146*E$108</f>
        <v>3808.8394709606773</v>
      </c>
      <c r="F146" s="160">
        <f t="shared" ref="F146:P146" si="223">+E146*F$108</f>
        <v>3961.1930497991048</v>
      </c>
      <c r="G146" s="160">
        <f t="shared" si="223"/>
        <v>4119.6407717910688</v>
      </c>
      <c r="H146" s="160">
        <f t="shared" si="223"/>
        <v>4284.4264026627116</v>
      </c>
      <c r="I146" s="160">
        <f t="shared" si="223"/>
        <v>4455.80345876922</v>
      </c>
      <c r="J146" s="160">
        <f t="shared" si="223"/>
        <v>4634.0355971199888</v>
      </c>
      <c r="K146" s="160">
        <f t="shared" si="223"/>
        <v>4819.3970210047883</v>
      </c>
      <c r="L146" s="160">
        <f t="shared" si="223"/>
        <v>5012.1729018449796</v>
      </c>
      <c r="M146" s="160">
        <f t="shared" si="223"/>
        <v>5212.6598179187786</v>
      </c>
      <c r="N146" s="160">
        <f t="shared" si="223"/>
        <v>5421.1662106355298</v>
      </c>
      <c r="O146" s="160">
        <f t="shared" si="223"/>
        <v>5638.0128590609511</v>
      </c>
      <c r="P146" s="160">
        <f t="shared" si="223"/>
        <v>5863.5333734233891</v>
      </c>
      <c r="Q146" s="11"/>
    </row>
    <row r="147" spans="1:18" s="232" customFormat="1" x14ac:dyDescent="0.2">
      <c r="A147" s="2"/>
      <c r="B147" s="191" t="s">
        <v>456</v>
      </c>
      <c r="C147" s="194">
        <f>+'[4]+Оп_i0'!$E$12+'[4]+Оп_i0'!$I$12</f>
        <v>15127.499749999997</v>
      </c>
      <c r="D147" s="612">
        <f>+[9]ГОД!$J$51+[9]ГОД!$J$64+[9]ГОД!$J$65</f>
        <v>18500</v>
      </c>
      <c r="E147" s="160">
        <f t="shared" ref="E147:P154" si="224">+D147*E$108</f>
        <v>19240</v>
      </c>
      <c r="F147" s="160">
        <f t="shared" si="224"/>
        <v>20009.600000000002</v>
      </c>
      <c r="G147" s="160">
        <f t="shared" si="224"/>
        <v>20809.984000000004</v>
      </c>
      <c r="H147" s="160">
        <f t="shared" si="224"/>
        <v>21642.383360000003</v>
      </c>
      <c r="I147" s="160">
        <f t="shared" si="224"/>
        <v>22508.078694400003</v>
      </c>
      <c r="J147" s="160">
        <f t="shared" si="224"/>
        <v>23408.401842176005</v>
      </c>
      <c r="K147" s="160">
        <f t="shared" si="224"/>
        <v>24344.737915863047</v>
      </c>
      <c r="L147" s="160">
        <f t="shared" si="224"/>
        <v>25318.527432497569</v>
      </c>
      <c r="M147" s="160">
        <f t="shared" si="224"/>
        <v>26331.268529797471</v>
      </c>
      <c r="N147" s="160">
        <f t="shared" si="224"/>
        <v>27384.519270989371</v>
      </c>
      <c r="O147" s="160">
        <f t="shared" si="224"/>
        <v>28479.900041828947</v>
      </c>
      <c r="P147" s="160">
        <f t="shared" si="224"/>
        <v>29619.096043502104</v>
      </c>
      <c r="Q147" s="11"/>
    </row>
    <row r="148" spans="1:18" s="232" customFormat="1" x14ac:dyDescent="0.2">
      <c r="A148" s="2"/>
      <c r="B148" s="191" t="s">
        <v>197</v>
      </c>
      <c r="C148" s="194">
        <f>+'[4]+Оп_i0'!$E$16+'[4]+Оп_i0'!$I$16</f>
        <v>75564.286783897987</v>
      </c>
      <c r="D148" s="194">
        <f>+'[4]+Оп_i0'!$P$16+'[4]+Оп_i0'!$T$16</f>
        <v>79405.267617175792</v>
      </c>
      <c r="E148" s="160">
        <f t="shared" si="224"/>
        <v>82581.478321862829</v>
      </c>
      <c r="F148" s="160">
        <f t="shared" si="224"/>
        <v>85884.737454737347</v>
      </c>
      <c r="G148" s="160">
        <f t="shared" si="224"/>
        <v>89320.126952926847</v>
      </c>
      <c r="H148" s="160">
        <f t="shared" si="224"/>
        <v>92892.932031043922</v>
      </c>
      <c r="I148" s="160">
        <f t="shared" si="224"/>
        <v>96608.649312285677</v>
      </c>
      <c r="J148" s="160">
        <f t="shared" si="224"/>
        <v>100472.99528477711</v>
      </c>
      <c r="K148" s="160">
        <f t="shared" si="224"/>
        <v>104491.91509616819</v>
      </c>
      <c r="L148" s="160">
        <f t="shared" si="224"/>
        <v>108671.59170001492</v>
      </c>
      <c r="M148" s="160">
        <f t="shared" si="224"/>
        <v>113018.45536801552</v>
      </c>
      <c r="N148" s="160">
        <f t="shared" si="224"/>
        <v>117539.19358273614</v>
      </c>
      <c r="O148" s="160">
        <f t="shared" si="224"/>
        <v>122240.7613260456</v>
      </c>
      <c r="P148" s="160">
        <f t="shared" si="224"/>
        <v>127130.39177908743</v>
      </c>
      <c r="Q148" s="11"/>
    </row>
    <row r="149" spans="1:18" s="232" customFormat="1" ht="22.5" x14ac:dyDescent="0.2">
      <c r="A149" s="2"/>
      <c r="B149" s="334" t="s">
        <v>198</v>
      </c>
      <c r="C149" s="194">
        <f>+'[4]+Оп_i0'!$E$17+'[4]+Оп_i0'!$I$17</f>
        <v>5183.5701976367582</v>
      </c>
      <c r="D149" s="194">
        <f>+'[4]+Оп_i0'!$P$17+'[4]+Оп_i0'!$T$17</f>
        <v>5377.7782680939645</v>
      </c>
      <c r="E149" s="160">
        <f t="shared" si="224"/>
        <v>5592.8893988177233</v>
      </c>
      <c r="F149" s="160">
        <f t="shared" si="224"/>
        <v>5816.6049747704328</v>
      </c>
      <c r="G149" s="160">
        <f t="shared" si="224"/>
        <v>6049.2691737612504</v>
      </c>
      <c r="H149" s="160">
        <f t="shared" si="224"/>
        <v>6291.2399407117009</v>
      </c>
      <c r="I149" s="160">
        <f t="shared" si="224"/>
        <v>6542.8895383401696</v>
      </c>
      <c r="J149" s="160">
        <f t="shared" si="224"/>
        <v>6804.6051198737769</v>
      </c>
      <c r="K149" s="160">
        <f t="shared" si="224"/>
        <v>7076.7893246687281</v>
      </c>
      <c r="L149" s="160">
        <f t="shared" si="224"/>
        <v>7359.8608976554779</v>
      </c>
      <c r="M149" s="160">
        <f t="shared" si="224"/>
        <v>7654.2553335616976</v>
      </c>
      <c r="N149" s="160">
        <f t="shared" si="224"/>
        <v>7960.4255469041655</v>
      </c>
      <c r="O149" s="160">
        <f t="shared" si="224"/>
        <v>8278.8425687803319</v>
      </c>
      <c r="P149" s="160">
        <f t="shared" si="224"/>
        <v>8609.9962715315451</v>
      </c>
      <c r="Q149" s="11"/>
    </row>
    <row r="150" spans="1:18" s="232" customFormat="1" ht="22.5" x14ac:dyDescent="0.2">
      <c r="A150" s="2"/>
      <c r="B150" s="334" t="s">
        <v>199</v>
      </c>
      <c r="C150" s="194">
        <f>+'[4]+Оп_i0'!$E$25+'[4]+Оп_i0'!$I$25</f>
        <v>7035.2942259891797</v>
      </c>
      <c r="D150" s="194">
        <f>+'[4]+Оп_i0'!$P$25+'[4]+Оп_i0'!$T$25</f>
        <v>8327.5489150800349</v>
      </c>
      <c r="E150" s="160">
        <f t="shared" si="224"/>
        <v>8660.6508716832359</v>
      </c>
      <c r="F150" s="160">
        <f t="shared" si="224"/>
        <v>9007.0769065505665</v>
      </c>
      <c r="G150" s="160">
        <f t="shared" si="224"/>
        <v>9367.3599828125898</v>
      </c>
      <c r="H150" s="160">
        <f t="shared" si="224"/>
        <v>9742.054382125094</v>
      </c>
      <c r="I150" s="160">
        <f t="shared" si="224"/>
        <v>10131.736557410099</v>
      </c>
      <c r="J150" s="160">
        <f t="shared" si="224"/>
        <v>10537.006019706503</v>
      </c>
      <c r="K150" s="160">
        <f t="shared" si="224"/>
        <v>10958.486260494763</v>
      </c>
      <c r="L150" s="160">
        <f t="shared" si="224"/>
        <v>11396.825710914554</v>
      </c>
      <c r="M150" s="160">
        <f t="shared" si="224"/>
        <v>11852.698739351137</v>
      </c>
      <c r="N150" s="160">
        <f t="shared" si="224"/>
        <v>12326.806688925182</v>
      </c>
      <c r="O150" s="160">
        <f t="shared" si="224"/>
        <v>12819.878956482189</v>
      </c>
      <c r="P150" s="160">
        <f t="shared" si="224"/>
        <v>13332.674114741478</v>
      </c>
      <c r="Q150" s="11"/>
    </row>
    <row r="151" spans="1:18" s="232" customFormat="1" x14ac:dyDescent="0.2">
      <c r="A151" s="2"/>
      <c r="B151" s="191" t="str">
        <f>+'[14]5.1.Опер_i0'!$B$19</f>
        <v>Арендная плата</v>
      </c>
      <c r="C151" s="194">
        <f>+'[4]+Оп_i0'!$E$36+'[4]+Оп_i0'!$I$36</f>
        <v>393.51890083200897</v>
      </c>
      <c r="D151" s="194">
        <f>+'[4]+Оп_i0'!$P$36+'[4]+Оп_i0'!$T$36</f>
        <v>688.12710272188781</v>
      </c>
      <c r="E151" s="160">
        <f t="shared" si="224"/>
        <v>715.6521868307633</v>
      </c>
      <c r="F151" s="160">
        <f t="shared" ref="F151:P151" si="225">+E151*F$108</f>
        <v>744.27827430399384</v>
      </c>
      <c r="G151" s="160">
        <f t="shared" si="225"/>
        <v>774.04940527615361</v>
      </c>
      <c r="H151" s="160">
        <f t="shared" si="225"/>
        <v>805.01138148719974</v>
      </c>
      <c r="I151" s="160">
        <f t="shared" si="225"/>
        <v>837.21183674668771</v>
      </c>
      <c r="J151" s="160">
        <f t="shared" si="225"/>
        <v>870.70031021655529</v>
      </c>
      <c r="K151" s="160">
        <f t="shared" si="225"/>
        <v>905.52832262521758</v>
      </c>
      <c r="L151" s="160">
        <f t="shared" si="225"/>
        <v>941.74945553022633</v>
      </c>
      <c r="M151" s="160">
        <f t="shared" si="225"/>
        <v>979.41943375143546</v>
      </c>
      <c r="N151" s="160">
        <f t="shared" si="225"/>
        <v>1018.5962111014929</v>
      </c>
      <c r="O151" s="160">
        <f t="shared" si="225"/>
        <v>1059.3400595455528</v>
      </c>
      <c r="P151" s="160">
        <f t="shared" si="225"/>
        <v>1101.7136619273749</v>
      </c>
      <c r="Q151" s="11"/>
    </row>
    <row r="152" spans="1:18" s="232" customFormat="1" x14ac:dyDescent="0.2">
      <c r="A152" s="2"/>
      <c r="B152" s="44" t="s">
        <v>126</v>
      </c>
      <c r="C152" s="194">
        <f>+'[4]+Оп_i0'!$E$33+'[4]+Оп_i0'!$E$34+'[4]+Оп_i0'!$E$37+'[4]+Оп_i0'!$I$33+'[4]+Оп_i0'!$I$34+'[4]+Оп_i0'!$I$37</f>
        <v>5146.5076575917119</v>
      </c>
      <c r="D152" s="194">
        <f>+'[4]+Оп_i0'!$P$33+'[4]+Оп_i0'!$P$34+'[4]+Оп_i0'!$P$37+'[4]+Оп_i0'!$T$33+'[4]+Оп_i0'!$T$34+'[4]+Оп_i0'!$T$37</f>
        <v>1855.2496671280046</v>
      </c>
      <c r="E152" s="160">
        <f t="shared" si="224"/>
        <v>1929.4596538131248</v>
      </c>
      <c r="F152" s="160">
        <f t="shared" ref="F152:P152" si="226">+E152*F$108</f>
        <v>2006.6380399656498</v>
      </c>
      <c r="G152" s="160">
        <f t="shared" si="226"/>
        <v>2086.9035615642761</v>
      </c>
      <c r="H152" s="160">
        <f t="shared" si="226"/>
        <v>2170.3797040268473</v>
      </c>
      <c r="I152" s="160">
        <f t="shared" si="226"/>
        <v>2257.1948921879211</v>
      </c>
      <c r="J152" s="160">
        <f t="shared" si="226"/>
        <v>2347.4826878754379</v>
      </c>
      <c r="K152" s="160">
        <f t="shared" si="226"/>
        <v>2441.3819953904554</v>
      </c>
      <c r="L152" s="160">
        <f t="shared" si="226"/>
        <v>2539.0372752060734</v>
      </c>
      <c r="M152" s="160">
        <f t="shared" si="226"/>
        <v>2640.5987662143166</v>
      </c>
      <c r="N152" s="160">
        <f t="shared" si="226"/>
        <v>2746.2227168628892</v>
      </c>
      <c r="O152" s="160">
        <f t="shared" si="226"/>
        <v>2856.071625537405</v>
      </c>
      <c r="P152" s="160">
        <f t="shared" si="226"/>
        <v>2970.3144905589015</v>
      </c>
      <c r="Q152" s="11"/>
    </row>
    <row r="153" spans="1:18" s="18" customFormat="1" x14ac:dyDescent="0.2">
      <c r="A153" s="56" t="s">
        <v>158</v>
      </c>
      <c r="B153" s="6" t="s">
        <v>159</v>
      </c>
      <c r="C153" s="193">
        <f>SUM(C154:C162)</f>
        <v>38707.342964427182</v>
      </c>
      <c r="D153" s="193">
        <f t="shared" ref="D153:P153" si="227">SUM(D154:D162)</f>
        <v>40006.950510101873</v>
      </c>
      <c r="E153" s="193">
        <f t="shared" si="227"/>
        <v>41104.434161404344</v>
      </c>
      <c r="F153" s="193">
        <f t="shared" si="227"/>
        <v>43351.796089141055</v>
      </c>
      <c r="G153" s="414">
        <f t="shared" si="227"/>
        <v>46350.055376369382</v>
      </c>
      <c r="H153" s="193">
        <f t="shared" si="227"/>
        <v>50586.674749468984</v>
      </c>
      <c r="I153" s="436">
        <f t="shared" si="227"/>
        <v>54415.18229187472</v>
      </c>
      <c r="J153" s="193">
        <f t="shared" si="227"/>
        <v>56339.622444224908</v>
      </c>
      <c r="K153" s="193">
        <f t="shared" si="227"/>
        <v>57898.228825723127</v>
      </c>
      <c r="L153" s="193">
        <f t="shared" si="227"/>
        <v>59529.529108506686</v>
      </c>
      <c r="M153" s="193">
        <f t="shared" si="227"/>
        <v>61223.146707318629</v>
      </c>
      <c r="N153" s="193">
        <f t="shared" si="227"/>
        <v>62981.884804180852</v>
      </c>
      <c r="O153" s="193">
        <f t="shared" si="227"/>
        <v>64808.260178156852</v>
      </c>
      <c r="P153" s="193">
        <f t="shared" si="227"/>
        <v>55543.771675667434</v>
      </c>
      <c r="Q153" s="17"/>
    </row>
    <row r="154" spans="1:18" s="232" customFormat="1" ht="22.5" x14ac:dyDescent="0.2">
      <c r="A154" s="2"/>
      <c r="B154" s="335" t="s">
        <v>202</v>
      </c>
      <c r="C154" s="194">
        <f>+'[4]+Рег'!$E$14</f>
        <v>131.94003999999998</v>
      </c>
      <c r="D154" s="159">
        <f>+'[4]+Рег'!$H$14</f>
        <v>131.94004000000001</v>
      </c>
      <c r="E154" s="160">
        <f t="shared" si="224"/>
        <v>137.21764160000001</v>
      </c>
      <c r="F154" s="160">
        <f t="shared" si="224"/>
        <v>142.70634726400002</v>
      </c>
      <c r="G154" s="160">
        <f t="shared" si="224"/>
        <v>148.41460115456002</v>
      </c>
      <c r="H154" s="160">
        <f t="shared" si="224"/>
        <v>154.35118520074244</v>
      </c>
      <c r="I154" s="160">
        <f t="shared" si="224"/>
        <v>160.52523260877214</v>
      </c>
      <c r="J154" s="160">
        <f t="shared" si="224"/>
        <v>166.94624191312303</v>
      </c>
      <c r="K154" s="160">
        <f t="shared" si="224"/>
        <v>173.62409158964795</v>
      </c>
      <c r="L154" s="160">
        <f t="shared" si="224"/>
        <v>180.56905525323387</v>
      </c>
      <c r="M154" s="160">
        <f t="shared" si="224"/>
        <v>187.79181746336323</v>
      </c>
      <c r="N154" s="160">
        <f t="shared" si="224"/>
        <v>195.30349016189777</v>
      </c>
      <c r="O154" s="160">
        <f t="shared" si="224"/>
        <v>203.11562976837368</v>
      </c>
      <c r="P154" s="160">
        <f t="shared" si="224"/>
        <v>211.24025495910863</v>
      </c>
      <c r="Q154" s="11"/>
    </row>
    <row r="155" spans="1:18" s="232" customFormat="1" x14ac:dyDescent="0.2">
      <c r="A155" s="2"/>
      <c r="B155" s="335" t="str">
        <f>+[15]ГОД!$B$54</f>
        <v>Услуги операторов рынка</v>
      </c>
      <c r="C155" s="194">
        <f>+[15]ГОД!$N$54</f>
        <v>1212.5342000000001</v>
      </c>
      <c r="D155" s="159">
        <f>+[9]ГОД!$J$108</f>
        <v>1532.7561900000001</v>
      </c>
      <c r="E155" s="160">
        <f t="shared" ref="E155" si="228">+D155*E$108</f>
        <v>1594.0664376000002</v>
      </c>
      <c r="F155" s="160">
        <f t="shared" ref="F155" si="229">+E155*F$108</f>
        <v>1657.8290951040003</v>
      </c>
      <c r="G155" s="160">
        <f t="shared" ref="G155" si="230">+F155*G$108</f>
        <v>1724.1422589081603</v>
      </c>
      <c r="H155" s="160">
        <f t="shared" ref="H155" si="231">+G155*H$108</f>
        <v>1793.1079492644867</v>
      </c>
      <c r="I155" s="160">
        <f t="shared" ref="I155" si="232">+H155*I$108</f>
        <v>1864.8322672350662</v>
      </c>
      <c r="J155" s="160">
        <f t="shared" ref="J155" si="233">+I155*J$108</f>
        <v>1939.4255579244689</v>
      </c>
      <c r="K155" s="160">
        <f t="shared" ref="K155" si="234">+J155*K$108</f>
        <v>2017.0025802414477</v>
      </c>
      <c r="L155" s="160">
        <f t="shared" ref="L155" si="235">+K155*L$108</f>
        <v>2097.6826834511057</v>
      </c>
      <c r="M155" s="160">
        <f t="shared" ref="M155" si="236">+L155*M$108</f>
        <v>2181.5899907891499</v>
      </c>
      <c r="N155" s="160">
        <f t="shared" ref="N155" si="237">+M155*N$108</f>
        <v>2268.853590420716</v>
      </c>
      <c r="O155" s="160">
        <f t="shared" ref="O155" si="238">+N155*O$108</f>
        <v>2359.6077340375446</v>
      </c>
      <c r="P155" s="160">
        <f t="shared" ref="P155" si="239">+O155*P$108</f>
        <v>2453.9920433990465</v>
      </c>
      <c r="Q155" s="11"/>
    </row>
    <row r="156" spans="1:18" s="232" customFormat="1" x14ac:dyDescent="0.2">
      <c r="A156" s="2"/>
      <c r="B156" s="191" t="str">
        <f>+B151</f>
        <v>Арендная плата</v>
      </c>
      <c r="C156" s="158"/>
      <c r="D156" s="158"/>
      <c r="E156" s="158"/>
      <c r="F156" s="158"/>
      <c r="G156" s="403"/>
      <c r="H156" s="158"/>
      <c r="I156" s="431"/>
      <c r="J156" s="158"/>
      <c r="K156" s="158"/>
      <c r="L156" s="158"/>
      <c r="M156" s="158"/>
      <c r="N156" s="158"/>
      <c r="O156" s="158"/>
      <c r="P156" s="158"/>
      <c r="Q156" s="11"/>
    </row>
    <row r="157" spans="1:18" s="232" customFormat="1" x14ac:dyDescent="0.2">
      <c r="A157" s="2"/>
      <c r="B157" s="44" t="s">
        <v>200</v>
      </c>
      <c r="C157" s="194">
        <f>+'[4]+А,С,Н'!$E$13+'[4]+А,С,Н'!$I$13</f>
        <v>1348.5984799999999</v>
      </c>
      <c r="D157" s="159">
        <f>+C157</f>
        <v>1348.5984799999999</v>
      </c>
      <c r="E157" s="160">
        <f>+D157</f>
        <v>1348.5984799999999</v>
      </c>
      <c r="F157" s="160">
        <f t="shared" ref="F157:P157" si="240">+E157</f>
        <v>1348.5984799999999</v>
      </c>
      <c r="G157" s="402">
        <f t="shared" si="240"/>
        <v>1348.5984799999999</v>
      </c>
      <c r="H157" s="160">
        <f t="shared" si="240"/>
        <v>1348.5984799999999</v>
      </c>
      <c r="I157" s="181">
        <f t="shared" si="240"/>
        <v>1348.5984799999999</v>
      </c>
      <c r="J157" s="160">
        <f t="shared" si="240"/>
        <v>1348.5984799999999</v>
      </c>
      <c r="K157" s="160">
        <f t="shared" si="240"/>
        <v>1348.5984799999999</v>
      </c>
      <c r="L157" s="160">
        <f t="shared" si="240"/>
        <v>1348.5984799999999</v>
      </c>
      <c r="M157" s="160">
        <f t="shared" si="240"/>
        <v>1348.5984799999999</v>
      </c>
      <c r="N157" s="160">
        <f t="shared" si="240"/>
        <v>1348.5984799999999</v>
      </c>
      <c r="O157" s="160">
        <f t="shared" si="240"/>
        <v>1348.5984799999999</v>
      </c>
      <c r="P157" s="160">
        <f t="shared" si="240"/>
        <v>1348.5984799999999</v>
      </c>
      <c r="Q157" s="11"/>
    </row>
    <row r="158" spans="1:18" s="232" customFormat="1" x14ac:dyDescent="0.2">
      <c r="A158" s="2"/>
      <c r="B158" s="44" t="s">
        <v>34</v>
      </c>
      <c r="C158" s="192">
        <f t="shared" ref="C158:P158" si="241">+C128</f>
        <v>1540.7661580000001</v>
      </c>
      <c r="D158" s="192">
        <f t="shared" si="241"/>
        <v>1318.758993179033</v>
      </c>
      <c r="E158" s="192">
        <f t="shared" si="241"/>
        <v>1356.1907336254096</v>
      </c>
      <c r="F158" s="192">
        <f t="shared" si="241"/>
        <v>1473.1986740717859</v>
      </c>
      <c r="G158" s="415">
        <f t="shared" si="241"/>
        <v>1832.5058145181622</v>
      </c>
      <c r="H158" s="192">
        <f t="shared" si="241"/>
        <v>2133.7109549645384</v>
      </c>
      <c r="I158" s="437">
        <f t="shared" si="241"/>
        <v>1968.9076954109146</v>
      </c>
      <c r="J158" s="192">
        <f t="shared" si="241"/>
        <v>1693.332613723378</v>
      </c>
      <c r="K158" s="192">
        <f t="shared" si="241"/>
        <v>1412.8134342492328</v>
      </c>
      <c r="L158" s="192">
        <f t="shared" si="241"/>
        <v>1124.0270023244609</v>
      </c>
      <c r="M158" s="192">
        <f t="shared" si="241"/>
        <v>826.82499501546511</v>
      </c>
      <c r="N158" s="192">
        <f t="shared" si="241"/>
        <v>520.95939474872625</v>
      </c>
      <c r="O158" s="192">
        <f t="shared" si="241"/>
        <v>206.17773426271754</v>
      </c>
      <c r="P158" s="192">
        <f t="shared" si="241"/>
        <v>133.28842295347951</v>
      </c>
      <c r="Q158" s="11"/>
    </row>
    <row r="159" spans="1:18" s="232" customFormat="1" x14ac:dyDescent="0.2">
      <c r="A159" s="2"/>
      <c r="B159" s="44" t="s">
        <v>38</v>
      </c>
      <c r="C159" s="472">
        <f>+C148*$R159</f>
        <v>23635.208820906639</v>
      </c>
      <c r="D159" s="472">
        <f t="shared" ref="D159:P159" si="242">+D148*$R159</f>
        <v>24836.601541402291</v>
      </c>
      <c r="E159" s="472">
        <f t="shared" si="242"/>
        <v>25830.065603058385</v>
      </c>
      <c r="F159" s="472">
        <f t="shared" si="242"/>
        <v>26863.268227180721</v>
      </c>
      <c r="G159" s="472">
        <f t="shared" si="242"/>
        <v>27937.79895626795</v>
      </c>
      <c r="H159" s="472">
        <f t="shared" si="242"/>
        <v>29055.310914518668</v>
      </c>
      <c r="I159" s="472">
        <f t="shared" si="242"/>
        <v>30217.523351099415</v>
      </c>
      <c r="J159" s="472">
        <f t="shared" si="242"/>
        <v>31426.224285143391</v>
      </c>
      <c r="K159" s="472">
        <f t="shared" si="242"/>
        <v>32683.273256549128</v>
      </c>
      <c r="L159" s="472">
        <f t="shared" si="242"/>
        <v>33990.604186811091</v>
      </c>
      <c r="M159" s="472">
        <f t="shared" si="242"/>
        <v>35350.228354283543</v>
      </c>
      <c r="N159" s="472">
        <f t="shared" si="242"/>
        <v>36764.237488454884</v>
      </c>
      <c r="O159" s="472">
        <f t="shared" si="242"/>
        <v>38234.806987993077</v>
      </c>
      <c r="P159" s="472">
        <f t="shared" si="242"/>
        <v>39764.199267512806</v>
      </c>
      <c r="Q159" s="11"/>
      <c r="R159" s="45">
        <f>+[15]ГОД!$M$51/[15]ГОД!$M$49</f>
        <v>0.31278279497958644</v>
      </c>
    </row>
    <row r="160" spans="1:18" s="232" customFormat="1" x14ac:dyDescent="0.2">
      <c r="A160" s="2"/>
      <c r="B160" s="44" t="s">
        <v>203</v>
      </c>
      <c r="C160" s="194">
        <f>+'[4]+А,С,Н'!$E$17+'[4]+А,С,Н'!$E$21+'[4]+А,С,Н'!$I$17+'[4]+А,С,Н'!$I$21</f>
        <v>2260.7380130831066</v>
      </c>
      <c r="D160" s="159">
        <f>+C160</f>
        <v>2260.7380130831066</v>
      </c>
      <c r="E160" s="160">
        <f>+D160</f>
        <v>2260.7380130831066</v>
      </c>
      <c r="F160" s="160">
        <f t="shared" ref="F160:P160" si="243">+E160</f>
        <v>2260.7380130831066</v>
      </c>
      <c r="G160" s="402">
        <f t="shared" si="243"/>
        <v>2260.7380130831066</v>
      </c>
      <c r="H160" s="160">
        <f t="shared" si="243"/>
        <v>2260.7380130831066</v>
      </c>
      <c r="I160" s="181">
        <f t="shared" si="243"/>
        <v>2260.7380130831066</v>
      </c>
      <c r="J160" s="160">
        <f t="shared" si="243"/>
        <v>2260.7380130831066</v>
      </c>
      <c r="K160" s="160">
        <f t="shared" si="243"/>
        <v>2260.7380130831066</v>
      </c>
      <c r="L160" s="160">
        <f t="shared" si="243"/>
        <v>2260.7380130831066</v>
      </c>
      <c r="M160" s="160">
        <f t="shared" si="243"/>
        <v>2260.7380130831066</v>
      </c>
      <c r="N160" s="160">
        <f t="shared" si="243"/>
        <v>2260.7380130831066</v>
      </c>
      <c r="O160" s="160">
        <f t="shared" si="243"/>
        <v>2260.7380130831066</v>
      </c>
      <c r="P160" s="160">
        <f t="shared" si="243"/>
        <v>2260.7380130831066</v>
      </c>
      <c r="Q160" s="11"/>
    </row>
    <row r="161" spans="1:17" s="232" customFormat="1" x14ac:dyDescent="0.2">
      <c r="A161" s="2"/>
      <c r="B161" s="44" t="s">
        <v>25</v>
      </c>
      <c r="C161" s="192">
        <f>+C122</f>
        <v>8577.5572524374402</v>
      </c>
      <c r="D161" s="192">
        <f t="shared" ref="D161:P161" si="244">+D122</f>
        <v>8577.5572524374402</v>
      </c>
      <c r="E161" s="192">
        <f t="shared" si="244"/>
        <v>8577.5572524374402</v>
      </c>
      <c r="F161" s="192">
        <f t="shared" si="244"/>
        <v>9605.4572524374398</v>
      </c>
      <c r="G161" s="415">
        <f t="shared" si="244"/>
        <v>11097.857252437439</v>
      </c>
      <c r="H161" s="192">
        <f t="shared" si="244"/>
        <v>13840.857252437439</v>
      </c>
      <c r="I161" s="437">
        <f t="shared" si="244"/>
        <v>16594.05725243744</v>
      </c>
      <c r="J161" s="192">
        <f t="shared" si="244"/>
        <v>17504.357252437439</v>
      </c>
      <c r="K161" s="192">
        <f t="shared" si="244"/>
        <v>18002.178970010562</v>
      </c>
      <c r="L161" s="192">
        <f t="shared" si="244"/>
        <v>18527.309687583685</v>
      </c>
      <c r="M161" s="192">
        <f t="shared" si="244"/>
        <v>19067.375056684003</v>
      </c>
      <c r="N161" s="192">
        <f t="shared" si="244"/>
        <v>19623.194347311513</v>
      </c>
      <c r="O161" s="192">
        <f t="shared" si="244"/>
        <v>20195.215599012034</v>
      </c>
      <c r="P161" s="192">
        <f t="shared" si="244"/>
        <v>9371.7151937598865</v>
      </c>
      <c r="Q161" s="11"/>
    </row>
    <row r="162" spans="1:17" s="232" customFormat="1" x14ac:dyDescent="0.2">
      <c r="A162" s="2"/>
      <c r="B162" s="44" t="s">
        <v>201</v>
      </c>
      <c r="C162" s="192">
        <f>+C132</f>
        <v>0</v>
      </c>
      <c r="D162" s="192">
        <f t="shared" ref="D162:P162" si="245">+D132</f>
        <v>0</v>
      </c>
      <c r="E162" s="192">
        <f t="shared" si="245"/>
        <v>0</v>
      </c>
      <c r="F162" s="192">
        <f t="shared" si="245"/>
        <v>0</v>
      </c>
      <c r="G162" s="415">
        <f t="shared" si="245"/>
        <v>0</v>
      </c>
      <c r="H162" s="192">
        <f t="shared" si="245"/>
        <v>0</v>
      </c>
      <c r="I162" s="437">
        <f t="shared" si="245"/>
        <v>0</v>
      </c>
      <c r="J162" s="192">
        <f t="shared" si="245"/>
        <v>0</v>
      </c>
      <c r="K162" s="192">
        <f t="shared" si="245"/>
        <v>0</v>
      </c>
      <c r="L162" s="192">
        <f t="shared" si="245"/>
        <v>0</v>
      </c>
      <c r="M162" s="192">
        <f t="shared" si="245"/>
        <v>0</v>
      </c>
      <c r="N162" s="192">
        <f t="shared" si="245"/>
        <v>0</v>
      </c>
      <c r="O162" s="192">
        <f t="shared" si="245"/>
        <v>0</v>
      </c>
      <c r="P162" s="192">
        <f t="shared" si="245"/>
        <v>0</v>
      </c>
      <c r="Q162" s="11"/>
    </row>
    <row r="163" spans="1:17" s="18" customFormat="1" x14ac:dyDescent="0.2">
      <c r="A163" s="56" t="s">
        <v>160</v>
      </c>
      <c r="B163" s="6" t="s">
        <v>234</v>
      </c>
      <c r="C163" s="193">
        <f>SUM(C164:C167)</f>
        <v>260260.18122387552</v>
      </c>
      <c r="D163" s="193">
        <f t="shared" ref="D163:P163" si="246">SUM(D164:D167)</f>
        <v>297318.40135602647</v>
      </c>
      <c r="E163" s="193">
        <f t="shared" si="246"/>
        <v>307058.60854789609</v>
      </c>
      <c r="F163" s="193">
        <f t="shared" si="246"/>
        <v>308085.68253314728</v>
      </c>
      <c r="G163" s="414">
        <f t="shared" si="246"/>
        <v>314361.30604654033</v>
      </c>
      <c r="H163" s="193">
        <f t="shared" si="246"/>
        <v>320049.11776210356</v>
      </c>
      <c r="I163" s="436">
        <f t="shared" si="246"/>
        <v>324033.60006373032</v>
      </c>
      <c r="J163" s="193">
        <f t="shared" si="246"/>
        <v>331226.76809604908</v>
      </c>
      <c r="K163" s="193">
        <f t="shared" si="246"/>
        <v>348449.51054010185</v>
      </c>
      <c r="L163" s="193">
        <f t="shared" si="246"/>
        <v>366412.10468502954</v>
      </c>
      <c r="M163" s="193">
        <f t="shared" si="246"/>
        <v>377806.78599569079</v>
      </c>
      <c r="N163" s="193">
        <f t="shared" si="246"/>
        <v>389560.09400785679</v>
      </c>
      <c r="O163" s="193">
        <f t="shared" si="246"/>
        <v>401683.35528593283</v>
      </c>
      <c r="P163" s="193">
        <f t="shared" si="246"/>
        <v>414188.2542088409</v>
      </c>
      <c r="Q163" s="17"/>
    </row>
    <row r="164" spans="1:17" s="232" customFormat="1" x14ac:dyDescent="0.2">
      <c r="A164" s="2"/>
      <c r="B164" s="44" t="s">
        <v>161</v>
      </c>
      <c r="C164" s="192">
        <f t="shared" ref="C164:P164" si="247">+C66*C104/1000</f>
        <v>244511.01966972728</v>
      </c>
      <c r="D164" s="192">
        <f t="shared" si="247"/>
        <v>280170.5294088822</v>
      </c>
      <c r="E164" s="192">
        <f t="shared" si="247"/>
        <v>289561.00129189162</v>
      </c>
      <c r="F164" s="192">
        <f t="shared" si="247"/>
        <v>290333.57048706012</v>
      </c>
      <c r="G164" s="415">
        <f t="shared" si="247"/>
        <v>296350.17014550843</v>
      </c>
      <c r="H164" s="192">
        <f t="shared" si="247"/>
        <v>301774.33013285085</v>
      </c>
      <c r="I164" s="437">
        <f t="shared" si="247"/>
        <v>307964.24182525364</v>
      </c>
      <c r="J164" s="192">
        <f t="shared" si="247"/>
        <v>314915.60489886493</v>
      </c>
      <c r="K164" s="192">
        <f t="shared" si="247"/>
        <v>331891.96659577452</v>
      </c>
      <c r="L164" s="192">
        <f t="shared" si="247"/>
        <v>349603.4859500897</v>
      </c>
      <c r="M164" s="192">
        <f t="shared" si="247"/>
        <v>360742.27626475802</v>
      </c>
      <c r="N164" s="192">
        <f t="shared" si="247"/>
        <v>372234.75086095143</v>
      </c>
      <c r="O164" s="192">
        <f t="shared" si="247"/>
        <v>384092.10588427813</v>
      </c>
      <c r="P164" s="192">
        <f t="shared" si="247"/>
        <v>396325.89093322959</v>
      </c>
      <c r="Q164" s="11"/>
    </row>
    <row r="165" spans="1:17" s="232" customFormat="1" x14ac:dyDescent="0.2">
      <c r="A165" s="2"/>
      <c r="B165" s="44" t="s">
        <v>162</v>
      </c>
      <c r="C165" s="192">
        <f t="shared" ref="C165:P165" si="248">+(C17+C21)*C93</f>
        <v>14963.087894148244</v>
      </c>
      <c r="D165" s="192">
        <f t="shared" si="248"/>
        <v>16116.270067210797</v>
      </c>
      <c r="E165" s="192">
        <f t="shared" si="248"/>
        <v>16321.11144537799</v>
      </c>
      <c r="F165" s="192">
        <f t="shared" si="248"/>
        <v>16528.556403035625</v>
      </c>
      <c r="G165" s="192">
        <f t="shared" si="248"/>
        <v>16738.638032258285</v>
      </c>
      <c r="H165" s="192">
        <f t="shared" si="248"/>
        <v>16951.389845728176</v>
      </c>
      <c r="I165" s="192">
        <f t="shared" si="248"/>
        <v>14693.024543611178</v>
      </c>
      <c r="J165" s="192">
        <f t="shared" si="248"/>
        <v>14879.776154523999</v>
      </c>
      <c r="K165" s="192">
        <f t="shared" si="248"/>
        <v>15068.901419960775</v>
      </c>
      <c r="L165" s="192">
        <f t="shared" si="248"/>
        <v>15260.430509598609</v>
      </c>
      <c r="M165" s="192">
        <f t="shared" si="248"/>
        <v>15454.393976577903</v>
      </c>
      <c r="N165" s="192">
        <f t="shared" si="248"/>
        <v>15650.822762376283</v>
      </c>
      <c r="O165" s="192">
        <f t="shared" si="248"/>
        <v>15849.748201744431</v>
      </c>
      <c r="P165" s="192">
        <f t="shared" si="248"/>
        <v>16051.202027704683</v>
      </c>
      <c r="Q165" s="11"/>
    </row>
    <row r="166" spans="1:17" s="232" customFormat="1" x14ac:dyDescent="0.2">
      <c r="A166" s="2"/>
      <c r="B166" s="44" t="s">
        <v>163</v>
      </c>
      <c r="C166" s="194">
        <f>+'[4]+Всн'!$E$9</f>
        <v>786.07366000000002</v>
      </c>
      <c r="D166" s="159">
        <f>+'[4]+Всн'!$H$9</f>
        <v>1031.6018799335002</v>
      </c>
      <c r="E166" s="160">
        <f>+'[4]+Всн'!$K$9</f>
        <v>1176.4958106264771</v>
      </c>
      <c r="F166" s="160">
        <f>+E166*(E$108)</f>
        <v>1223.5556430515362</v>
      </c>
      <c r="G166" s="160">
        <f t="shared" ref="G166:P166" si="249">+F166*(F$108)</f>
        <v>1272.4978687735977</v>
      </c>
      <c r="H166" s="160">
        <f t="shared" si="249"/>
        <v>1323.3977835245416</v>
      </c>
      <c r="I166" s="160">
        <f t="shared" si="249"/>
        <v>1376.3336948655233</v>
      </c>
      <c r="J166" s="160">
        <f t="shared" si="249"/>
        <v>1431.3870426601443</v>
      </c>
      <c r="K166" s="160">
        <f t="shared" si="249"/>
        <v>1488.6425243665501</v>
      </c>
      <c r="L166" s="160">
        <f t="shared" si="249"/>
        <v>1548.1882253412123</v>
      </c>
      <c r="M166" s="160">
        <f t="shared" si="249"/>
        <v>1610.1157543548609</v>
      </c>
      <c r="N166" s="160">
        <f t="shared" si="249"/>
        <v>1674.5203845290553</v>
      </c>
      <c r="O166" s="160">
        <f t="shared" si="249"/>
        <v>1741.5011999102176</v>
      </c>
      <c r="P166" s="160">
        <f t="shared" si="249"/>
        <v>1811.1612479066264</v>
      </c>
      <c r="Q166" s="11"/>
    </row>
    <row r="167" spans="1:17" s="119" customFormat="1" x14ac:dyDescent="0.2">
      <c r="A167" s="2"/>
      <c r="B167" s="44" t="s">
        <v>164</v>
      </c>
      <c r="C167" s="190"/>
      <c r="D167" s="158"/>
      <c r="E167" s="158"/>
      <c r="F167" s="158"/>
      <c r="G167" s="403"/>
      <c r="H167" s="158"/>
      <c r="I167" s="431"/>
      <c r="J167" s="158"/>
      <c r="K167" s="158"/>
      <c r="L167" s="158"/>
      <c r="M167" s="158"/>
      <c r="N167" s="158"/>
      <c r="O167" s="158"/>
      <c r="P167" s="158"/>
      <c r="Q167" s="11"/>
    </row>
    <row r="168" spans="1:17" ht="12" thickBot="1" x14ac:dyDescent="0.25">
      <c r="A168" s="2"/>
      <c r="B168" s="6"/>
      <c r="C168" s="188"/>
      <c r="D168" s="158"/>
      <c r="E168" s="158"/>
      <c r="F168" s="158"/>
      <c r="G168" s="403"/>
      <c r="H168" s="158"/>
      <c r="I168" s="431"/>
      <c r="J168" s="158"/>
      <c r="K168" s="158"/>
      <c r="L168" s="158"/>
      <c r="M168" s="158"/>
      <c r="N168" s="158"/>
      <c r="O168" s="158"/>
      <c r="P168" s="158"/>
    </row>
    <row r="169" spans="1:17" s="216" customFormat="1" ht="22.5" x14ac:dyDescent="0.2">
      <c r="A169" s="56">
        <v>52</v>
      </c>
      <c r="B169" s="6" t="s">
        <v>224</v>
      </c>
      <c r="C169" s="189">
        <f t="shared" ref="C169:P169" si="250">C137-C144</f>
        <v>-96567.939604257583</v>
      </c>
      <c r="D169" s="189">
        <f t="shared" si="250"/>
        <v>-81298.101463857514</v>
      </c>
      <c r="E169" s="189">
        <f>E137-E144</f>
        <v>-69555.221196291328</v>
      </c>
      <c r="F169" s="189">
        <f t="shared" si="250"/>
        <v>-59808.181812044757</v>
      </c>
      <c r="G169" s="412">
        <f t="shared" si="250"/>
        <v>-45795.848625354585</v>
      </c>
      <c r="H169" s="189">
        <f t="shared" si="250"/>
        <v>-34088.805290854885</v>
      </c>
      <c r="I169" s="435">
        <f t="shared" si="250"/>
        <v>-16187.05401676707</v>
      </c>
      <c r="J169" s="189">
        <f t="shared" si="250"/>
        <v>-33396.943636668089</v>
      </c>
      <c r="K169" s="189">
        <f t="shared" si="250"/>
        <v>-45802.312964363315</v>
      </c>
      <c r="L169" s="189">
        <f t="shared" si="250"/>
        <v>-59234.149785804679</v>
      </c>
      <c r="M169" s="189">
        <f t="shared" si="250"/>
        <v>-76868.081694404245</v>
      </c>
      <c r="N169" s="189">
        <f t="shared" si="250"/>
        <v>-95157.459897127119</v>
      </c>
      <c r="O169" s="189">
        <f t="shared" si="250"/>
        <v>-109311.40054659091</v>
      </c>
      <c r="P169" s="189">
        <f t="shared" si="250"/>
        <v>-108068.5280564432</v>
      </c>
      <c r="Q169" s="17"/>
    </row>
    <row r="170" spans="1:17" s="11" customFormat="1" x14ac:dyDescent="0.2">
      <c r="A170" s="2">
        <v>53</v>
      </c>
      <c r="B170" s="44" t="s">
        <v>225</v>
      </c>
      <c r="C170" s="160">
        <f>+C112</f>
        <v>0</v>
      </c>
      <c r="D170" s="160">
        <f t="shared" ref="D170:P170" si="251">+D112</f>
        <v>0</v>
      </c>
      <c r="E170" s="160">
        <f t="shared" si="251"/>
        <v>10279</v>
      </c>
      <c r="F170" s="160">
        <f t="shared" si="251"/>
        <v>14924</v>
      </c>
      <c r="G170" s="402">
        <f t="shared" si="251"/>
        <v>27430</v>
      </c>
      <c r="H170" s="160">
        <f t="shared" si="251"/>
        <v>27532</v>
      </c>
      <c r="I170" s="181">
        <f t="shared" si="251"/>
        <v>9103</v>
      </c>
      <c r="J170" s="160">
        <f t="shared" si="251"/>
        <v>4978.2171757312317</v>
      </c>
      <c r="K170" s="160">
        <f t="shared" si="251"/>
        <v>5251.3071757312318</v>
      </c>
      <c r="L170" s="160">
        <f t="shared" si="251"/>
        <v>5400.6536910031682</v>
      </c>
      <c r="M170" s="160">
        <f t="shared" si="251"/>
        <v>5558.1929062751051</v>
      </c>
      <c r="N170" s="160">
        <f t="shared" si="251"/>
        <v>5720.2125170052004</v>
      </c>
      <c r="O170" s="160">
        <f t="shared" si="251"/>
        <v>5886.9583041934538</v>
      </c>
      <c r="P170" s="160">
        <f t="shared" si="251"/>
        <v>6058.5646797036097</v>
      </c>
    </row>
    <row r="171" spans="1:17" s="11" customFormat="1" x14ac:dyDescent="0.2">
      <c r="A171" s="2">
        <v>54</v>
      </c>
      <c r="B171" s="44" t="s">
        <v>226</v>
      </c>
      <c r="C171" s="160">
        <f>IF(C170=0,0,C169-C170)</f>
        <v>0</v>
      </c>
      <c r="D171" s="160">
        <f>IF(D170=0,C171,C170+D169-D170)</f>
        <v>0</v>
      </c>
      <c r="E171" s="160">
        <f>IF(E170=0,D171,D170+E169-E170)</f>
        <v>-79834.221196291328</v>
      </c>
      <c r="F171" s="160">
        <f>IF(F170=0,E171,E171+F169-F170)</f>
        <v>-154566.40300833608</v>
      </c>
      <c r="G171" s="402">
        <f>IF(G170=0,F171,F171+G169-G170)</f>
        <v>-227792.25163369067</v>
      </c>
      <c r="H171" s="160">
        <f t="shared" ref="H171:P171" si="252">IF(H170=0,G171,G171+H169-H170)</f>
        <v>-289413.05692454556</v>
      </c>
      <c r="I171" s="181">
        <f t="shared" si="252"/>
        <v>-314703.11094131263</v>
      </c>
      <c r="J171" s="160">
        <f t="shared" si="252"/>
        <v>-353078.27175371198</v>
      </c>
      <c r="K171" s="160">
        <f t="shared" si="252"/>
        <v>-404131.89189380652</v>
      </c>
      <c r="L171" s="160">
        <f t="shared" si="252"/>
        <v>-468766.69537061435</v>
      </c>
      <c r="M171" s="160">
        <f t="shared" si="252"/>
        <v>-551192.96997129382</v>
      </c>
      <c r="N171" s="160">
        <f t="shared" si="252"/>
        <v>-652070.64238542609</v>
      </c>
      <c r="O171" s="160">
        <f t="shared" si="252"/>
        <v>-767269.00123621046</v>
      </c>
      <c r="P171" s="160">
        <f t="shared" si="252"/>
        <v>-881396.09397235722</v>
      </c>
    </row>
    <row r="172" spans="1:17" s="11" customFormat="1" x14ac:dyDescent="0.2">
      <c r="A172" s="2">
        <v>55</v>
      </c>
      <c r="B172" s="44" t="s">
        <v>227</v>
      </c>
      <c r="C172" s="160">
        <f>IF(C169&gt;0,IF(C169&lt;C170,C169,C170),0)</f>
        <v>0</v>
      </c>
      <c r="D172" s="160">
        <f t="shared" ref="D172:P172" si="253">IF(D169&gt;0,IF(D169&lt;D170,D169,D170),0)</f>
        <v>0</v>
      </c>
      <c r="E172" s="160">
        <f t="shared" si="253"/>
        <v>0</v>
      </c>
      <c r="F172" s="160">
        <f t="shared" si="253"/>
        <v>0</v>
      </c>
      <c r="G172" s="402">
        <f t="shared" si="253"/>
        <v>0</v>
      </c>
      <c r="H172" s="160">
        <f t="shared" si="253"/>
        <v>0</v>
      </c>
      <c r="I172" s="181">
        <f t="shared" si="253"/>
        <v>0</v>
      </c>
      <c r="J172" s="160">
        <f t="shared" si="253"/>
        <v>0</v>
      </c>
      <c r="K172" s="160">
        <f t="shared" si="253"/>
        <v>0</v>
      </c>
      <c r="L172" s="160">
        <f t="shared" si="253"/>
        <v>0</v>
      </c>
      <c r="M172" s="160">
        <f t="shared" si="253"/>
        <v>0</v>
      </c>
      <c r="N172" s="160">
        <f t="shared" si="253"/>
        <v>0</v>
      </c>
      <c r="O172" s="160">
        <f t="shared" si="253"/>
        <v>0</v>
      </c>
      <c r="P172" s="160">
        <f t="shared" si="253"/>
        <v>0</v>
      </c>
    </row>
    <row r="173" spans="1:17" s="11" customFormat="1" x14ac:dyDescent="0.2">
      <c r="A173" s="2">
        <v>56</v>
      </c>
      <c r="B173" s="44" t="s">
        <v>228</v>
      </c>
      <c r="C173" s="158"/>
      <c r="D173" s="158"/>
      <c r="E173" s="158"/>
      <c r="F173" s="158"/>
      <c r="G173" s="403"/>
      <c r="H173" s="158"/>
      <c r="I173" s="431"/>
      <c r="J173" s="158"/>
      <c r="K173" s="158"/>
      <c r="L173" s="158"/>
      <c r="M173" s="158"/>
      <c r="N173" s="158"/>
      <c r="O173" s="158"/>
      <c r="P173" s="158"/>
    </row>
    <row r="174" spans="1:17" s="23" customFormat="1" x14ac:dyDescent="0.2">
      <c r="A174" s="2">
        <v>57</v>
      </c>
      <c r="B174" s="184" t="s">
        <v>229</v>
      </c>
      <c r="C174" s="160">
        <f>+C171</f>
        <v>0</v>
      </c>
      <c r="D174" s="160">
        <f t="shared" ref="D174:P174" si="254">+D171</f>
        <v>0</v>
      </c>
      <c r="E174" s="160">
        <f>+E171</f>
        <v>-79834.221196291328</v>
      </c>
      <c r="F174" s="160">
        <f t="shared" si="254"/>
        <v>-154566.40300833608</v>
      </c>
      <c r="G174" s="402">
        <f t="shared" si="254"/>
        <v>-227792.25163369067</v>
      </c>
      <c r="H174" s="160">
        <f t="shared" si="254"/>
        <v>-289413.05692454556</v>
      </c>
      <c r="I174" s="181">
        <f t="shared" si="254"/>
        <v>-314703.11094131263</v>
      </c>
      <c r="J174" s="160">
        <f t="shared" si="254"/>
        <v>-353078.27175371198</v>
      </c>
      <c r="K174" s="160">
        <f t="shared" si="254"/>
        <v>-404131.89189380652</v>
      </c>
      <c r="L174" s="160">
        <f t="shared" si="254"/>
        <v>-468766.69537061435</v>
      </c>
      <c r="M174" s="160">
        <f t="shared" si="254"/>
        <v>-551192.96997129382</v>
      </c>
      <c r="N174" s="160">
        <f t="shared" si="254"/>
        <v>-652070.64238542609</v>
      </c>
      <c r="O174" s="160">
        <f t="shared" si="254"/>
        <v>-767269.00123621046</v>
      </c>
      <c r="P174" s="160">
        <f t="shared" si="254"/>
        <v>-881396.09397235722</v>
      </c>
      <c r="Q174" s="11"/>
    </row>
    <row r="175" spans="1:17" s="23" customFormat="1" x14ac:dyDescent="0.2">
      <c r="A175" s="2">
        <v>58</v>
      </c>
      <c r="B175" s="184" t="s">
        <v>23</v>
      </c>
      <c r="C175" s="160">
        <f t="shared" ref="C175" si="255">IF(C174&lt;0,0,C174*20%)</f>
        <v>0</v>
      </c>
      <c r="D175" s="160">
        <f t="shared" ref="D175:P175" si="256">IF(D174&lt;0,0,D174*20%)</f>
        <v>0</v>
      </c>
      <c r="E175" s="160">
        <f t="shared" si="256"/>
        <v>0</v>
      </c>
      <c r="F175" s="160">
        <f t="shared" si="256"/>
        <v>0</v>
      </c>
      <c r="G175" s="402">
        <f t="shared" si="256"/>
        <v>0</v>
      </c>
      <c r="H175" s="160">
        <f t="shared" si="256"/>
        <v>0</v>
      </c>
      <c r="I175" s="181">
        <f t="shared" si="256"/>
        <v>0</v>
      </c>
      <c r="J175" s="160">
        <f t="shared" si="256"/>
        <v>0</v>
      </c>
      <c r="K175" s="160">
        <f t="shared" si="256"/>
        <v>0</v>
      </c>
      <c r="L175" s="160">
        <f t="shared" si="256"/>
        <v>0</v>
      </c>
      <c r="M175" s="160">
        <f t="shared" si="256"/>
        <v>0</v>
      </c>
      <c r="N175" s="160">
        <f t="shared" si="256"/>
        <v>0</v>
      </c>
      <c r="O175" s="160">
        <f t="shared" si="256"/>
        <v>0</v>
      </c>
      <c r="P175" s="160">
        <f t="shared" si="256"/>
        <v>0</v>
      </c>
      <c r="Q175" s="11"/>
    </row>
    <row r="176" spans="1:17" s="54" customFormat="1" ht="12" thickBot="1" x14ac:dyDescent="0.25">
      <c r="A176" s="2">
        <v>59</v>
      </c>
      <c r="B176" s="185" t="s">
        <v>230</v>
      </c>
      <c r="C176" s="160">
        <f t="shared" ref="C176" si="257">C169-C172-C173-C175</f>
        <v>-96567.939604257583</v>
      </c>
      <c r="D176" s="160">
        <f t="shared" ref="D176:P176" si="258">D169-D172-D173-D175</f>
        <v>-81298.101463857514</v>
      </c>
      <c r="E176" s="160">
        <f t="shared" si="258"/>
        <v>-69555.221196291328</v>
      </c>
      <c r="F176" s="160">
        <f t="shared" si="258"/>
        <v>-59808.181812044757</v>
      </c>
      <c r="G176" s="402">
        <f t="shared" si="258"/>
        <v>-45795.848625354585</v>
      </c>
      <c r="H176" s="160">
        <f t="shared" si="258"/>
        <v>-34088.805290854885</v>
      </c>
      <c r="I176" s="181">
        <f t="shared" si="258"/>
        <v>-16187.05401676707</v>
      </c>
      <c r="J176" s="160">
        <f t="shared" si="258"/>
        <v>-33396.943636668089</v>
      </c>
      <c r="K176" s="160">
        <f t="shared" si="258"/>
        <v>-45802.312964363315</v>
      </c>
      <c r="L176" s="160">
        <f t="shared" si="258"/>
        <v>-59234.149785804679</v>
      </c>
      <c r="M176" s="160">
        <f t="shared" si="258"/>
        <v>-76868.081694404245</v>
      </c>
      <c r="N176" s="160">
        <f t="shared" si="258"/>
        <v>-95157.459897127119</v>
      </c>
      <c r="O176" s="160">
        <f t="shared" si="258"/>
        <v>-109311.40054659091</v>
      </c>
      <c r="P176" s="160">
        <f t="shared" si="258"/>
        <v>-108068.5280564432</v>
      </c>
      <c r="Q176" s="11"/>
    </row>
    <row r="177" spans="1:17" s="11" customFormat="1" x14ac:dyDescent="0.2">
      <c r="A177" s="2"/>
      <c r="B177" s="185"/>
      <c r="C177" s="55"/>
      <c r="D177" s="55"/>
      <c r="E177" s="55"/>
      <c r="F177" s="55"/>
      <c r="G177" s="417"/>
      <c r="H177" s="50"/>
      <c r="I177" s="183"/>
      <c r="J177" s="55"/>
      <c r="K177" s="55"/>
      <c r="L177" s="55"/>
      <c r="M177" s="55"/>
      <c r="N177" s="55"/>
      <c r="O177" s="55"/>
      <c r="P177" s="55"/>
    </row>
    <row r="178" spans="1:17" s="18" customFormat="1" ht="22.5" x14ac:dyDescent="0.2">
      <c r="A178" s="56"/>
      <c r="B178" s="168" t="s">
        <v>240</v>
      </c>
      <c r="C178" s="193">
        <f>SUM(C179:C181)</f>
        <v>59194.35763870251</v>
      </c>
      <c r="D178" s="193">
        <f t="shared" ref="D178:P178" si="259">SUM(D179:D181)</f>
        <v>61250.028313276263</v>
      </c>
      <c r="E178" s="193">
        <f t="shared" si="259"/>
        <v>51364.188112033429</v>
      </c>
      <c r="F178" s="193">
        <f t="shared" si="259"/>
        <v>41088.967176084523</v>
      </c>
      <c r="G178" s="414">
        <f t="shared" si="259"/>
        <v>42405.332411693955</v>
      </c>
      <c r="H178" s="193">
        <f t="shared" si="259"/>
        <v>43871.964845853377</v>
      </c>
      <c r="I178" s="436">
        <f t="shared" si="259"/>
        <v>42561.473268753536</v>
      </c>
      <c r="J178" s="193">
        <f t="shared" si="259"/>
        <v>43873.903137010275</v>
      </c>
      <c r="K178" s="193">
        <f t="shared" si="259"/>
        <v>44790.314494625462</v>
      </c>
      <c r="L178" s="193">
        <f t="shared" si="259"/>
        <v>45738.32402103996</v>
      </c>
      <c r="M178" s="193">
        <f t="shared" si="259"/>
        <v>47000.599478056451</v>
      </c>
      <c r="N178" s="193">
        <f t="shared" si="259"/>
        <v>48302.335514953826</v>
      </c>
      <c r="O178" s="193">
        <f t="shared" si="259"/>
        <v>49644.833568623711</v>
      </c>
      <c r="P178" s="193">
        <f t="shared" si="259"/>
        <v>50341.943022041349</v>
      </c>
      <c r="Q178" s="17"/>
    </row>
    <row r="179" spans="1:17" s="232" customFormat="1" x14ac:dyDescent="0.2">
      <c r="A179" s="2"/>
      <c r="B179" s="44" t="s">
        <v>157</v>
      </c>
      <c r="C179" s="192">
        <f t="shared" ref="C179:P179" si="260">+C145-C188-C197</f>
        <v>9271.6702712717361</v>
      </c>
      <c r="D179" s="192">
        <f t="shared" si="260"/>
        <v>13289.747214147159</v>
      </c>
      <c r="E179" s="192">
        <f t="shared" si="260"/>
        <v>10652.241511157341</v>
      </c>
      <c r="F179" s="192">
        <f t="shared" si="260"/>
        <v>8017.9759147317864</v>
      </c>
      <c r="G179" s="415">
        <f t="shared" si="260"/>
        <v>8414.4819945528325</v>
      </c>
      <c r="H179" s="192">
        <f t="shared" si="260"/>
        <v>8851.5807535885378</v>
      </c>
      <c r="I179" s="437">
        <f t="shared" si="260"/>
        <v>9207.3206981812564</v>
      </c>
      <c r="J179" s="192">
        <f t="shared" si="260"/>
        <v>9645.1713065870717</v>
      </c>
      <c r="K179" s="192">
        <f t="shared" si="260"/>
        <v>9803.4277076165854</v>
      </c>
      <c r="L179" s="192">
        <f t="shared" si="260"/>
        <v>9969.4110016045088</v>
      </c>
      <c r="M179" s="192">
        <f t="shared" si="260"/>
        <v>10349.485913951868</v>
      </c>
      <c r="N179" s="192">
        <f t="shared" si="260"/>
        <v>10744.08579940715</v>
      </c>
      <c r="O179" s="192">
        <f t="shared" si="260"/>
        <v>11153.766944735506</v>
      </c>
      <c r="P179" s="192">
        <f t="shared" si="260"/>
        <v>11579.106983259089</v>
      </c>
      <c r="Q179" s="11"/>
    </row>
    <row r="180" spans="1:17" s="232" customFormat="1" x14ac:dyDescent="0.2">
      <c r="A180" s="2"/>
      <c r="B180" s="44" t="s">
        <v>159</v>
      </c>
      <c r="C180" s="192">
        <f t="shared" ref="C180:P180" si="261">+C153-C189-C198</f>
        <v>4911.9290560099826</v>
      </c>
      <c r="D180" s="192">
        <f t="shared" si="261"/>
        <v>4466.7619681966098</v>
      </c>
      <c r="E180" s="192">
        <f t="shared" si="261"/>
        <v>3536.4190918840177</v>
      </c>
      <c r="F180" s="192">
        <f t="shared" si="261"/>
        <v>2699.9572825784344</v>
      </c>
      <c r="G180" s="415">
        <f t="shared" si="261"/>
        <v>2914.0187406383352</v>
      </c>
      <c r="H180" s="192">
        <f t="shared" si="261"/>
        <v>3218.9332231442472</v>
      </c>
      <c r="I180" s="437">
        <f t="shared" si="261"/>
        <v>3464.6435943926917</v>
      </c>
      <c r="J180" s="192">
        <f t="shared" si="261"/>
        <v>3613.0319780255677</v>
      </c>
      <c r="K180" s="192">
        <f t="shared" si="261"/>
        <v>3628.2175536807804</v>
      </c>
      <c r="L180" s="192">
        <f t="shared" si="261"/>
        <v>3647.1712296788005</v>
      </c>
      <c r="M180" s="192">
        <f t="shared" si="261"/>
        <v>3743.6350360099323</v>
      </c>
      <c r="N180" s="192">
        <f t="shared" si="261"/>
        <v>3843.7035241972935</v>
      </c>
      <c r="O180" s="192">
        <f t="shared" si="261"/>
        <v>3947.5096235321362</v>
      </c>
      <c r="P180" s="192">
        <f t="shared" si="261"/>
        <v>3367.6948182511101</v>
      </c>
      <c r="Q180" s="11"/>
    </row>
    <row r="181" spans="1:17" s="232" customFormat="1" x14ac:dyDescent="0.2">
      <c r="A181" s="2"/>
      <c r="B181" s="44" t="s">
        <v>235</v>
      </c>
      <c r="C181" s="192">
        <f>SUM(C182:C184)</f>
        <v>45010.758311420796</v>
      </c>
      <c r="D181" s="192">
        <f t="shared" ref="D181:P181" si="262">SUM(D182:D184)</f>
        <v>43493.519130932495</v>
      </c>
      <c r="E181" s="192">
        <f t="shared" si="262"/>
        <v>37175.527508992069</v>
      </c>
      <c r="F181" s="192">
        <f t="shared" si="262"/>
        <v>30371.033978774303</v>
      </c>
      <c r="G181" s="415">
        <f t="shared" si="262"/>
        <v>31076.831676502788</v>
      </c>
      <c r="H181" s="192">
        <f t="shared" si="262"/>
        <v>31801.450869120588</v>
      </c>
      <c r="I181" s="437">
        <f t="shared" si="262"/>
        <v>29889.50897617959</v>
      </c>
      <c r="J181" s="192">
        <f t="shared" si="262"/>
        <v>30615.699852397633</v>
      </c>
      <c r="K181" s="192">
        <f t="shared" si="262"/>
        <v>31358.669233328099</v>
      </c>
      <c r="L181" s="192">
        <f t="shared" si="262"/>
        <v>32121.741789756652</v>
      </c>
      <c r="M181" s="192">
        <f t="shared" si="262"/>
        <v>32907.478528094645</v>
      </c>
      <c r="N181" s="192">
        <f t="shared" si="262"/>
        <v>33714.546191349385</v>
      </c>
      <c r="O181" s="192">
        <f t="shared" si="262"/>
        <v>34543.557000356072</v>
      </c>
      <c r="P181" s="192">
        <f t="shared" si="262"/>
        <v>35395.14122053115</v>
      </c>
      <c r="Q181" s="11"/>
    </row>
    <row r="182" spans="1:17" s="35" customFormat="1" x14ac:dyDescent="0.2">
      <c r="A182" s="33"/>
      <c r="B182" s="110" t="s">
        <v>161</v>
      </c>
      <c r="C182" s="218">
        <f>+C164-C191</f>
        <v>34333.182880000037</v>
      </c>
      <c r="D182" s="218">
        <f t="shared" ref="D182:P183" si="263">+D164-D191</f>
        <v>31712.245263058605</v>
      </c>
      <c r="E182" s="218">
        <f t="shared" si="263"/>
        <v>25260.128494961478</v>
      </c>
      <c r="F182" s="218">
        <f t="shared" si="263"/>
        <v>18330.872825633094</v>
      </c>
      <c r="G182" s="418">
        <f t="shared" si="263"/>
        <v>18880.799010402174</v>
      </c>
      <c r="H182" s="218">
        <f t="shared" si="263"/>
        <v>19447.222980714228</v>
      </c>
      <c r="I182" s="439">
        <f t="shared" si="263"/>
        <v>19849.733814852429</v>
      </c>
      <c r="J182" s="218">
        <f t="shared" si="263"/>
        <v>20445.225829298026</v>
      </c>
      <c r="K182" s="218">
        <f t="shared" si="263"/>
        <v>21058.582604177005</v>
      </c>
      <c r="L182" s="218">
        <f t="shared" si="263"/>
        <v>21690.340082302282</v>
      </c>
      <c r="M182" s="218">
        <f t="shared" si="263"/>
        <v>22341.050284771365</v>
      </c>
      <c r="N182" s="218">
        <f t="shared" si="263"/>
        <v>23011.281793314498</v>
      </c>
      <c r="O182" s="218">
        <f t="shared" si="263"/>
        <v>23701.620247113984</v>
      </c>
      <c r="P182" s="218">
        <f t="shared" si="263"/>
        <v>24412.668854527292</v>
      </c>
      <c r="Q182" s="32"/>
    </row>
    <row r="183" spans="1:17" s="219" customFormat="1" x14ac:dyDescent="0.2">
      <c r="A183" s="212"/>
      <c r="B183" s="110" t="s">
        <v>162</v>
      </c>
      <c r="C183" s="218">
        <f>+C165-C192</f>
        <v>10567.198358181337</v>
      </c>
      <c r="D183" s="218">
        <f t="shared" si="263"/>
        <v>11664.507797226466</v>
      </c>
      <c r="E183" s="218">
        <f t="shared" si="263"/>
        <v>11812.766286496084</v>
      </c>
      <c r="F183" s="218">
        <f t="shared" si="263"/>
        <v>11962.909174149467</v>
      </c>
      <c r="G183" s="418">
        <f t="shared" si="263"/>
        <v>12114.960411309323</v>
      </c>
      <c r="H183" s="218">
        <f t="shared" si="263"/>
        <v>12268.944253522455</v>
      </c>
      <c r="I183" s="439">
        <f t="shared" si="263"/>
        <v>9951.0640261590888</v>
      </c>
      <c r="J183" s="218">
        <f t="shared" si="263"/>
        <v>10077.544263884542</v>
      </c>
      <c r="K183" s="218">
        <f t="shared" si="263"/>
        <v>10205.632093571317</v>
      </c>
      <c r="L183" s="218">
        <f t="shared" si="263"/>
        <v>10335.347948070914</v>
      </c>
      <c r="M183" s="218">
        <f t="shared" si="263"/>
        <v>10466.712519940902</v>
      </c>
      <c r="N183" s="218">
        <f t="shared" si="263"/>
        <v>10599.746764745883</v>
      </c>
      <c r="O183" s="218">
        <f t="shared" si="263"/>
        <v>10734.471904400334</v>
      </c>
      <c r="P183" s="218">
        <f t="shared" si="263"/>
        <v>10870.909430553984</v>
      </c>
      <c r="Q183" s="213"/>
    </row>
    <row r="184" spans="1:17" s="35" customFormat="1" x14ac:dyDescent="0.2">
      <c r="A184" s="33"/>
      <c r="B184" s="110" t="s">
        <v>163</v>
      </c>
      <c r="C184" s="218">
        <f t="shared" ref="C184:P184" si="264">+C166-C193-C202</f>
        <v>110.37707323942072</v>
      </c>
      <c r="D184" s="218">
        <f t="shared" si="264"/>
        <v>116.76607064742313</v>
      </c>
      <c r="E184" s="218">
        <f t="shared" si="264"/>
        <v>102.63272753450337</v>
      </c>
      <c r="F184" s="218">
        <f t="shared" si="264"/>
        <v>77.251978991740998</v>
      </c>
      <c r="G184" s="418">
        <f t="shared" si="264"/>
        <v>81.072254791291925</v>
      </c>
      <c r="H184" s="218">
        <f t="shared" si="264"/>
        <v>85.283634883903687</v>
      </c>
      <c r="I184" s="439">
        <f t="shared" si="264"/>
        <v>88.71113516807236</v>
      </c>
      <c r="J184" s="218">
        <f t="shared" si="264"/>
        <v>92.929759215063768</v>
      </c>
      <c r="K184" s="218">
        <f t="shared" si="264"/>
        <v>94.454535579779304</v>
      </c>
      <c r="L184" s="218">
        <f t="shared" si="264"/>
        <v>96.053759383454917</v>
      </c>
      <c r="M184" s="218">
        <f t="shared" si="264"/>
        <v>99.715723382373881</v>
      </c>
      <c r="N184" s="218">
        <f t="shared" si="264"/>
        <v>103.51763328900324</v>
      </c>
      <c r="O184" s="218">
        <f t="shared" si="264"/>
        <v>107.4648488417547</v>
      </c>
      <c r="P184" s="218">
        <f t="shared" si="264"/>
        <v>111.56293544987216</v>
      </c>
      <c r="Q184" s="32"/>
    </row>
    <row r="185" spans="1:17" s="223" customFormat="1" ht="22.5" x14ac:dyDescent="0.2">
      <c r="A185" s="220"/>
      <c r="B185" s="221" t="s">
        <v>364</v>
      </c>
      <c r="C185" s="224">
        <f t="shared" ref="C185:P185" si="265">+C138+C139-C178</f>
        <v>-19940.207251786356</v>
      </c>
      <c r="D185" s="224">
        <f t="shared" si="265"/>
        <v>-19414.681936891473</v>
      </c>
      <c r="E185" s="224">
        <f t="shared" si="265"/>
        <v>-8758.3349650355012</v>
      </c>
      <c r="F185" s="224">
        <f t="shared" si="265"/>
        <v>2306.7503674359687</v>
      </c>
      <c r="G185" s="419">
        <f t="shared" si="265"/>
        <v>1800.236307492065</v>
      </c>
      <c r="H185" s="473">
        <f t="shared" si="265"/>
        <v>256.39328656390717</v>
      </c>
      <c r="I185" s="440">
        <f t="shared" si="265"/>
        <v>2624.1895614846508</v>
      </c>
      <c r="J185" s="224">
        <f t="shared" si="265"/>
        <v>2374.6894570362492</v>
      </c>
      <c r="K185" s="224">
        <f t="shared" si="265"/>
        <v>2334.2957501200071</v>
      </c>
      <c r="L185" s="224">
        <f t="shared" si="265"/>
        <v>2284.982063716212</v>
      </c>
      <c r="M185" s="224">
        <f t="shared" si="265"/>
        <v>1944.8312861827362</v>
      </c>
      <c r="N185" s="224">
        <f t="shared" si="265"/>
        <v>1589.4274816988764</v>
      </c>
      <c r="O185" s="224">
        <f t="shared" si="265"/>
        <v>1218.2770887619918</v>
      </c>
      <c r="P185" s="224">
        <f t="shared" si="265"/>
        <v>1518.3689040331446</v>
      </c>
      <c r="Q185" s="222"/>
    </row>
    <row r="186" spans="1:17" s="477" customFormat="1" x14ac:dyDescent="0.2">
      <c r="A186" s="475"/>
      <c r="B186" s="478" t="s">
        <v>462</v>
      </c>
      <c r="C186" s="479">
        <f>+C185+C$161*(1-C$88)</f>
        <v>-18735.783654807401</v>
      </c>
      <c r="D186" s="479">
        <f t="shared" ref="D186:P186" si="266">+D185+D161*(1-D88)</f>
        <v>-18443.7960984661</v>
      </c>
      <c r="E186" s="479">
        <f t="shared" si="266"/>
        <v>-8010.0636253082139</v>
      </c>
      <c r="F186" s="479">
        <f t="shared" si="266"/>
        <v>2913.2128410352243</v>
      </c>
      <c r="G186" s="479">
        <f t="shared" si="266"/>
        <v>2507.2931386945652</v>
      </c>
      <c r="H186" s="479">
        <f t="shared" si="266"/>
        <v>1148.3387251102886</v>
      </c>
      <c r="I186" s="479">
        <f t="shared" si="266"/>
        <v>3693.7540583790897</v>
      </c>
      <c r="J186" s="479">
        <f t="shared" si="266"/>
        <v>3511.1226202570024</v>
      </c>
      <c r="K186" s="479">
        <f t="shared" si="266"/>
        <v>3476.5360302436511</v>
      </c>
      <c r="L186" s="479">
        <f t="shared" si="266"/>
        <v>3434.4661623707516</v>
      </c>
      <c r="M186" s="479">
        <f t="shared" si="266"/>
        <v>3125.688682079774</v>
      </c>
      <c r="N186" s="479">
        <f t="shared" si="266"/>
        <v>2802.5190959733309</v>
      </c>
      <c r="O186" s="479">
        <f t="shared" si="266"/>
        <v>2464.486848356968</v>
      </c>
      <c r="P186" s="479">
        <f t="shared" si="266"/>
        <v>2095.6427709649106</v>
      </c>
      <c r="Q186" s="476"/>
    </row>
    <row r="187" spans="1:17" s="18" customFormat="1" x14ac:dyDescent="0.2">
      <c r="A187" s="56"/>
      <c r="B187" s="168" t="s">
        <v>233</v>
      </c>
      <c r="C187" s="193">
        <f>SUM(C188:C190)</f>
        <v>350841.89582462388</v>
      </c>
      <c r="D187" s="193">
        <f t="shared" ref="D187:P187" si="267">SUM(D188:D190)</f>
        <v>392943.12400420627</v>
      </c>
      <c r="E187" s="193">
        <f t="shared" si="267"/>
        <v>418341.36706667539</v>
      </c>
      <c r="F187" s="193">
        <f t="shared" si="267"/>
        <v>436752.72441438847</v>
      </c>
      <c r="G187" s="414">
        <f t="shared" si="267"/>
        <v>449766.41049812781</v>
      </c>
      <c r="H187" s="193">
        <f t="shared" si="267"/>
        <v>463482.62441210781</v>
      </c>
      <c r="I187" s="436">
        <f t="shared" si="267"/>
        <v>478074.85770309565</v>
      </c>
      <c r="J187" s="193">
        <f t="shared" si="267"/>
        <v>491567.53796415753</v>
      </c>
      <c r="K187" s="193">
        <f t="shared" si="267"/>
        <v>515347.4774545292</v>
      </c>
      <c r="L187" s="193">
        <f t="shared" si="267"/>
        <v>540144.96445915906</v>
      </c>
      <c r="M187" s="193">
        <f t="shared" si="267"/>
        <v>558368.65409908234</v>
      </c>
      <c r="N187" s="193">
        <f t="shared" si="267"/>
        <v>577232.53700617829</v>
      </c>
      <c r="O187" s="193">
        <f t="shared" si="267"/>
        <v>596759.39135292429</v>
      </c>
      <c r="P187" s="193">
        <f t="shared" si="267"/>
        <v>606499.19669822371</v>
      </c>
      <c r="Q187" s="17"/>
    </row>
    <row r="188" spans="1:17" s="232" customFormat="1" x14ac:dyDescent="0.2">
      <c r="A188" s="2"/>
      <c r="B188" s="44" t="s">
        <v>157</v>
      </c>
      <c r="C188" s="194">
        <f>+'[4]+Оп_i0'!$I$46</f>
        <v>102320.24811375194</v>
      </c>
      <c r="D188" s="192">
        <f t="shared" ref="D188:P188" si="268">+(D145-D197)*D$88</f>
        <v>104122.16991160704</v>
      </c>
      <c r="E188" s="192">
        <f t="shared" si="268"/>
        <v>111456.15229962702</v>
      </c>
      <c r="F188" s="192">
        <f t="shared" si="268"/>
        <v>118974.75364848395</v>
      </c>
      <c r="G188" s="415">
        <f t="shared" si="268"/>
        <v>123657.95675119152</v>
      </c>
      <c r="H188" s="192">
        <f t="shared" si="268"/>
        <v>128503.75554198561</v>
      </c>
      <c r="I188" s="437">
        <f t="shared" si="268"/>
        <v>133642.22904921585</v>
      </c>
      <c r="J188" s="192">
        <f t="shared" si="268"/>
        <v>138918.36043070591</v>
      </c>
      <c r="K188" s="192">
        <f t="shared" si="268"/>
        <v>144702.64529916816</v>
      </c>
      <c r="L188" s="192">
        <f t="shared" si="268"/>
        <v>150716.90492545161</v>
      </c>
      <c r="M188" s="192">
        <f t="shared" si="268"/>
        <v>156764.28265018651</v>
      </c>
      <c r="N188" s="192">
        <f t="shared" si="268"/>
        <v>163054.23350729674</v>
      </c>
      <c r="O188" s="192">
        <f t="shared" si="268"/>
        <v>169596.48513423657</v>
      </c>
      <c r="P188" s="192">
        <f t="shared" si="268"/>
        <v>176401.15517887185</v>
      </c>
      <c r="Q188" s="11"/>
    </row>
    <row r="189" spans="1:17" s="232" customFormat="1" x14ac:dyDescent="0.2">
      <c r="A189" s="2"/>
      <c r="B189" s="44" t="s">
        <v>159</v>
      </c>
      <c r="C189" s="194">
        <f>+C153*C$88</f>
        <v>33272.224798417199</v>
      </c>
      <c r="D189" s="192">
        <f t="shared" ref="D189:P189" si="269">+(D153-D198)*D$88</f>
        <v>34996.071867505263</v>
      </c>
      <c r="E189" s="192">
        <f t="shared" si="269"/>
        <v>37002.133728144327</v>
      </c>
      <c r="F189" s="192">
        <f t="shared" si="269"/>
        <v>40063.32221153158</v>
      </c>
      <c r="G189" s="415">
        <f t="shared" si="269"/>
        <v>42823.979376898766</v>
      </c>
      <c r="H189" s="192">
        <f t="shared" si="269"/>
        <v>46731.201977139164</v>
      </c>
      <c r="I189" s="437">
        <f t="shared" si="269"/>
        <v>50288.537566329032</v>
      </c>
      <c r="J189" s="192">
        <f t="shared" si="269"/>
        <v>52038.109289800224</v>
      </c>
      <c r="K189" s="192">
        <f t="shared" si="269"/>
        <v>53553.990848587266</v>
      </c>
      <c r="L189" s="192">
        <f t="shared" si="269"/>
        <v>55137.696638434601</v>
      </c>
      <c r="M189" s="192">
        <f t="shared" si="269"/>
        <v>56705.063981299681</v>
      </c>
      <c r="N189" s="192">
        <f t="shared" si="269"/>
        <v>58332.755682374183</v>
      </c>
      <c r="O189" s="192">
        <f t="shared" si="269"/>
        <v>60023.107933110965</v>
      </c>
      <c r="P189" s="192">
        <f t="shared" si="269"/>
        <v>51304.928531042024</v>
      </c>
      <c r="Q189" s="11"/>
    </row>
    <row r="190" spans="1:17" s="232" customFormat="1" x14ac:dyDescent="0.2">
      <c r="A190" s="2"/>
      <c r="B190" s="44" t="s">
        <v>235</v>
      </c>
      <c r="C190" s="192">
        <f>SUM(C191:C193)</f>
        <v>215249.42291245473</v>
      </c>
      <c r="D190" s="192">
        <f t="shared" ref="D190:P190" si="270">SUM(D191:D193)</f>
        <v>253824.88222509398</v>
      </c>
      <c r="E190" s="192">
        <f t="shared" si="270"/>
        <v>269883.08103890403</v>
      </c>
      <c r="F190" s="192">
        <f t="shared" si="270"/>
        <v>277714.64855437295</v>
      </c>
      <c r="G190" s="415">
        <f t="shared" si="270"/>
        <v>283284.47437003755</v>
      </c>
      <c r="H190" s="192">
        <f t="shared" si="270"/>
        <v>288247.66689298302</v>
      </c>
      <c r="I190" s="437">
        <f t="shared" si="270"/>
        <v>294144.09108755074</v>
      </c>
      <c r="J190" s="192">
        <f t="shared" si="270"/>
        <v>300611.06824365142</v>
      </c>
      <c r="K190" s="192">
        <f t="shared" si="270"/>
        <v>317090.84130677377</v>
      </c>
      <c r="L190" s="192">
        <f t="shared" si="270"/>
        <v>334290.36289527285</v>
      </c>
      <c r="M190" s="192">
        <f t="shared" si="270"/>
        <v>344899.30746759614</v>
      </c>
      <c r="N190" s="192">
        <f t="shared" si="270"/>
        <v>355845.5478165074</v>
      </c>
      <c r="O190" s="192">
        <f t="shared" si="270"/>
        <v>367139.79828557669</v>
      </c>
      <c r="P190" s="192">
        <f t="shared" si="270"/>
        <v>378793.11298830976</v>
      </c>
      <c r="Q190" s="11"/>
    </row>
    <row r="191" spans="1:17" s="35" customFormat="1" x14ac:dyDescent="0.2">
      <c r="A191" s="33"/>
      <c r="B191" s="110" t="s">
        <v>161</v>
      </c>
      <c r="C191" s="218">
        <f t="shared" ref="C191:P191" si="271">+C68*C104/1000</f>
        <v>210177.83678972724</v>
      </c>
      <c r="D191" s="218">
        <f t="shared" si="271"/>
        <v>248458.28414582359</v>
      </c>
      <c r="E191" s="218">
        <f t="shared" si="271"/>
        <v>264300.87279693014</v>
      </c>
      <c r="F191" s="218">
        <f t="shared" si="271"/>
        <v>272002.69766142702</v>
      </c>
      <c r="G191" s="418">
        <f t="shared" si="271"/>
        <v>277469.37113510625</v>
      </c>
      <c r="H191" s="218">
        <f t="shared" si="271"/>
        <v>282327.10715213662</v>
      </c>
      <c r="I191" s="439">
        <f t="shared" si="271"/>
        <v>288114.50801040122</v>
      </c>
      <c r="J191" s="218">
        <f t="shared" si="271"/>
        <v>294470.3790695669</v>
      </c>
      <c r="K191" s="218">
        <f t="shared" si="271"/>
        <v>310833.38399159751</v>
      </c>
      <c r="L191" s="218">
        <f t="shared" si="271"/>
        <v>327913.14586778742</v>
      </c>
      <c r="M191" s="218">
        <f t="shared" si="271"/>
        <v>338401.22597998666</v>
      </c>
      <c r="N191" s="218">
        <f t="shared" si="271"/>
        <v>349223.46906763694</v>
      </c>
      <c r="O191" s="218">
        <f t="shared" si="271"/>
        <v>360390.48563716415</v>
      </c>
      <c r="P191" s="218">
        <f t="shared" si="271"/>
        <v>371913.2220787023</v>
      </c>
      <c r="Q191" s="32"/>
    </row>
    <row r="192" spans="1:17" s="219" customFormat="1" x14ac:dyDescent="0.2">
      <c r="A192" s="212"/>
      <c r="B192" s="110" t="s">
        <v>162</v>
      </c>
      <c r="C192" s="218">
        <f t="shared" ref="C192:P192" si="272">+C22*C93</f>
        <v>4395.8895359669086</v>
      </c>
      <c r="D192" s="218">
        <f t="shared" si="272"/>
        <v>4451.7622699843305</v>
      </c>
      <c r="E192" s="218">
        <f t="shared" si="272"/>
        <v>4508.3451588819062</v>
      </c>
      <c r="F192" s="218">
        <f t="shared" si="272"/>
        <v>4565.6472288861587</v>
      </c>
      <c r="G192" s="218">
        <f t="shared" si="272"/>
        <v>4623.6776209489626</v>
      </c>
      <c r="H192" s="218">
        <f t="shared" si="272"/>
        <v>4682.4455922057214</v>
      </c>
      <c r="I192" s="218">
        <f t="shared" si="272"/>
        <v>4741.9605174520884</v>
      </c>
      <c r="J192" s="218">
        <f t="shared" si="272"/>
        <v>4802.2318906394585</v>
      </c>
      <c r="K192" s="218">
        <f t="shared" si="272"/>
        <v>4863.269326389458</v>
      </c>
      <c r="L192" s="218">
        <f t="shared" si="272"/>
        <v>4925.0825615276963</v>
      </c>
      <c r="M192" s="218">
        <f t="shared" si="272"/>
        <v>4987.6814566370003</v>
      </c>
      <c r="N192" s="218">
        <f t="shared" si="272"/>
        <v>5051.0759976303989</v>
      </c>
      <c r="O192" s="218">
        <f t="shared" si="272"/>
        <v>5115.2762973440967</v>
      </c>
      <c r="P192" s="218">
        <f t="shared" si="272"/>
        <v>5180.2925971506984</v>
      </c>
      <c r="Q192" s="213"/>
    </row>
    <row r="193" spans="1:17" s="35" customFormat="1" x14ac:dyDescent="0.2">
      <c r="A193" s="33"/>
      <c r="B193" s="110" t="s">
        <v>163</v>
      </c>
      <c r="C193" s="194">
        <f>+C166*C$88</f>
        <v>675.69658676057929</v>
      </c>
      <c r="D193" s="218">
        <f t="shared" ref="D193:P193" si="273">+(D166-D202)*D$88</f>
        <v>914.83580928607705</v>
      </c>
      <c r="E193" s="218">
        <f t="shared" si="273"/>
        <v>1073.8630830919737</v>
      </c>
      <c r="F193" s="218">
        <f t="shared" si="273"/>
        <v>1146.3036640597952</v>
      </c>
      <c r="G193" s="418">
        <f t="shared" si="273"/>
        <v>1191.4256139823058</v>
      </c>
      <c r="H193" s="218">
        <f t="shared" si="273"/>
        <v>1238.1141486406379</v>
      </c>
      <c r="I193" s="439">
        <f t="shared" si="273"/>
        <v>1287.6225596974509</v>
      </c>
      <c r="J193" s="218">
        <f t="shared" si="273"/>
        <v>1338.4572834450805</v>
      </c>
      <c r="K193" s="218">
        <f t="shared" si="273"/>
        <v>1394.1879887867708</v>
      </c>
      <c r="L193" s="218">
        <f t="shared" si="273"/>
        <v>1452.1344659577574</v>
      </c>
      <c r="M193" s="218">
        <f t="shared" si="273"/>
        <v>1510.400030972487</v>
      </c>
      <c r="N193" s="218">
        <f t="shared" si="273"/>
        <v>1571.002751240052</v>
      </c>
      <c r="O193" s="218">
        <f t="shared" si="273"/>
        <v>1634.0363510684629</v>
      </c>
      <c r="P193" s="218">
        <f t="shared" si="273"/>
        <v>1699.5983124567542</v>
      </c>
      <c r="Q193" s="32"/>
    </row>
    <row r="194" spans="1:17" s="223" customFormat="1" x14ac:dyDescent="0.2">
      <c r="A194" s="220"/>
      <c r="B194" s="221" t="s">
        <v>365</v>
      </c>
      <c r="C194" s="224">
        <f t="shared" ref="C194:P194" si="274">+C140-C187</f>
        <v>-76627.73235247127</v>
      </c>
      <c r="D194" s="224">
        <f t="shared" si="274"/>
        <v>-61883.419526965998</v>
      </c>
      <c r="E194" s="224">
        <f t="shared" si="274"/>
        <v>-60796.886231255834</v>
      </c>
      <c r="F194" s="224">
        <f t="shared" si="274"/>
        <v>-62114.932179480675</v>
      </c>
      <c r="G194" s="419">
        <f t="shared" si="274"/>
        <v>-47596.084932846599</v>
      </c>
      <c r="H194" s="473">
        <f t="shared" si="274"/>
        <v>-34345.198577418865</v>
      </c>
      <c r="I194" s="440">
        <f t="shared" si="274"/>
        <v>-18811.243578251742</v>
      </c>
      <c r="J194" s="224">
        <f t="shared" si="274"/>
        <v>-35771.633093704237</v>
      </c>
      <c r="K194" s="224">
        <f t="shared" si="274"/>
        <v>-48136.608714483387</v>
      </c>
      <c r="L194" s="224">
        <f t="shared" si="274"/>
        <v>-61519.131849520782</v>
      </c>
      <c r="M194" s="224">
        <f t="shared" si="274"/>
        <v>-78812.912980586989</v>
      </c>
      <c r="N194" s="224">
        <f t="shared" si="274"/>
        <v>-96746.887378826039</v>
      </c>
      <c r="O194" s="224">
        <f t="shared" si="274"/>
        <v>-110529.67763535288</v>
      </c>
      <c r="P194" s="224">
        <f t="shared" si="274"/>
        <v>-109586.89696047641</v>
      </c>
      <c r="Q194" s="222"/>
    </row>
    <row r="195" spans="1:17" s="266" customFormat="1" x14ac:dyDescent="0.2">
      <c r="A195" s="264"/>
      <c r="B195" s="478" t="s">
        <v>463</v>
      </c>
      <c r="C195" s="479">
        <f t="shared" ref="C195:P195" si="275">+C194+C$161*(C$88)</f>
        <v>-69254.598697012785</v>
      </c>
      <c r="D195" s="479">
        <f t="shared" si="275"/>
        <v>-54276.74811295393</v>
      </c>
      <c r="E195" s="479">
        <f t="shared" si="275"/>
        <v>-52967.600318545679</v>
      </c>
      <c r="F195" s="479">
        <f t="shared" si="275"/>
        <v>-53115.937400642491</v>
      </c>
      <c r="G195" s="479">
        <f t="shared" si="275"/>
        <v>-37205.284511611659</v>
      </c>
      <c r="H195" s="479">
        <f t="shared" si="275"/>
        <v>-21396.286763527809</v>
      </c>
      <c r="I195" s="479">
        <f t="shared" si="275"/>
        <v>-3286.7508227087419</v>
      </c>
      <c r="J195" s="479">
        <f t="shared" si="275"/>
        <v>-19403.709004487551</v>
      </c>
      <c r="K195" s="479">
        <f t="shared" si="275"/>
        <v>-31276.670024596468</v>
      </c>
      <c r="L195" s="479">
        <f t="shared" si="275"/>
        <v>-44141.306260591635</v>
      </c>
      <c r="M195" s="479">
        <f t="shared" si="275"/>
        <v>-60926.395319800024</v>
      </c>
      <c r="N195" s="479">
        <f t="shared" si="275"/>
        <v>-78336.784645788983</v>
      </c>
      <c r="O195" s="479">
        <f t="shared" si="275"/>
        <v>-91580.671795935836</v>
      </c>
      <c r="P195" s="479">
        <f t="shared" si="275"/>
        <v>-100792.45563364829</v>
      </c>
      <c r="Q195" s="265"/>
    </row>
    <row r="196" spans="1:17" s="18" customFormat="1" x14ac:dyDescent="0.2">
      <c r="A196" s="56"/>
      <c r="B196" s="168" t="s">
        <v>409</v>
      </c>
      <c r="C196" s="193">
        <f>SUM(C197:C199)</f>
        <v>912.03534999999988</v>
      </c>
      <c r="D196" s="193">
        <f t="shared" ref="D196:P196" si="276">SUM(D197:D199)</f>
        <v>948.51676399999997</v>
      </c>
      <c r="E196" s="193">
        <f t="shared" si="276"/>
        <v>986.45743456000002</v>
      </c>
      <c r="F196" s="193">
        <f t="shared" si="276"/>
        <v>1025.9157319424</v>
      </c>
      <c r="G196" s="414">
        <f t="shared" si="276"/>
        <v>1066.9523612200962</v>
      </c>
      <c r="H196" s="193">
        <f t="shared" si="276"/>
        <v>1109.6304556689001</v>
      </c>
      <c r="I196" s="436">
        <f t="shared" si="276"/>
        <v>1154.0156738956562</v>
      </c>
      <c r="J196" s="193">
        <f t="shared" si="276"/>
        <v>1200.1763008514824</v>
      </c>
      <c r="K196" s="193">
        <f t="shared" si="276"/>
        <v>1248.1833528855418</v>
      </c>
      <c r="L196" s="193">
        <f t="shared" si="276"/>
        <v>1298.1106870009635</v>
      </c>
      <c r="M196" s="193">
        <f t="shared" si="276"/>
        <v>1350.035114481002</v>
      </c>
      <c r="N196" s="193">
        <f t="shared" si="276"/>
        <v>1404.036519060242</v>
      </c>
      <c r="O196" s="193">
        <f t="shared" si="276"/>
        <v>1460.1979798226519</v>
      </c>
      <c r="P196" s="193">
        <f t="shared" si="276"/>
        <v>1518.605899015558</v>
      </c>
      <c r="Q196" s="17"/>
    </row>
    <row r="197" spans="1:17" s="232" customFormat="1" x14ac:dyDescent="0.2">
      <c r="A197" s="2"/>
      <c r="B197" s="44" t="s">
        <v>157</v>
      </c>
      <c r="C197" s="194">
        <f>+C142-C198</f>
        <v>388.84623999999997</v>
      </c>
      <c r="D197" s="192">
        <f>+C197*(D$108)</f>
        <v>404.4000896</v>
      </c>
      <c r="E197" s="192">
        <f t="shared" ref="E197:P197" si="277">+D197*(E$108)</f>
        <v>420.576093184</v>
      </c>
      <c r="F197" s="192">
        <f t="shared" si="277"/>
        <v>437.39913691136002</v>
      </c>
      <c r="G197" s="192">
        <f t="shared" si="277"/>
        <v>454.89510238781446</v>
      </c>
      <c r="H197" s="192">
        <f t="shared" si="277"/>
        <v>473.09090648332705</v>
      </c>
      <c r="I197" s="192">
        <f t="shared" si="277"/>
        <v>492.01454274266013</v>
      </c>
      <c r="J197" s="192">
        <f t="shared" si="277"/>
        <v>511.69512445236654</v>
      </c>
      <c r="K197" s="192">
        <f t="shared" si="277"/>
        <v>532.16292943046119</v>
      </c>
      <c r="L197" s="192">
        <f t="shared" si="277"/>
        <v>553.44944660767965</v>
      </c>
      <c r="M197" s="192">
        <f t="shared" si="277"/>
        <v>575.58742447198688</v>
      </c>
      <c r="N197" s="192">
        <f t="shared" si="277"/>
        <v>598.61092145086639</v>
      </c>
      <c r="O197" s="192">
        <f t="shared" si="277"/>
        <v>622.55535830890108</v>
      </c>
      <c r="P197" s="192">
        <f t="shared" si="277"/>
        <v>647.45757264125712</v>
      </c>
      <c r="Q197" s="11"/>
    </row>
    <row r="198" spans="1:17" s="232" customFormat="1" x14ac:dyDescent="0.2">
      <c r="A198" s="2"/>
      <c r="B198" s="44" t="s">
        <v>159</v>
      </c>
      <c r="C198" s="194">
        <f>+[8]ГОД!$L$33</f>
        <v>523.18910999999991</v>
      </c>
      <c r="D198" s="192">
        <f>+C198*(D$108)</f>
        <v>544.11667439999997</v>
      </c>
      <c r="E198" s="192">
        <f t="shared" ref="E198:P198" si="278">+D198*(E$108)</f>
        <v>565.88134137600002</v>
      </c>
      <c r="F198" s="192">
        <f t="shared" si="278"/>
        <v>588.51659503104008</v>
      </c>
      <c r="G198" s="192">
        <f t="shared" si="278"/>
        <v>612.05725883228172</v>
      </c>
      <c r="H198" s="192">
        <f t="shared" si="278"/>
        <v>636.53954918557304</v>
      </c>
      <c r="I198" s="192">
        <f t="shared" si="278"/>
        <v>662.00113115299598</v>
      </c>
      <c r="J198" s="192">
        <f t="shared" si="278"/>
        <v>688.48117639911584</v>
      </c>
      <c r="K198" s="192">
        <f t="shared" si="278"/>
        <v>716.0204234550805</v>
      </c>
      <c r="L198" s="192">
        <f t="shared" si="278"/>
        <v>744.66124039328372</v>
      </c>
      <c r="M198" s="192">
        <f t="shared" si="278"/>
        <v>774.4476900090151</v>
      </c>
      <c r="N198" s="192">
        <f t="shared" si="278"/>
        <v>805.4255976093757</v>
      </c>
      <c r="O198" s="192">
        <f t="shared" si="278"/>
        <v>837.64262151375078</v>
      </c>
      <c r="P198" s="192">
        <f t="shared" si="278"/>
        <v>871.14832637430084</v>
      </c>
      <c r="Q198" s="11"/>
    </row>
    <row r="199" spans="1:17" s="232" customFormat="1" x14ac:dyDescent="0.2">
      <c r="A199" s="2"/>
      <c r="B199" s="44" t="s">
        <v>235</v>
      </c>
      <c r="C199" s="192">
        <f>SUM(C200:C202)</f>
        <v>0</v>
      </c>
      <c r="D199" s="192">
        <f t="shared" ref="D199:P199" si="279">SUM(D200:D202)</f>
        <v>0</v>
      </c>
      <c r="E199" s="192">
        <f t="shared" si="279"/>
        <v>0</v>
      </c>
      <c r="F199" s="192">
        <f t="shared" si="279"/>
        <v>0</v>
      </c>
      <c r="G199" s="415">
        <f t="shared" si="279"/>
        <v>0</v>
      </c>
      <c r="H199" s="192">
        <f t="shared" si="279"/>
        <v>0</v>
      </c>
      <c r="I199" s="437">
        <f t="shared" si="279"/>
        <v>0</v>
      </c>
      <c r="J199" s="192">
        <f t="shared" si="279"/>
        <v>0</v>
      </c>
      <c r="K199" s="192">
        <f t="shared" si="279"/>
        <v>0</v>
      </c>
      <c r="L199" s="192">
        <f t="shared" si="279"/>
        <v>0</v>
      </c>
      <c r="M199" s="192">
        <f t="shared" si="279"/>
        <v>0</v>
      </c>
      <c r="N199" s="192">
        <f t="shared" si="279"/>
        <v>0</v>
      </c>
      <c r="O199" s="192">
        <f t="shared" si="279"/>
        <v>0</v>
      </c>
      <c r="P199" s="192">
        <f t="shared" si="279"/>
        <v>0</v>
      </c>
      <c r="Q199" s="11"/>
    </row>
    <row r="200" spans="1:17" s="35" customFormat="1" x14ac:dyDescent="0.2">
      <c r="A200" s="33"/>
      <c r="B200" s="110" t="s">
        <v>161</v>
      </c>
      <c r="C200" s="267"/>
      <c r="D200" s="267"/>
      <c r="E200" s="267"/>
      <c r="F200" s="267"/>
      <c r="G200" s="420"/>
      <c r="H200" s="267"/>
      <c r="I200" s="441"/>
      <c r="J200" s="267"/>
      <c r="K200" s="267"/>
      <c r="L200" s="267"/>
      <c r="M200" s="267"/>
      <c r="N200" s="267"/>
      <c r="O200" s="267"/>
      <c r="P200" s="267"/>
      <c r="Q200" s="32"/>
    </row>
    <row r="201" spans="1:17" s="219" customFormat="1" x14ac:dyDescent="0.2">
      <c r="A201" s="212"/>
      <c r="B201" s="110" t="s">
        <v>162</v>
      </c>
      <c r="C201" s="267"/>
      <c r="D201" s="267"/>
      <c r="E201" s="267"/>
      <c r="F201" s="267"/>
      <c r="G201" s="420"/>
      <c r="H201" s="267"/>
      <c r="I201" s="441"/>
      <c r="J201" s="267"/>
      <c r="K201" s="267"/>
      <c r="L201" s="267"/>
      <c r="M201" s="267"/>
      <c r="N201" s="267"/>
      <c r="O201" s="267"/>
      <c r="P201" s="267"/>
      <c r="Q201" s="213"/>
    </row>
    <row r="202" spans="1:17" s="35" customFormat="1" x14ac:dyDescent="0.2">
      <c r="A202" s="33"/>
      <c r="B202" s="110" t="s">
        <v>163</v>
      </c>
      <c r="C202" s="267"/>
      <c r="D202" s="267"/>
      <c r="E202" s="267"/>
      <c r="F202" s="267"/>
      <c r="G202" s="420"/>
      <c r="H202" s="267"/>
      <c r="I202" s="441"/>
      <c r="J202" s="267"/>
      <c r="K202" s="267"/>
      <c r="L202" s="267"/>
      <c r="M202" s="267"/>
      <c r="N202" s="267"/>
      <c r="O202" s="267"/>
      <c r="P202" s="267"/>
      <c r="Q202" s="32"/>
    </row>
    <row r="203" spans="1:17" s="223" customFormat="1" x14ac:dyDescent="0.2">
      <c r="A203" s="220"/>
      <c r="B203" s="221" t="s">
        <v>410</v>
      </c>
      <c r="C203" s="224">
        <f t="shared" ref="C203:P203" si="280">+C142-C196</f>
        <v>0</v>
      </c>
      <c r="D203" s="224">
        <f t="shared" si="280"/>
        <v>0</v>
      </c>
      <c r="E203" s="224">
        <f t="shared" si="280"/>
        <v>0</v>
      </c>
      <c r="F203" s="224">
        <f t="shared" si="280"/>
        <v>0</v>
      </c>
      <c r="G203" s="419">
        <f t="shared" si="280"/>
        <v>0</v>
      </c>
      <c r="H203" s="193">
        <f t="shared" si="280"/>
        <v>0</v>
      </c>
      <c r="I203" s="440">
        <f t="shared" si="280"/>
        <v>0</v>
      </c>
      <c r="J203" s="224">
        <f t="shared" si="280"/>
        <v>0</v>
      </c>
      <c r="K203" s="224">
        <f t="shared" si="280"/>
        <v>0</v>
      </c>
      <c r="L203" s="224">
        <f t="shared" si="280"/>
        <v>0</v>
      </c>
      <c r="M203" s="224">
        <f t="shared" si="280"/>
        <v>0</v>
      </c>
      <c r="N203" s="224">
        <f t="shared" si="280"/>
        <v>0</v>
      </c>
      <c r="O203" s="224">
        <f t="shared" si="280"/>
        <v>0</v>
      </c>
      <c r="P203" s="224">
        <f t="shared" si="280"/>
        <v>0</v>
      </c>
      <c r="Q203" s="222"/>
    </row>
    <row r="204" spans="1:17" s="266" customFormat="1" x14ac:dyDescent="0.2">
      <c r="A204" s="264"/>
      <c r="B204" s="221" t="s">
        <v>366</v>
      </c>
      <c r="C204" s="203">
        <f t="shared" ref="C204:P204" si="281">+C137-C144</f>
        <v>-96567.939604257583</v>
      </c>
      <c r="D204" s="203">
        <f t="shared" si="281"/>
        <v>-81298.101463857514</v>
      </c>
      <c r="E204" s="203">
        <f t="shared" si="281"/>
        <v>-69555.221196291328</v>
      </c>
      <c r="F204" s="203">
        <f t="shared" si="281"/>
        <v>-59808.181812044757</v>
      </c>
      <c r="G204" s="416">
        <f t="shared" si="281"/>
        <v>-45795.848625354585</v>
      </c>
      <c r="H204" s="474">
        <f t="shared" si="281"/>
        <v>-34088.805290854885</v>
      </c>
      <c r="I204" s="438">
        <f t="shared" si="281"/>
        <v>-16187.05401676707</v>
      </c>
      <c r="J204" s="203">
        <f t="shared" si="281"/>
        <v>-33396.943636668089</v>
      </c>
      <c r="K204" s="203">
        <f t="shared" si="281"/>
        <v>-45802.312964363315</v>
      </c>
      <c r="L204" s="203">
        <f t="shared" si="281"/>
        <v>-59234.149785804679</v>
      </c>
      <c r="M204" s="203">
        <f t="shared" si="281"/>
        <v>-76868.081694404245</v>
      </c>
      <c r="N204" s="203">
        <f t="shared" si="281"/>
        <v>-95157.459897127119</v>
      </c>
      <c r="O204" s="203">
        <f t="shared" si="281"/>
        <v>-109311.40054659091</v>
      </c>
      <c r="P204" s="203">
        <f t="shared" si="281"/>
        <v>-108068.5280564432</v>
      </c>
      <c r="Q204" s="265"/>
    </row>
    <row r="205" spans="1:17" s="350" customFormat="1" x14ac:dyDescent="0.2">
      <c r="A205" s="348"/>
      <c r="B205" s="478" t="s">
        <v>464</v>
      </c>
      <c r="C205" s="480">
        <f>+C186+C195</f>
        <v>-87990.382351820183</v>
      </c>
      <c r="D205" s="480">
        <f t="shared" ref="D205:P205" si="282">+D186+D195</f>
        <v>-72720.544211420027</v>
      </c>
      <c r="E205" s="480">
        <f t="shared" si="282"/>
        <v>-60977.663943853891</v>
      </c>
      <c r="F205" s="480">
        <f t="shared" si="282"/>
        <v>-50202.724559607268</v>
      </c>
      <c r="G205" s="480">
        <f t="shared" si="282"/>
        <v>-34697.991372917095</v>
      </c>
      <c r="H205" s="480">
        <f t="shared" si="282"/>
        <v>-20247.948038417519</v>
      </c>
      <c r="I205" s="480">
        <f t="shared" si="282"/>
        <v>407.00323567034775</v>
      </c>
      <c r="J205" s="480">
        <f t="shared" si="282"/>
        <v>-15892.586384230548</v>
      </c>
      <c r="K205" s="480">
        <f t="shared" si="282"/>
        <v>-27800.133994352815</v>
      </c>
      <c r="L205" s="480">
        <f t="shared" si="282"/>
        <v>-40706.840098220884</v>
      </c>
      <c r="M205" s="480">
        <f t="shared" si="282"/>
        <v>-57800.70663772025</v>
      </c>
      <c r="N205" s="480">
        <f t="shared" si="282"/>
        <v>-75534.265549815653</v>
      </c>
      <c r="O205" s="480">
        <f t="shared" si="282"/>
        <v>-89116.184947578862</v>
      </c>
      <c r="P205" s="480">
        <f t="shared" si="282"/>
        <v>-98696.812862683379</v>
      </c>
      <c r="Q205" s="349"/>
    </row>
    <row r="206" spans="1:17" s="350" customFormat="1" x14ac:dyDescent="0.2">
      <c r="A206" s="871"/>
      <c r="B206" s="872"/>
      <c r="C206" s="873"/>
      <c r="D206" s="873"/>
      <c r="E206" s="873"/>
      <c r="F206" s="873"/>
      <c r="G206" s="873"/>
      <c r="H206" s="873"/>
      <c r="I206" s="873"/>
      <c r="J206" s="873"/>
      <c r="K206" s="873"/>
      <c r="L206" s="873"/>
      <c r="M206" s="873"/>
      <c r="N206" s="873"/>
      <c r="O206" s="873"/>
      <c r="P206" s="873"/>
      <c r="Q206" s="349"/>
    </row>
    <row r="207" spans="1:17" s="11" customFormat="1" x14ac:dyDescent="0.2">
      <c r="A207" s="7"/>
      <c r="B207" s="10"/>
      <c r="C207" s="867"/>
      <c r="D207" s="867"/>
      <c r="E207" s="867"/>
      <c r="F207" s="867"/>
      <c r="G207" s="867"/>
      <c r="H207" s="867"/>
      <c r="I207" s="867"/>
      <c r="J207" s="867"/>
      <c r="K207" s="867"/>
      <c r="L207" s="867"/>
      <c r="M207" s="867"/>
      <c r="N207" s="867"/>
      <c r="O207" s="867"/>
      <c r="P207" s="867"/>
    </row>
    <row r="208" spans="1:17" s="21" customFormat="1" x14ac:dyDescent="0.2">
      <c r="A208" s="19"/>
      <c r="B208" s="20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</row>
    <row r="209" spans="1:17" s="59" customFormat="1" x14ac:dyDescent="0.2">
      <c r="A209" s="58"/>
      <c r="B209" s="86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</row>
    <row r="210" spans="1:17" s="12" customFormat="1" x14ac:dyDescent="0.2">
      <c r="A210" s="19"/>
      <c r="B210" s="20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21"/>
    </row>
    <row r="211" spans="1:17" s="60" customFormat="1" x14ac:dyDescent="0.2">
      <c r="A211" s="58"/>
      <c r="B211" s="86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59"/>
    </row>
    <row r="212" spans="1:17" s="11" customFormat="1" x14ac:dyDescent="0.2">
      <c r="A212" s="7"/>
      <c r="B212" s="10"/>
      <c r="C212" s="232"/>
      <c r="D212" s="51"/>
      <c r="E212" s="232"/>
      <c r="F212" s="232"/>
      <c r="G212" s="52"/>
      <c r="H212" s="57"/>
      <c r="I212" s="232"/>
      <c r="J212" s="232"/>
      <c r="K212" s="232"/>
      <c r="L212" s="232"/>
      <c r="M212" s="232"/>
    </row>
    <row r="213" spans="1:17" s="232" customFormat="1" x14ac:dyDescent="0.2">
      <c r="A213" s="7"/>
      <c r="B213" s="10"/>
      <c r="G213" s="52"/>
      <c r="H213" s="57"/>
      <c r="N213" s="11"/>
      <c r="O213" s="11"/>
      <c r="P213" s="11"/>
      <c r="Q213" s="11"/>
    </row>
    <row r="214" spans="1:17" s="232" customFormat="1" x14ac:dyDescent="0.2">
      <c r="A214" s="7"/>
      <c r="B214" s="10"/>
      <c r="G214" s="52"/>
      <c r="H214" s="57"/>
      <c r="N214" s="11"/>
      <c r="O214" s="11"/>
      <c r="P214" s="11"/>
      <c r="Q214" s="11"/>
    </row>
    <row r="215" spans="1:17" s="232" customFormat="1" x14ac:dyDescent="0.2">
      <c r="A215" s="7"/>
      <c r="B215" s="10"/>
      <c r="G215" s="52"/>
      <c r="H215" s="57"/>
      <c r="N215" s="11"/>
      <c r="O215" s="11"/>
      <c r="P215" s="11"/>
      <c r="Q215" s="11"/>
    </row>
    <row r="216" spans="1:17" s="232" customFormat="1" x14ac:dyDescent="0.2">
      <c r="A216" s="7"/>
      <c r="B216" s="10"/>
      <c r="G216" s="52"/>
      <c r="H216" s="57"/>
      <c r="N216" s="11"/>
      <c r="O216" s="11"/>
      <c r="P216" s="11"/>
      <c r="Q216" s="11"/>
    </row>
    <row r="217" spans="1:17" s="232" customFormat="1" x14ac:dyDescent="0.2">
      <c r="A217" s="7"/>
      <c r="B217" s="10"/>
      <c r="G217" s="52"/>
      <c r="H217" s="57"/>
      <c r="N217" s="11"/>
      <c r="O217" s="11"/>
      <c r="P217" s="11"/>
      <c r="Q217" s="11"/>
    </row>
    <row r="218" spans="1:17" s="232" customFormat="1" x14ac:dyDescent="0.2">
      <c r="A218" s="7"/>
      <c r="B218" s="10"/>
      <c r="G218" s="52"/>
      <c r="H218" s="57"/>
      <c r="N218" s="11"/>
      <c r="O218" s="11"/>
      <c r="P218" s="11"/>
      <c r="Q218" s="11"/>
    </row>
    <row r="219" spans="1:17" s="232" customFormat="1" x14ac:dyDescent="0.2">
      <c r="A219" s="7"/>
      <c r="B219" s="10"/>
      <c r="G219" s="52"/>
      <c r="H219" s="57"/>
      <c r="N219" s="11"/>
      <c r="O219" s="11"/>
      <c r="P219" s="11"/>
      <c r="Q219" s="11"/>
    </row>
    <row r="220" spans="1:17" s="232" customFormat="1" x14ac:dyDescent="0.2">
      <c r="A220" s="7"/>
      <c r="B220" s="10"/>
      <c r="G220" s="52"/>
      <c r="H220" s="57"/>
      <c r="N220" s="11"/>
      <c r="O220" s="11"/>
      <c r="P220" s="11"/>
      <c r="Q220" s="11"/>
    </row>
    <row r="221" spans="1:17" s="232" customFormat="1" x14ac:dyDescent="0.2">
      <c r="A221" s="7"/>
      <c r="B221" s="10"/>
      <c r="G221" s="52"/>
      <c r="H221" s="57"/>
      <c r="N221" s="11"/>
      <c r="O221" s="11"/>
      <c r="P221" s="11"/>
      <c r="Q221" s="11"/>
    </row>
    <row r="222" spans="1:17" s="232" customFormat="1" x14ac:dyDescent="0.2"/>
    <row r="223" spans="1:17" s="232" customFormat="1" x14ac:dyDescent="0.2"/>
    <row r="224" spans="1:17" s="232" customFormat="1" x14ac:dyDescent="0.2">
      <c r="A224" s="7"/>
      <c r="B224" s="10"/>
      <c r="G224" s="52"/>
      <c r="H224" s="57"/>
      <c r="N224" s="11"/>
      <c r="O224" s="11"/>
      <c r="P224" s="11"/>
      <c r="Q224" s="11"/>
    </row>
    <row r="225" spans="1:17" s="232" customFormat="1" x14ac:dyDescent="0.2">
      <c r="A225" s="7"/>
      <c r="B225" s="10"/>
      <c r="G225" s="52"/>
      <c r="H225" s="57"/>
      <c r="N225" s="11"/>
      <c r="O225" s="11"/>
      <c r="P225" s="11"/>
      <c r="Q225" s="11"/>
    </row>
    <row r="226" spans="1:17" s="232" customFormat="1" x14ac:dyDescent="0.2">
      <c r="A226" s="7"/>
      <c r="B226" s="10"/>
      <c r="G226" s="52"/>
      <c r="H226" s="57"/>
      <c r="N226" s="11"/>
      <c r="O226" s="11"/>
      <c r="P226" s="11"/>
      <c r="Q226" s="11"/>
    </row>
    <row r="227" spans="1:17" s="232" customFormat="1" x14ac:dyDescent="0.2">
      <c r="A227" s="7"/>
      <c r="B227" s="10"/>
      <c r="G227" s="52"/>
      <c r="H227" s="57"/>
      <c r="N227" s="11"/>
      <c r="O227" s="11"/>
      <c r="P227" s="11"/>
      <c r="Q227" s="11"/>
    </row>
    <row r="228" spans="1:17" s="232" customFormat="1" x14ac:dyDescent="0.2">
      <c r="A228" s="7"/>
      <c r="B228" s="10"/>
      <c r="G228" s="52"/>
      <c r="H228" s="57"/>
      <c r="N228" s="11"/>
      <c r="O228" s="11"/>
      <c r="P228" s="11"/>
      <c r="Q228" s="11"/>
    </row>
    <row r="229" spans="1:17" s="232" customFormat="1" x14ac:dyDescent="0.2">
      <c r="A229" s="7"/>
      <c r="B229" s="10"/>
      <c r="C229" s="232" t="s">
        <v>450</v>
      </c>
      <c r="D229" s="232" t="s">
        <v>451</v>
      </c>
      <c r="G229" s="52"/>
      <c r="H229" s="57"/>
      <c r="N229" s="11"/>
      <c r="O229" s="11"/>
      <c r="P229" s="11"/>
      <c r="Q229" s="11"/>
    </row>
    <row r="230" spans="1:17" s="232" customFormat="1" x14ac:dyDescent="0.2">
      <c r="A230" s="7"/>
      <c r="B230" s="10" t="str">
        <f>+B185</f>
        <v>Финансовый результат по производству  э/энергии (мощности), тыс. руб.</v>
      </c>
      <c r="C230" s="369">
        <f>+H185/1000</f>
        <v>0.25639328656390714</v>
      </c>
      <c r="G230" s="52"/>
      <c r="H230" s="57"/>
      <c r="N230" s="11"/>
      <c r="O230" s="11"/>
      <c r="P230" s="11"/>
      <c r="Q230" s="11"/>
    </row>
    <row r="231" spans="1:17" s="232" customFormat="1" x14ac:dyDescent="0.2">
      <c r="A231" s="7"/>
      <c r="B231" s="10" t="str">
        <f>+B194</f>
        <v>Финансовый результат по производству  т/энергии, тыс. руб.</v>
      </c>
      <c r="C231" s="369">
        <f>+H194/1000</f>
        <v>-34.345198577418863</v>
      </c>
      <c r="D231" s="369" t="e">
        <f>+C231+#REF!+#REF!+#REF!+#REF!+#REF!</f>
        <v>#REF!</v>
      </c>
      <c r="G231" s="52"/>
      <c r="H231" s="57"/>
      <c r="N231" s="11"/>
      <c r="O231" s="11"/>
      <c r="P231" s="11"/>
      <c r="Q231" s="11"/>
    </row>
    <row r="232" spans="1:17" s="232" customFormat="1" x14ac:dyDescent="0.2">
      <c r="A232" s="7"/>
      <c r="B232" s="10"/>
      <c r="G232" s="52"/>
      <c r="H232" s="57"/>
      <c r="N232" s="11"/>
      <c r="O232" s="11"/>
      <c r="P232" s="11"/>
      <c r="Q232" s="11"/>
    </row>
  </sheetData>
  <sheetProtection formatCells="0" formatColumns="0" formatRows="0" insertColumns="0" insertRows="0" insertHyperlinks="0" deleteColumns="0" deleteRows="0" sort="0" autoFilter="0" pivotTables="0"/>
  <phoneticPr fontId="7" type="noConversion"/>
  <printOptions horizontalCentered="1"/>
  <pageMargins left="0.35433070866141736" right="0.35433070866141736" top="0.59055118110236227" bottom="0.39370078740157483" header="0.51181102362204722" footer="0.51181102362204722"/>
  <pageSetup paperSize="9" scale="1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rgb="FFFF0000"/>
  </sheetPr>
  <dimension ref="A1:AR229"/>
  <sheetViews>
    <sheetView view="pageBreakPreview" zoomScaleNormal="100" zoomScaleSheetLayoutView="100" workbookViewId="0">
      <pane xSplit="2" ySplit="3" topLeftCell="C200" activePane="bottomRight" state="frozen"/>
      <selection pane="topRight" activeCell="C1" sqref="C1"/>
      <selection pane="bottomLeft" activeCell="A4" sqref="A4"/>
      <selection pane="bottomRight" activeCell="R196" sqref="R196:R198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232" customWidth="1"/>
    <col min="7" max="7" width="10.7109375" style="52" customWidth="1"/>
    <col min="8" max="8" width="10.7109375" style="57" customWidth="1"/>
    <col min="9" max="13" width="10.7109375" style="232" customWidth="1"/>
    <col min="14" max="16" width="10.7109375" style="11" customWidth="1"/>
    <col min="17" max="17" width="2.140625" style="11" customWidth="1"/>
    <col min="18" max="18" width="10.28515625" style="232" bestFit="1" customWidth="1"/>
    <col min="19" max="16384" width="9.140625" style="232"/>
  </cols>
  <sheetData>
    <row r="1" spans="1:44" collapsed="1" x14ac:dyDescent="0.2">
      <c r="B1" s="232" t="s">
        <v>466</v>
      </c>
      <c r="G1" s="232"/>
      <c r="H1" s="232"/>
      <c r="N1" s="13"/>
      <c r="O1" s="13"/>
      <c r="P1" s="13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2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70">
        <f>COLUMN()</f>
        <v>7</v>
      </c>
      <c r="H4" s="61">
        <f>COLUMN()</f>
        <v>8</v>
      </c>
      <c r="I4" s="421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170</v>
      </c>
      <c r="D5" s="76">
        <f t="shared" si="0"/>
        <v>170</v>
      </c>
      <c r="E5" s="76">
        <f t="shared" si="0"/>
        <v>170</v>
      </c>
      <c r="F5" s="76">
        <f t="shared" si="0"/>
        <v>170</v>
      </c>
      <c r="G5" s="371">
        <f t="shared" si="0"/>
        <v>170</v>
      </c>
      <c r="H5" s="76">
        <f t="shared" si="0"/>
        <v>170</v>
      </c>
      <c r="I5" s="422">
        <f t="shared" si="0"/>
        <v>170</v>
      </c>
      <c r="J5" s="76">
        <f t="shared" si="0"/>
        <v>170</v>
      </c>
      <c r="K5" s="76">
        <f t="shared" si="0"/>
        <v>170</v>
      </c>
      <c r="L5" s="76">
        <f t="shared" si="0"/>
        <v>170</v>
      </c>
      <c r="M5" s="76">
        <f t="shared" si="0"/>
        <v>170</v>
      </c>
      <c r="N5" s="76">
        <f t="shared" si="0"/>
        <v>170</v>
      </c>
      <c r="O5" s="76">
        <f t="shared" si="0"/>
        <v>170</v>
      </c>
      <c r="P5" s="76">
        <f t="shared" si="0"/>
        <v>170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355</v>
      </c>
      <c r="C6" s="89">
        <v>170</v>
      </c>
      <c r="D6" s="90">
        <f>+C6</f>
        <v>170</v>
      </c>
      <c r="E6" s="90">
        <f t="shared" ref="E6:P6" si="1">+D6</f>
        <v>170</v>
      </c>
      <c r="F6" s="90">
        <f t="shared" si="1"/>
        <v>170</v>
      </c>
      <c r="G6" s="372">
        <f t="shared" si="1"/>
        <v>170</v>
      </c>
      <c r="H6" s="90">
        <f t="shared" si="1"/>
        <v>170</v>
      </c>
      <c r="I6" s="443">
        <f t="shared" si="1"/>
        <v>170</v>
      </c>
      <c r="J6" s="372">
        <f t="shared" si="1"/>
        <v>170</v>
      </c>
      <c r="K6" s="372">
        <f t="shared" si="1"/>
        <v>170</v>
      </c>
      <c r="L6" s="372">
        <f t="shared" si="1"/>
        <v>170</v>
      </c>
      <c r="M6" s="372">
        <f t="shared" si="1"/>
        <v>170</v>
      </c>
      <c r="N6" s="372">
        <f t="shared" si="1"/>
        <v>170</v>
      </c>
      <c r="O6" s="372">
        <f t="shared" si="1"/>
        <v>170</v>
      </c>
      <c r="P6" s="372">
        <f t="shared" si="1"/>
        <v>170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3"/>
      <c r="H7" s="373"/>
      <c r="I7" s="373"/>
      <c r="J7" s="373"/>
      <c r="K7" s="373"/>
      <c r="L7" s="373"/>
      <c r="M7" s="373"/>
      <c r="N7" s="373"/>
      <c r="O7" s="373"/>
      <c r="P7" s="373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2">SUM(C9:C10)</f>
        <v>134.19559015873014</v>
      </c>
      <c r="D8" s="92">
        <f t="shared" si="2"/>
        <v>154.84126984126985</v>
      </c>
      <c r="E8" s="92">
        <f t="shared" si="2"/>
        <v>154.84126984126985</v>
      </c>
      <c r="F8" s="92">
        <f t="shared" si="2"/>
        <v>154.84126984126985</v>
      </c>
      <c r="G8" s="374">
        <f t="shared" si="2"/>
        <v>154.84126984126985</v>
      </c>
      <c r="H8" s="444">
        <f t="shared" si="2"/>
        <v>154.84126984126985</v>
      </c>
      <c r="I8" s="92">
        <f t="shared" si="2"/>
        <v>154.84126984126985</v>
      </c>
      <c r="J8" s="92">
        <f t="shared" si="2"/>
        <v>154.84126984126985</v>
      </c>
      <c r="K8" s="92">
        <f t="shared" si="2"/>
        <v>154.84126984126985</v>
      </c>
      <c r="L8" s="92">
        <f t="shared" si="2"/>
        <v>154.84126984126985</v>
      </c>
      <c r="M8" s="92">
        <f t="shared" si="2"/>
        <v>154.84126984126985</v>
      </c>
      <c r="N8" s="92">
        <f t="shared" si="2"/>
        <v>154.84126984126985</v>
      </c>
      <c r="O8" s="92">
        <f t="shared" si="2"/>
        <v>154.84126984126985</v>
      </c>
      <c r="P8" s="92">
        <f t="shared" si="2"/>
        <v>154.84126984126985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5" t="s">
        <v>355</v>
      </c>
      <c r="C9" s="95">
        <f>+C16/$R9*1000</f>
        <v>134.19559015873014</v>
      </c>
      <c r="D9" s="95">
        <f t="shared" ref="D9:P9" si="3">+D16/$R9*1000</f>
        <v>154.84126984126985</v>
      </c>
      <c r="E9" s="95">
        <f t="shared" si="3"/>
        <v>154.84126984126985</v>
      </c>
      <c r="F9" s="95">
        <f t="shared" si="3"/>
        <v>154.84126984126985</v>
      </c>
      <c r="G9" s="95">
        <f t="shared" si="3"/>
        <v>154.84126984126985</v>
      </c>
      <c r="H9" s="95">
        <f t="shared" si="3"/>
        <v>154.84126984126985</v>
      </c>
      <c r="I9" s="95">
        <f t="shared" si="3"/>
        <v>154.84126984126985</v>
      </c>
      <c r="J9" s="95">
        <f t="shared" si="3"/>
        <v>154.84126984126985</v>
      </c>
      <c r="K9" s="95">
        <f t="shared" si="3"/>
        <v>154.84126984126985</v>
      </c>
      <c r="L9" s="95">
        <f t="shared" si="3"/>
        <v>154.84126984126985</v>
      </c>
      <c r="M9" s="95">
        <f t="shared" si="3"/>
        <v>154.84126984126985</v>
      </c>
      <c r="N9" s="95">
        <f t="shared" si="3"/>
        <v>154.84126984126985</v>
      </c>
      <c r="O9" s="95">
        <f t="shared" si="3"/>
        <v>154.84126984126985</v>
      </c>
      <c r="P9" s="95">
        <f t="shared" si="3"/>
        <v>154.84126984126985</v>
      </c>
      <c r="Q9" s="11"/>
      <c r="R9" s="23">
        <f>7*30*24</f>
        <v>5040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0.78938582446311845</v>
      </c>
      <c r="D11" s="70">
        <f t="shared" ref="D11:P11" si="4">+D8/D5</f>
        <v>0.91083099906629328</v>
      </c>
      <c r="E11" s="70">
        <f t="shared" si="4"/>
        <v>0.91083099906629328</v>
      </c>
      <c r="F11" s="70">
        <f t="shared" si="4"/>
        <v>0.91083099906629328</v>
      </c>
      <c r="G11" s="375">
        <f t="shared" si="4"/>
        <v>0.91083099906629328</v>
      </c>
      <c r="H11" s="174">
        <f t="shared" si="4"/>
        <v>0.91083099906629328</v>
      </c>
      <c r="I11" s="70">
        <f t="shared" si="4"/>
        <v>0.91083099906629328</v>
      </c>
      <c r="J11" s="70">
        <f t="shared" si="4"/>
        <v>0.91083099906629328</v>
      </c>
      <c r="K11" s="70">
        <f t="shared" si="4"/>
        <v>0.91083099906629328</v>
      </c>
      <c r="L11" s="70">
        <f t="shared" si="4"/>
        <v>0.91083099906629328</v>
      </c>
      <c r="M11" s="70">
        <f t="shared" si="4"/>
        <v>0.91083099906629328</v>
      </c>
      <c r="N11" s="70">
        <f t="shared" si="4"/>
        <v>0.91083099906629328</v>
      </c>
      <c r="O11" s="70">
        <f t="shared" si="4"/>
        <v>0.91083099906629328</v>
      </c>
      <c r="P11" s="70">
        <f t="shared" si="4"/>
        <v>0.91083099906629328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35.804409841269859</v>
      </c>
      <c r="D12" s="92">
        <f t="shared" ref="D12:P12" si="5">SUM(D13:D14)</f>
        <v>15.158730158730151</v>
      </c>
      <c r="E12" s="92">
        <f t="shared" si="5"/>
        <v>15.158730158730151</v>
      </c>
      <c r="F12" s="92">
        <f t="shared" si="5"/>
        <v>15.158730158730151</v>
      </c>
      <c r="G12" s="374">
        <f t="shared" si="5"/>
        <v>15.158730158730151</v>
      </c>
      <c r="H12" s="444">
        <f t="shared" si="5"/>
        <v>15.158730158730151</v>
      </c>
      <c r="I12" s="92">
        <f t="shared" si="5"/>
        <v>15.158730158730151</v>
      </c>
      <c r="J12" s="92">
        <f t="shared" si="5"/>
        <v>15.158730158730151</v>
      </c>
      <c r="K12" s="92">
        <f t="shared" si="5"/>
        <v>15.158730158730151</v>
      </c>
      <c r="L12" s="92">
        <f t="shared" si="5"/>
        <v>15.158730158730151</v>
      </c>
      <c r="M12" s="92">
        <f t="shared" si="5"/>
        <v>15.158730158730151</v>
      </c>
      <c r="N12" s="92">
        <f t="shared" si="5"/>
        <v>15.158730158730151</v>
      </c>
      <c r="O12" s="92">
        <f t="shared" si="5"/>
        <v>15.158730158730151</v>
      </c>
      <c r="P12" s="92">
        <f t="shared" si="5"/>
        <v>15.158730158730151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5" t="s">
        <v>355</v>
      </c>
      <c r="C13" s="95">
        <f>+C6-C9</f>
        <v>35.804409841269859</v>
      </c>
      <c r="D13" s="95">
        <f t="shared" ref="D13:P14" si="6">+D6-D9</f>
        <v>15.158730158730151</v>
      </c>
      <c r="E13" s="95">
        <f t="shared" si="6"/>
        <v>15.158730158730151</v>
      </c>
      <c r="F13" s="95">
        <f t="shared" si="6"/>
        <v>15.158730158730151</v>
      </c>
      <c r="G13" s="376">
        <f t="shared" si="6"/>
        <v>15.158730158730151</v>
      </c>
      <c r="H13" s="175">
        <f t="shared" si="6"/>
        <v>15.158730158730151</v>
      </c>
      <c r="I13" s="95">
        <f t="shared" si="6"/>
        <v>15.158730158730151</v>
      </c>
      <c r="J13" s="95">
        <f t="shared" si="6"/>
        <v>15.158730158730151</v>
      </c>
      <c r="K13" s="95">
        <f t="shared" si="6"/>
        <v>15.158730158730151</v>
      </c>
      <c r="L13" s="95">
        <f t="shared" si="6"/>
        <v>15.158730158730151</v>
      </c>
      <c r="M13" s="95">
        <f t="shared" si="6"/>
        <v>15.158730158730151</v>
      </c>
      <c r="N13" s="95">
        <f t="shared" si="6"/>
        <v>15.158730158730151</v>
      </c>
      <c r="O13" s="95">
        <f t="shared" si="6"/>
        <v>15.158730158730151</v>
      </c>
      <c r="P13" s="95">
        <f t="shared" si="6"/>
        <v>15.158730158730151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si="6"/>
        <v>0</v>
      </c>
      <c r="E14" s="95">
        <f t="shared" si="6"/>
        <v>0</v>
      </c>
      <c r="F14" s="95">
        <f t="shared" si="6"/>
        <v>0</v>
      </c>
      <c r="G14" s="376">
        <f t="shared" si="6"/>
        <v>0</v>
      </c>
      <c r="H14" s="175">
        <f t="shared" si="6"/>
        <v>0</v>
      </c>
      <c r="I14" s="95">
        <f t="shared" si="6"/>
        <v>0</v>
      </c>
      <c r="J14" s="95">
        <f t="shared" si="6"/>
        <v>0</v>
      </c>
      <c r="K14" s="95">
        <f t="shared" si="6"/>
        <v>0</v>
      </c>
      <c r="L14" s="95">
        <f t="shared" si="6"/>
        <v>0</v>
      </c>
      <c r="M14" s="95">
        <f t="shared" si="6"/>
        <v>0</v>
      </c>
      <c r="N14" s="95">
        <f t="shared" si="6"/>
        <v>0</v>
      </c>
      <c r="O14" s="95">
        <f t="shared" si="6"/>
        <v>0</v>
      </c>
      <c r="P14" s="95">
        <f t="shared" si="6"/>
        <v>0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676.34577439999998</v>
      </c>
      <c r="D15" s="76">
        <f t="shared" ref="D15:P15" si="7">+D16</f>
        <v>780.4</v>
      </c>
      <c r="E15" s="76">
        <f t="shared" si="7"/>
        <v>780.4</v>
      </c>
      <c r="F15" s="76">
        <f t="shared" si="7"/>
        <v>780.4</v>
      </c>
      <c r="G15" s="371">
        <f t="shared" si="7"/>
        <v>780.4</v>
      </c>
      <c r="H15" s="76">
        <f t="shared" si="7"/>
        <v>780.4</v>
      </c>
      <c r="I15" s="422">
        <f t="shared" si="7"/>
        <v>780.4</v>
      </c>
      <c r="J15" s="76">
        <f t="shared" si="7"/>
        <v>780.4</v>
      </c>
      <c r="K15" s="76">
        <f t="shared" si="7"/>
        <v>780.4</v>
      </c>
      <c r="L15" s="76">
        <f t="shared" si="7"/>
        <v>780.4</v>
      </c>
      <c r="M15" s="76">
        <f t="shared" si="7"/>
        <v>780.4</v>
      </c>
      <c r="N15" s="76">
        <f t="shared" si="7"/>
        <v>780.4</v>
      </c>
      <c r="O15" s="76">
        <f t="shared" si="7"/>
        <v>780.4</v>
      </c>
      <c r="P15" s="76">
        <f t="shared" si="7"/>
        <v>780.4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+'[4]4.4.Р_т'!$F$5</f>
        <v>676.34577439999998</v>
      </c>
      <c r="D16" s="93">
        <f>+'[4]4.4.Р_т'!$P$5</f>
        <v>780.4</v>
      </c>
      <c r="E16" s="90">
        <f t="shared" ref="D16:P23" si="8">+D16</f>
        <v>780.4</v>
      </c>
      <c r="F16" s="90">
        <f t="shared" si="8"/>
        <v>780.4</v>
      </c>
      <c r="G16" s="90">
        <f t="shared" si="8"/>
        <v>780.4</v>
      </c>
      <c r="H16" s="90">
        <f t="shared" si="8"/>
        <v>780.4</v>
      </c>
      <c r="I16" s="90">
        <f t="shared" si="8"/>
        <v>780.4</v>
      </c>
      <c r="J16" s="90">
        <f t="shared" si="8"/>
        <v>780.4</v>
      </c>
      <c r="K16" s="90">
        <f t="shared" si="8"/>
        <v>780.4</v>
      </c>
      <c r="L16" s="90">
        <f t="shared" si="8"/>
        <v>780.4</v>
      </c>
      <c r="M16" s="90">
        <f t="shared" si="8"/>
        <v>780.4</v>
      </c>
      <c r="N16" s="90">
        <f t="shared" si="8"/>
        <v>780.4</v>
      </c>
      <c r="O16" s="90">
        <f t="shared" si="8"/>
        <v>780.4</v>
      </c>
      <c r="P16" s="90">
        <f t="shared" si="8"/>
        <v>780.4</v>
      </c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SUM(C18:C22)</f>
        <v>109.44148100000001</v>
      </c>
      <c r="D17" s="95">
        <f t="shared" ref="D17:P17" si="9">SUM(D18:D22)</f>
        <v>115.81699999999999</v>
      </c>
      <c r="E17" s="95">
        <f t="shared" si="9"/>
        <v>115.81699999999999</v>
      </c>
      <c r="F17" s="95">
        <f t="shared" si="9"/>
        <v>113.87569865433083</v>
      </c>
      <c r="G17" s="376">
        <f t="shared" si="9"/>
        <v>112.64360309234155</v>
      </c>
      <c r="H17" s="175">
        <f t="shared" si="9"/>
        <v>107.32617355380144</v>
      </c>
      <c r="I17" s="95">
        <f t="shared" si="9"/>
        <v>106.55825608309742</v>
      </c>
      <c r="J17" s="95">
        <f t="shared" si="9"/>
        <v>105.14888990215941</v>
      </c>
      <c r="K17" s="95">
        <f t="shared" si="9"/>
        <v>104.51533882436672</v>
      </c>
      <c r="L17" s="95">
        <f t="shared" si="9"/>
        <v>104.51533882436672</v>
      </c>
      <c r="M17" s="95">
        <f t="shared" si="9"/>
        <v>104.51533882436672</v>
      </c>
      <c r="N17" s="95">
        <f t="shared" si="9"/>
        <v>104.51533882436672</v>
      </c>
      <c r="O17" s="95">
        <f t="shared" si="9"/>
        <v>104.51533882436672</v>
      </c>
      <c r="P17" s="95">
        <f t="shared" si="9"/>
        <v>104.51533882436672</v>
      </c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6" customFormat="1" x14ac:dyDescent="0.2">
      <c r="A18" s="244"/>
      <c r="B18" s="248" t="s">
        <v>403</v>
      </c>
      <c r="C18" s="93">
        <f>+'[4]4.4.Р_т'!$F$6</f>
        <v>109.44148100000001</v>
      </c>
      <c r="D18" s="93">
        <f>+'[4]4.4.Р_т'!$P$6</f>
        <v>115.81699999999999</v>
      </c>
      <c r="E18" s="90">
        <f t="shared" si="8"/>
        <v>115.81699999999999</v>
      </c>
      <c r="F18" s="90">
        <f t="shared" si="8"/>
        <v>115.81699999999999</v>
      </c>
      <c r="G18" s="90">
        <f t="shared" si="8"/>
        <v>115.81699999999999</v>
      </c>
      <c r="H18" s="90">
        <f t="shared" si="8"/>
        <v>115.81699999999999</v>
      </c>
      <c r="I18" s="90">
        <f t="shared" si="8"/>
        <v>115.81699999999999</v>
      </c>
      <c r="J18" s="90">
        <f t="shared" si="8"/>
        <v>115.81699999999999</v>
      </c>
      <c r="K18" s="90">
        <f t="shared" si="8"/>
        <v>115.81699999999999</v>
      </c>
      <c r="L18" s="90">
        <f t="shared" si="8"/>
        <v>115.81699999999999</v>
      </c>
      <c r="M18" s="90">
        <f t="shared" si="8"/>
        <v>115.81699999999999</v>
      </c>
      <c r="N18" s="90">
        <f t="shared" si="8"/>
        <v>115.81699999999999</v>
      </c>
      <c r="O18" s="90">
        <f t="shared" si="8"/>
        <v>115.81699999999999</v>
      </c>
      <c r="P18" s="90">
        <f t="shared" si="8"/>
        <v>115.81699999999999</v>
      </c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6" customFormat="1" ht="33.75" x14ac:dyDescent="0.2">
      <c r="A19" s="244"/>
      <c r="B19" s="248" t="s">
        <v>520</v>
      </c>
      <c r="C19" s="337"/>
      <c r="D19" s="337"/>
      <c r="E19" s="337"/>
      <c r="F19" s="338"/>
      <c r="G19" s="338"/>
      <c r="H19" s="89">
        <v>-4</v>
      </c>
      <c r="I19" s="90">
        <f>+H19</f>
        <v>-4</v>
      </c>
      <c r="J19" s="90">
        <f t="shared" si="8"/>
        <v>-4</v>
      </c>
      <c r="K19" s="90">
        <f t="shared" si="8"/>
        <v>-4</v>
      </c>
      <c r="L19" s="90">
        <f t="shared" si="8"/>
        <v>-4</v>
      </c>
      <c r="M19" s="90">
        <f t="shared" si="8"/>
        <v>-4</v>
      </c>
      <c r="N19" s="90">
        <f t="shared" si="8"/>
        <v>-4</v>
      </c>
      <c r="O19" s="90">
        <f t="shared" si="8"/>
        <v>-4</v>
      </c>
      <c r="P19" s="90">
        <f t="shared" si="8"/>
        <v>-4</v>
      </c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336" customFormat="1" ht="22.5" x14ac:dyDescent="0.2">
      <c r="A20" s="244"/>
      <c r="B20" s="248" t="s">
        <v>521</v>
      </c>
      <c r="C20" s="337"/>
      <c r="D20" s="337"/>
      <c r="E20" s="337"/>
      <c r="F20" s="89">
        <v>-1.2</v>
      </c>
      <c r="G20" s="90">
        <f t="shared" ref="G20:I20" si="10">+F20</f>
        <v>-1.2</v>
      </c>
      <c r="H20" s="90">
        <f t="shared" si="10"/>
        <v>-1.2</v>
      </c>
      <c r="I20" s="90">
        <f t="shared" si="10"/>
        <v>-1.2</v>
      </c>
      <c r="J20" s="90">
        <f t="shared" si="8"/>
        <v>-1.2</v>
      </c>
      <c r="K20" s="90">
        <f t="shared" si="8"/>
        <v>-1.2</v>
      </c>
      <c r="L20" s="90">
        <f t="shared" si="8"/>
        <v>-1.2</v>
      </c>
      <c r="M20" s="90">
        <f t="shared" si="8"/>
        <v>-1.2</v>
      </c>
      <c r="N20" s="90">
        <f t="shared" si="8"/>
        <v>-1.2</v>
      </c>
      <c r="O20" s="90">
        <f t="shared" si="8"/>
        <v>-1.2</v>
      </c>
      <c r="P20" s="90">
        <f t="shared" si="8"/>
        <v>-1.2</v>
      </c>
      <c r="Q20" s="247"/>
      <c r="R20" s="247"/>
      <c r="S20" s="247"/>
      <c r="T20" s="247"/>
      <c r="U20" s="247"/>
      <c r="V20" s="247"/>
      <c r="W20" s="247"/>
      <c r="X20" s="247"/>
      <c r="Y20" s="247"/>
      <c r="Z20" s="247"/>
      <c r="AA20" s="247"/>
      <c r="AB20" s="247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</row>
    <row r="21" spans="1:44" s="603" customFormat="1" x14ac:dyDescent="0.2">
      <c r="A21" s="551"/>
      <c r="B21" s="552" t="s">
        <v>595</v>
      </c>
      <c r="C21" s="337"/>
      <c r="D21" s="337"/>
      <c r="E21" s="604">
        <f>IF(D80=0,-$R21,+$R21*(E80/$D80-1))</f>
        <v>0</v>
      </c>
      <c r="F21" s="604">
        <f t="shared" ref="F21:P21" si="11">IF(E80=0,-$R21,+$R21*(F80/$D80-1))</f>
        <v>-0.74130134566916273</v>
      </c>
      <c r="G21" s="604">
        <f t="shared" si="11"/>
        <v>-1.9733969076584394</v>
      </c>
      <c r="H21" s="604">
        <f t="shared" si="11"/>
        <v>-3.2908264461985466</v>
      </c>
      <c r="I21" s="604">
        <f t="shared" si="11"/>
        <v>-4.0587439169025661</v>
      </c>
      <c r="J21" s="604">
        <f t="shared" si="11"/>
        <v>-5.4681100978405777</v>
      </c>
      <c r="K21" s="604">
        <f t="shared" si="11"/>
        <v>-6.1016611756332608</v>
      </c>
      <c r="L21" s="604">
        <f t="shared" si="11"/>
        <v>-6.1016611756332608</v>
      </c>
      <c r="M21" s="604">
        <f t="shared" si="11"/>
        <v>-6.1016611756332608</v>
      </c>
      <c r="N21" s="604">
        <f t="shared" si="11"/>
        <v>-6.1016611756332608</v>
      </c>
      <c r="O21" s="604">
        <f t="shared" si="11"/>
        <v>-6.1016611756332608</v>
      </c>
      <c r="P21" s="604">
        <f t="shared" si="11"/>
        <v>-6.1016611756332608</v>
      </c>
      <c r="Q21" s="343"/>
      <c r="R21" s="605">
        <f>+D18*D199/D163</f>
        <v>6.1016611756332608</v>
      </c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343"/>
      <c r="AO21" s="343"/>
      <c r="AP21" s="343"/>
      <c r="AQ21" s="343"/>
      <c r="AR21" s="343"/>
    </row>
    <row r="22" spans="1:44" s="336" customFormat="1" x14ac:dyDescent="0.2">
      <c r="A22" s="244"/>
      <c r="B22" s="248"/>
      <c r="C22" s="337"/>
      <c r="D22" s="337"/>
      <c r="E22" s="337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247"/>
      <c r="R22" s="247"/>
      <c r="S22" s="247"/>
      <c r="T22" s="247"/>
      <c r="U22" s="247"/>
      <c r="V22" s="247"/>
      <c r="W22" s="247"/>
      <c r="X22" s="247"/>
      <c r="Y22" s="247"/>
      <c r="Z22" s="247"/>
      <c r="AA22" s="247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/>
      <c r="AP22" s="247"/>
      <c r="AQ22" s="247"/>
      <c r="AR22" s="247"/>
    </row>
    <row r="23" spans="1:44" s="23" customFormat="1" ht="22.5" x14ac:dyDescent="0.2">
      <c r="A23" s="2" t="s">
        <v>1</v>
      </c>
      <c r="B23" s="5" t="s">
        <v>169</v>
      </c>
      <c r="C23" s="93">
        <f>+'[4]4.4.Р_т'!$F$12+'[4]4.4.Р_т'!$F$14</f>
        <v>8.0212177000000011</v>
      </c>
      <c r="D23" s="90">
        <f t="shared" si="8"/>
        <v>8.0212177000000011</v>
      </c>
      <c r="E23" s="90">
        <f t="shared" si="8"/>
        <v>8.0212177000000011</v>
      </c>
      <c r="F23" s="90">
        <f t="shared" si="8"/>
        <v>8.0212177000000011</v>
      </c>
      <c r="G23" s="372">
        <f t="shared" si="8"/>
        <v>8.0212177000000011</v>
      </c>
      <c r="H23" s="372">
        <f t="shared" si="8"/>
        <v>8.0212177000000011</v>
      </c>
      <c r="I23" s="372">
        <f t="shared" si="8"/>
        <v>8.0212177000000011</v>
      </c>
      <c r="J23" s="372">
        <f t="shared" si="8"/>
        <v>8.0212177000000011</v>
      </c>
      <c r="K23" s="372">
        <f t="shared" si="8"/>
        <v>8.0212177000000011</v>
      </c>
      <c r="L23" s="90">
        <f t="shared" si="8"/>
        <v>8.0212177000000011</v>
      </c>
      <c r="M23" s="90">
        <f t="shared" si="8"/>
        <v>8.0212177000000011</v>
      </c>
      <c r="N23" s="90">
        <f t="shared" si="8"/>
        <v>8.0212177000000011</v>
      </c>
      <c r="O23" s="90">
        <f t="shared" si="8"/>
        <v>8.0212177000000011</v>
      </c>
      <c r="P23" s="90">
        <f t="shared" si="8"/>
        <v>8.0212177000000011</v>
      </c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</row>
    <row r="24" spans="1:44" s="69" customFormat="1" x14ac:dyDescent="0.2">
      <c r="A24" s="142"/>
      <c r="B24" s="133"/>
      <c r="C24" s="488"/>
      <c r="D24" s="210"/>
      <c r="E24" s="210"/>
      <c r="F24" s="210"/>
      <c r="G24" s="489"/>
      <c r="H24" s="489"/>
      <c r="I24" s="489"/>
      <c r="J24" s="489"/>
      <c r="K24" s="489"/>
      <c r="L24" s="210"/>
      <c r="M24" s="210"/>
      <c r="N24" s="210"/>
      <c r="O24" s="210"/>
      <c r="P24" s="210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</row>
    <row r="25" spans="1:44" s="69" customFormat="1" x14ac:dyDescent="0.2">
      <c r="A25" s="33" t="s">
        <v>3</v>
      </c>
      <c r="B25" s="100" t="s">
        <v>174</v>
      </c>
      <c r="C25" s="98">
        <f>+(C17+C23)/C15</f>
        <v>0.17367255499482279</v>
      </c>
      <c r="D25" s="98">
        <f t="shared" ref="D25:P25" si="12">+(D17+D23)/D15</f>
        <v>0.1586855685545874</v>
      </c>
      <c r="E25" s="98">
        <f t="shared" si="12"/>
        <v>0.1586855685545874</v>
      </c>
      <c r="F25" s="98">
        <f t="shared" si="12"/>
        <v>0.15619799635357617</v>
      </c>
      <c r="G25" s="378">
        <f t="shared" si="12"/>
        <v>0.15461919629977133</v>
      </c>
      <c r="H25" s="98">
        <f t="shared" si="12"/>
        <v>0.14780547315966358</v>
      </c>
      <c r="I25" s="424">
        <f t="shared" si="12"/>
        <v>0.14682146819976605</v>
      </c>
      <c r="J25" s="98">
        <f t="shared" si="12"/>
        <v>0.14501551461066045</v>
      </c>
      <c r="K25" s="98">
        <f t="shared" si="12"/>
        <v>0.14420368596151553</v>
      </c>
      <c r="L25" s="98">
        <f t="shared" si="12"/>
        <v>0.14420368596151553</v>
      </c>
      <c r="M25" s="98">
        <f t="shared" si="12"/>
        <v>0.14420368596151553</v>
      </c>
      <c r="N25" s="98">
        <f t="shared" si="12"/>
        <v>0.14420368596151553</v>
      </c>
      <c r="O25" s="98">
        <f t="shared" si="12"/>
        <v>0.14420368596151553</v>
      </c>
      <c r="P25" s="98">
        <f t="shared" si="12"/>
        <v>0.14420368596151553</v>
      </c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</row>
    <row r="26" spans="1:44" s="99" customFormat="1" x14ac:dyDescent="0.2">
      <c r="A26" s="66">
        <v>5</v>
      </c>
      <c r="B26" s="101" t="s">
        <v>170</v>
      </c>
      <c r="C26" s="103">
        <f>+C15-C17-C23</f>
        <v>558.88307569999995</v>
      </c>
      <c r="D26" s="103">
        <f t="shared" ref="D26:P26" si="13">+D15-D17-D23</f>
        <v>656.5617823</v>
      </c>
      <c r="E26" s="103">
        <f t="shared" si="13"/>
        <v>656.5617823</v>
      </c>
      <c r="F26" s="103">
        <f t="shared" si="13"/>
        <v>658.50308364566922</v>
      </c>
      <c r="G26" s="379">
        <f t="shared" si="13"/>
        <v>659.73517920765846</v>
      </c>
      <c r="H26" s="103">
        <f t="shared" si="13"/>
        <v>665.05260874619853</v>
      </c>
      <c r="I26" s="78">
        <f t="shared" si="13"/>
        <v>665.82052621690264</v>
      </c>
      <c r="J26" s="103">
        <f t="shared" si="13"/>
        <v>667.22989239784056</v>
      </c>
      <c r="K26" s="103">
        <f t="shared" si="13"/>
        <v>667.86344347563329</v>
      </c>
      <c r="L26" s="103">
        <f t="shared" si="13"/>
        <v>667.86344347563329</v>
      </c>
      <c r="M26" s="103">
        <f t="shared" si="13"/>
        <v>667.86344347563329</v>
      </c>
      <c r="N26" s="103">
        <f t="shared" si="13"/>
        <v>667.86344347563329</v>
      </c>
      <c r="O26" s="103">
        <f t="shared" si="13"/>
        <v>667.86344347563329</v>
      </c>
      <c r="P26" s="103">
        <f t="shared" si="13"/>
        <v>667.86344347563329</v>
      </c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</row>
    <row r="27" spans="1:44" s="74" customFormat="1" x14ac:dyDescent="0.2">
      <c r="A27" s="71">
        <v>6</v>
      </c>
      <c r="B27" s="101" t="s">
        <v>465</v>
      </c>
      <c r="C27" s="103">
        <f>+C30+C33+C34+C35</f>
        <v>694</v>
      </c>
      <c r="D27" s="103">
        <f t="shared" ref="D27:P27" si="14">+D30+D33+D34+D35</f>
        <v>694</v>
      </c>
      <c r="E27" s="103">
        <f t="shared" si="14"/>
        <v>694</v>
      </c>
      <c r="F27" s="103">
        <f t="shared" si="14"/>
        <v>694</v>
      </c>
      <c r="G27" s="379">
        <f t="shared" si="14"/>
        <v>694</v>
      </c>
      <c r="H27" s="103">
        <f t="shared" si="14"/>
        <v>694</v>
      </c>
      <c r="I27" s="78">
        <f t="shared" si="14"/>
        <v>694</v>
      </c>
      <c r="J27" s="103">
        <f t="shared" si="14"/>
        <v>694</v>
      </c>
      <c r="K27" s="103">
        <f t="shared" si="14"/>
        <v>694</v>
      </c>
      <c r="L27" s="103">
        <f t="shared" si="14"/>
        <v>694</v>
      </c>
      <c r="M27" s="103">
        <f t="shared" si="14"/>
        <v>694</v>
      </c>
      <c r="N27" s="103">
        <f t="shared" si="14"/>
        <v>694</v>
      </c>
      <c r="O27" s="103">
        <f t="shared" si="14"/>
        <v>694</v>
      </c>
      <c r="P27" s="103">
        <f t="shared" si="14"/>
        <v>694</v>
      </c>
    </row>
    <row r="28" spans="1:44" s="32" customFormat="1" x14ac:dyDescent="0.2">
      <c r="A28" s="33"/>
      <c r="B28" s="205" t="s">
        <v>214</v>
      </c>
      <c r="C28" s="207">
        <f>+C27-C29</f>
        <v>694</v>
      </c>
      <c r="D28" s="207">
        <f t="shared" ref="D28:P28" si="15">+D27-D29</f>
        <v>694</v>
      </c>
      <c r="E28" s="207">
        <f t="shared" si="15"/>
        <v>694</v>
      </c>
      <c r="F28" s="207">
        <f t="shared" si="15"/>
        <v>694</v>
      </c>
      <c r="G28" s="380">
        <f t="shared" si="15"/>
        <v>694</v>
      </c>
      <c r="H28" s="207">
        <f t="shared" si="15"/>
        <v>694</v>
      </c>
      <c r="I28" s="425">
        <f t="shared" si="15"/>
        <v>694</v>
      </c>
      <c r="J28" s="207">
        <f t="shared" si="15"/>
        <v>694</v>
      </c>
      <c r="K28" s="207">
        <f t="shared" si="15"/>
        <v>694</v>
      </c>
      <c r="L28" s="207">
        <f t="shared" si="15"/>
        <v>694</v>
      </c>
      <c r="M28" s="207">
        <f t="shared" si="15"/>
        <v>694</v>
      </c>
      <c r="N28" s="207">
        <f t="shared" si="15"/>
        <v>694</v>
      </c>
      <c r="O28" s="207">
        <f t="shared" si="15"/>
        <v>694</v>
      </c>
      <c r="P28" s="207">
        <f t="shared" si="15"/>
        <v>694</v>
      </c>
    </row>
    <row r="29" spans="1:44" s="32" customFormat="1" x14ac:dyDescent="0.2">
      <c r="A29" s="33"/>
      <c r="B29" s="205" t="s">
        <v>215</v>
      </c>
      <c r="C29" s="207">
        <f>+C32</f>
        <v>0</v>
      </c>
      <c r="D29" s="207">
        <f t="shared" ref="D29:P29" si="16">+D32</f>
        <v>0</v>
      </c>
      <c r="E29" s="207">
        <f t="shared" si="16"/>
        <v>0</v>
      </c>
      <c r="F29" s="207">
        <f t="shared" si="16"/>
        <v>0</v>
      </c>
      <c r="G29" s="380">
        <f t="shared" si="16"/>
        <v>0</v>
      </c>
      <c r="H29" s="380">
        <f t="shared" si="16"/>
        <v>0</v>
      </c>
      <c r="I29" s="380">
        <f t="shared" si="16"/>
        <v>0</v>
      </c>
      <c r="J29" s="380">
        <f t="shared" si="16"/>
        <v>0</v>
      </c>
      <c r="K29" s="380">
        <f t="shared" si="16"/>
        <v>0</v>
      </c>
      <c r="L29" s="380">
        <f t="shared" si="16"/>
        <v>0</v>
      </c>
      <c r="M29" s="380">
        <f t="shared" si="16"/>
        <v>0</v>
      </c>
      <c r="N29" s="380">
        <f t="shared" si="16"/>
        <v>0</v>
      </c>
      <c r="O29" s="380">
        <f t="shared" si="16"/>
        <v>0</v>
      </c>
      <c r="P29" s="380">
        <f t="shared" si="16"/>
        <v>0</v>
      </c>
    </row>
    <row r="30" spans="1:44" s="11" customFormat="1" x14ac:dyDescent="0.2">
      <c r="A30" s="2" t="s">
        <v>171</v>
      </c>
      <c r="B30" s="83" t="s">
        <v>213</v>
      </c>
      <c r="C30" s="106">
        <f>+'[6]ТЭЦ-3'!$G$86</f>
        <v>314</v>
      </c>
      <c r="D30" s="90">
        <f>+C30</f>
        <v>314</v>
      </c>
      <c r="E30" s="90">
        <f t="shared" ref="E30:P31" si="17">+D30</f>
        <v>314</v>
      </c>
      <c r="F30" s="90">
        <f t="shared" si="17"/>
        <v>314</v>
      </c>
      <c r="G30" s="372">
        <f t="shared" si="17"/>
        <v>314</v>
      </c>
      <c r="H30" s="372">
        <f t="shared" si="17"/>
        <v>314</v>
      </c>
      <c r="I30" s="372">
        <f t="shared" si="17"/>
        <v>314</v>
      </c>
      <c r="J30" s="372">
        <f t="shared" si="17"/>
        <v>314</v>
      </c>
      <c r="K30" s="372">
        <f t="shared" si="17"/>
        <v>314</v>
      </c>
      <c r="L30" s="372">
        <f t="shared" si="17"/>
        <v>314</v>
      </c>
      <c r="M30" s="372">
        <f t="shared" si="17"/>
        <v>314</v>
      </c>
      <c r="N30" s="372">
        <f t="shared" si="17"/>
        <v>314</v>
      </c>
      <c r="O30" s="372">
        <f t="shared" si="17"/>
        <v>314</v>
      </c>
      <c r="P30" s="372">
        <f t="shared" si="17"/>
        <v>314</v>
      </c>
    </row>
    <row r="31" spans="1:44" s="32" customFormat="1" x14ac:dyDescent="0.2">
      <c r="A31" s="33"/>
      <c r="B31" s="205" t="s">
        <v>214</v>
      </c>
      <c r="C31" s="207">
        <f>+C30-C32</f>
        <v>314</v>
      </c>
      <c r="D31" s="105">
        <f>+C31</f>
        <v>314</v>
      </c>
      <c r="E31" s="105">
        <f t="shared" si="17"/>
        <v>314</v>
      </c>
      <c r="F31" s="105">
        <f t="shared" si="17"/>
        <v>314</v>
      </c>
      <c r="G31" s="377">
        <f t="shared" si="17"/>
        <v>314</v>
      </c>
      <c r="H31" s="377">
        <f t="shared" si="17"/>
        <v>314</v>
      </c>
      <c r="I31" s="377">
        <f t="shared" si="17"/>
        <v>314</v>
      </c>
      <c r="J31" s="377">
        <f t="shared" si="17"/>
        <v>314</v>
      </c>
      <c r="K31" s="377">
        <f t="shared" si="17"/>
        <v>314</v>
      </c>
      <c r="L31" s="377">
        <f t="shared" si="17"/>
        <v>314</v>
      </c>
      <c r="M31" s="377">
        <f t="shared" si="17"/>
        <v>314</v>
      </c>
      <c r="N31" s="377">
        <f t="shared" si="17"/>
        <v>314</v>
      </c>
      <c r="O31" s="377">
        <f t="shared" si="17"/>
        <v>314</v>
      </c>
      <c r="P31" s="377">
        <f t="shared" si="17"/>
        <v>314</v>
      </c>
    </row>
    <row r="32" spans="1:44" s="32" customFormat="1" x14ac:dyDescent="0.2">
      <c r="A32" s="33"/>
      <c r="B32" s="205" t="s">
        <v>215</v>
      </c>
      <c r="C32" s="208"/>
      <c r="D32" s="211"/>
      <c r="E32" s="211"/>
      <c r="F32" s="211"/>
      <c r="G32" s="381"/>
      <c r="H32" s="381"/>
      <c r="I32" s="381"/>
      <c r="J32" s="381"/>
      <c r="K32" s="381"/>
      <c r="L32" s="381"/>
      <c r="M32" s="381"/>
      <c r="N32" s="381"/>
      <c r="O32" s="381"/>
      <c r="P32" s="381"/>
    </row>
    <row r="33" spans="1:17" s="32" customFormat="1" x14ac:dyDescent="0.2">
      <c r="A33" s="2" t="s">
        <v>172</v>
      </c>
      <c r="B33" s="206" t="s">
        <v>217</v>
      </c>
      <c r="C33" s="208"/>
      <c r="D33" s="211"/>
      <c r="E33" s="211"/>
      <c r="F33" s="211"/>
      <c r="G33" s="381"/>
      <c r="H33" s="381"/>
      <c r="I33" s="381"/>
      <c r="J33" s="381"/>
      <c r="K33" s="381"/>
      <c r="L33" s="381"/>
      <c r="M33" s="381"/>
      <c r="N33" s="381"/>
      <c r="O33" s="381"/>
      <c r="P33" s="381"/>
    </row>
    <row r="34" spans="1:17" s="11" customFormat="1" x14ac:dyDescent="0.2">
      <c r="A34" s="2" t="s">
        <v>204</v>
      </c>
      <c r="B34" s="44" t="s">
        <v>205</v>
      </c>
      <c r="C34" s="107">
        <f>+'[2]ТЭЦ-3'!$G$90</f>
        <v>380</v>
      </c>
      <c r="D34" s="90">
        <f>+C34</f>
        <v>380</v>
      </c>
      <c r="E34" s="90">
        <f t="shared" ref="E34" si="18">+D34</f>
        <v>380</v>
      </c>
      <c r="F34" s="90">
        <f t="shared" ref="F34" si="19">+E34</f>
        <v>380</v>
      </c>
      <c r="G34" s="372">
        <f t="shared" ref="G34" si="20">+F34</f>
        <v>380</v>
      </c>
      <c r="H34" s="90">
        <f t="shared" ref="H34" si="21">+G34</f>
        <v>380</v>
      </c>
      <c r="I34" s="423">
        <f t="shared" ref="I34" si="22">+H34</f>
        <v>380</v>
      </c>
      <c r="J34" s="90">
        <f t="shared" ref="J34" si="23">+I34</f>
        <v>380</v>
      </c>
      <c r="K34" s="90">
        <f t="shared" ref="K34" si="24">+J34</f>
        <v>380</v>
      </c>
      <c r="L34" s="90">
        <f t="shared" ref="L34" si="25">+K34</f>
        <v>380</v>
      </c>
      <c r="M34" s="90">
        <f t="shared" ref="M34" si="26">+L34</f>
        <v>380</v>
      </c>
      <c r="N34" s="90">
        <f t="shared" ref="N34" si="27">+M34</f>
        <v>380</v>
      </c>
      <c r="O34" s="90">
        <f t="shared" ref="O34" si="28">+N34</f>
        <v>380</v>
      </c>
      <c r="P34" s="90">
        <f t="shared" ref="P34" si="29">+O34</f>
        <v>380</v>
      </c>
    </row>
    <row r="35" spans="1:17" s="11" customFormat="1" x14ac:dyDescent="0.2">
      <c r="A35" s="2" t="s">
        <v>216</v>
      </c>
      <c r="B35" s="44" t="s">
        <v>467</v>
      </c>
      <c r="C35" s="208"/>
      <c r="D35" s="211"/>
      <c r="E35" s="211"/>
      <c r="F35" s="211"/>
      <c r="G35" s="381"/>
      <c r="H35" s="381"/>
      <c r="I35" s="381"/>
      <c r="J35" s="381"/>
      <c r="K35" s="381"/>
      <c r="L35" s="381"/>
      <c r="M35" s="381"/>
      <c r="N35" s="381"/>
      <c r="O35" s="381"/>
      <c r="P35" s="381"/>
    </row>
    <row r="36" spans="1:17" s="11" customFormat="1" ht="22.5" x14ac:dyDescent="0.2">
      <c r="A36" s="2" t="s">
        <v>218</v>
      </c>
      <c r="B36" s="44" t="s">
        <v>219</v>
      </c>
      <c r="C36" s="270">
        <f>SUM(C37:C38)</f>
        <v>684</v>
      </c>
      <c r="D36" s="270">
        <f t="shared" ref="D36:P36" si="30">SUM(D37:D38)</f>
        <v>684</v>
      </c>
      <c r="E36" s="270">
        <f t="shared" si="30"/>
        <v>684</v>
      </c>
      <c r="F36" s="270">
        <f t="shared" si="30"/>
        <v>684</v>
      </c>
      <c r="G36" s="382">
        <f t="shared" si="30"/>
        <v>684</v>
      </c>
      <c r="H36" s="382">
        <f t="shared" si="30"/>
        <v>684</v>
      </c>
      <c r="I36" s="382">
        <f t="shared" si="30"/>
        <v>684</v>
      </c>
      <c r="J36" s="382">
        <f t="shared" si="30"/>
        <v>684</v>
      </c>
      <c r="K36" s="382">
        <f t="shared" si="30"/>
        <v>684</v>
      </c>
      <c r="L36" s="382">
        <f t="shared" si="30"/>
        <v>684</v>
      </c>
      <c r="M36" s="382">
        <f t="shared" si="30"/>
        <v>684</v>
      </c>
      <c r="N36" s="382">
        <f t="shared" si="30"/>
        <v>684</v>
      </c>
      <c r="O36" s="382">
        <f t="shared" si="30"/>
        <v>684</v>
      </c>
      <c r="P36" s="382">
        <f t="shared" si="30"/>
        <v>684</v>
      </c>
    </row>
    <row r="37" spans="1:17" s="32" customFormat="1" x14ac:dyDescent="0.2">
      <c r="A37" s="33"/>
      <c r="B37" s="205" t="s">
        <v>214</v>
      </c>
      <c r="C37" s="204">
        <f>+'[2]ТЭЦ-3'!$G$93</f>
        <v>684</v>
      </c>
      <c r="D37" s="105">
        <f>+C37</f>
        <v>684</v>
      </c>
      <c r="E37" s="105">
        <f t="shared" ref="E37:P37" si="31">+D37</f>
        <v>684</v>
      </c>
      <c r="F37" s="105">
        <f t="shared" si="31"/>
        <v>684</v>
      </c>
      <c r="G37" s="377">
        <f t="shared" si="31"/>
        <v>684</v>
      </c>
      <c r="H37" s="377">
        <f t="shared" si="31"/>
        <v>684</v>
      </c>
      <c r="I37" s="377">
        <f t="shared" si="31"/>
        <v>684</v>
      </c>
      <c r="J37" s="377">
        <f t="shared" si="31"/>
        <v>684</v>
      </c>
      <c r="K37" s="377">
        <f t="shared" si="31"/>
        <v>684</v>
      </c>
      <c r="L37" s="377">
        <f t="shared" si="31"/>
        <v>684</v>
      </c>
      <c r="M37" s="377">
        <f t="shared" si="31"/>
        <v>684</v>
      </c>
      <c r="N37" s="377">
        <f t="shared" si="31"/>
        <v>684</v>
      </c>
      <c r="O37" s="377">
        <f t="shared" si="31"/>
        <v>684</v>
      </c>
      <c r="P37" s="377">
        <f t="shared" si="31"/>
        <v>684</v>
      </c>
    </row>
    <row r="38" spans="1:17" s="32" customFormat="1" x14ac:dyDescent="0.2">
      <c r="A38" s="33"/>
      <c r="B38" s="205" t="s">
        <v>215</v>
      </c>
      <c r="C38" s="208"/>
      <c r="D38" s="211"/>
      <c r="E38" s="211"/>
      <c r="F38" s="211"/>
      <c r="G38" s="381"/>
      <c r="H38" s="381"/>
      <c r="I38" s="381"/>
      <c r="J38" s="381"/>
      <c r="K38" s="381"/>
      <c r="L38" s="381"/>
      <c r="M38" s="381"/>
      <c r="N38" s="381"/>
      <c r="O38" s="381"/>
      <c r="P38" s="381"/>
    </row>
    <row r="39" spans="1:17" s="67" customFormat="1" x14ac:dyDescent="0.2">
      <c r="A39" s="108">
        <v>7</v>
      </c>
      <c r="B39" s="109" t="s">
        <v>402</v>
      </c>
      <c r="C39" s="102">
        <f>+C40</f>
        <v>529.07000000000005</v>
      </c>
      <c r="D39" s="102">
        <f t="shared" ref="D39:P39" si="32">+D40</f>
        <v>539.0200000000001</v>
      </c>
      <c r="E39" s="102">
        <f t="shared" si="32"/>
        <v>540.34</v>
      </c>
      <c r="F39" s="102">
        <f t="shared" si="32"/>
        <v>550</v>
      </c>
      <c r="G39" s="383">
        <f t="shared" si="32"/>
        <v>562.38200000000006</v>
      </c>
      <c r="H39" s="102">
        <f t="shared" si="32"/>
        <v>574.76400000000001</v>
      </c>
      <c r="I39" s="426">
        <f t="shared" si="32"/>
        <v>587.14600000000007</v>
      </c>
      <c r="J39" s="102">
        <f t="shared" si="32"/>
        <v>599.52800000000002</v>
      </c>
      <c r="K39" s="102">
        <f t="shared" si="32"/>
        <v>611.91000000000008</v>
      </c>
      <c r="L39" s="102">
        <f t="shared" si="32"/>
        <v>621.89800000000002</v>
      </c>
      <c r="M39" s="102">
        <f t="shared" si="32"/>
        <v>631.88600000000008</v>
      </c>
      <c r="N39" s="102">
        <f t="shared" si="32"/>
        <v>641.87400000000002</v>
      </c>
      <c r="O39" s="102">
        <f t="shared" si="32"/>
        <v>651.86200000000008</v>
      </c>
      <c r="P39" s="102">
        <f t="shared" si="32"/>
        <v>661.85</v>
      </c>
    </row>
    <row r="40" spans="1:17" s="96" customFormat="1" x14ac:dyDescent="0.2">
      <c r="A40" s="131"/>
      <c r="B40" s="225" t="s">
        <v>214</v>
      </c>
      <c r="C40" s="228">
        <f>SUM(C41:C42)</f>
        <v>529.07000000000005</v>
      </c>
      <c r="D40" s="228">
        <f>SUM(D41:D42)</f>
        <v>539.0200000000001</v>
      </c>
      <c r="E40" s="228">
        <f t="shared" ref="E40:P40" si="33">SUM(E41:E42)</f>
        <v>540.34</v>
      </c>
      <c r="F40" s="228">
        <f t="shared" si="33"/>
        <v>550</v>
      </c>
      <c r="G40" s="228">
        <f t="shared" si="33"/>
        <v>562.38200000000006</v>
      </c>
      <c r="H40" s="228">
        <f t="shared" si="33"/>
        <v>574.76400000000001</v>
      </c>
      <c r="I40" s="228">
        <f t="shared" si="33"/>
        <v>587.14600000000007</v>
      </c>
      <c r="J40" s="228">
        <f t="shared" si="33"/>
        <v>599.52800000000002</v>
      </c>
      <c r="K40" s="228">
        <f t="shared" si="33"/>
        <v>611.91000000000008</v>
      </c>
      <c r="L40" s="228">
        <f t="shared" si="33"/>
        <v>621.89800000000002</v>
      </c>
      <c r="M40" s="228">
        <f t="shared" si="33"/>
        <v>631.88600000000008</v>
      </c>
      <c r="N40" s="228">
        <f t="shared" si="33"/>
        <v>641.87400000000002</v>
      </c>
      <c r="O40" s="228">
        <f t="shared" si="33"/>
        <v>651.86200000000008</v>
      </c>
      <c r="P40" s="228">
        <f t="shared" si="33"/>
        <v>661.85</v>
      </c>
    </row>
    <row r="41" spans="1:17" s="236" customFormat="1" x14ac:dyDescent="0.2">
      <c r="A41" s="353"/>
      <c r="B41" s="354" t="s">
        <v>470</v>
      </c>
      <c r="C41" s="355">
        <f>+'[2]ТЭЦ-3'!$G$97</f>
        <v>529.07000000000005</v>
      </c>
      <c r="D41" s="356">
        <f>+C41</f>
        <v>529.07000000000005</v>
      </c>
      <c r="E41" s="356">
        <f t="shared" ref="E41:P41" si="34">+D41</f>
        <v>529.07000000000005</v>
      </c>
      <c r="F41" s="356">
        <f t="shared" si="34"/>
        <v>529.07000000000005</v>
      </c>
      <c r="G41" s="384">
        <f t="shared" si="34"/>
        <v>529.07000000000005</v>
      </c>
      <c r="H41" s="384">
        <f t="shared" si="34"/>
        <v>529.07000000000005</v>
      </c>
      <c r="I41" s="242">
        <f t="shared" si="34"/>
        <v>529.07000000000005</v>
      </c>
      <c r="J41" s="356">
        <f t="shared" si="34"/>
        <v>529.07000000000005</v>
      </c>
      <c r="K41" s="356">
        <f t="shared" si="34"/>
        <v>529.07000000000005</v>
      </c>
      <c r="L41" s="356">
        <f t="shared" si="34"/>
        <v>529.07000000000005</v>
      </c>
      <c r="M41" s="356">
        <f t="shared" si="34"/>
        <v>529.07000000000005</v>
      </c>
      <c r="N41" s="356">
        <f t="shared" si="34"/>
        <v>529.07000000000005</v>
      </c>
      <c r="O41" s="356">
        <f t="shared" si="34"/>
        <v>529.07000000000005</v>
      </c>
      <c r="P41" s="356">
        <f t="shared" si="34"/>
        <v>529.07000000000005</v>
      </c>
    </row>
    <row r="42" spans="1:17" s="349" customFormat="1" x14ac:dyDescent="0.2">
      <c r="A42" s="357"/>
      <c r="B42" s="358" t="s">
        <v>469</v>
      </c>
      <c r="C42" s="352"/>
      <c r="D42" s="351">
        <f>+'[2]ТЭЦ-3'!I$98</f>
        <v>9.9499999999999993</v>
      </c>
      <c r="E42" s="351">
        <f>+'[2]ТЭЦ-3'!J$98</f>
        <v>11.27</v>
      </c>
      <c r="F42" s="351">
        <f>+'[2]ТЭЦ-3'!K$98</f>
        <v>20.93</v>
      </c>
      <c r="G42" s="351">
        <f>+'[2]ТЭЦ-3'!L$98</f>
        <v>33.311999999999998</v>
      </c>
      <c r="H42" s="351">
        <f>+'[2]ТЭЦ-3'!M$98</f>
        <v>45.693999999999996</v>
      </c>
      <c r="I42" s="351">
        <f>+'[2]ТЭЦ-3'!N$98</f>
        <v>58.075999999999993</v>
      </c>
      <c r="J42" s="351">
        <f>+'[2]ТЭЦ-3'!O$98</f>
        <v>70.457999999999998</v>
      </c>
      <c r="K42" s="351">
        <f>+'[2]ТЭЦ-3'!P$98</f>
        <v>82.84</v>
      </c>
      <c r="L42" s="351">
        <f>+'[2]ТЭЦ-3'!Q$98</f>
        <v>92.828000000000003</v>
      </c>
      <c r="M42" s="351">
        <f>+'[2]ТЭЦ-3'!R$98</f>
        <v>102.816</v>
      </c>
      <c r="N42" s="351">
        <f>+'[2]ТЭЦ-3'!S$98</f>
        <v>112.804</v>
      </c>
      <c r="O42" s="351">
        <f>+'[2]ТЭЦ-3'!T$98</f>
        <v>122.792</v>
      </c>
      <c r="P42" s="351">
        <f>+'[2]ТЭЦ-3'!U$98</f>
        <v>132.78</v>
      </c>
    </row>
    <row r="43" spans="1:17" s="96" customFormat="1" x14ac:dyDescent="0.2">
      <c r="A43" s="131"/>
      <c r="B43" s="225" t="s">
        <v>215</v>
      </c>
      <c r="C43" s="226">
        <v>0</v>
      </c>
      <c r="D43" s="226">
        <v>0</v>
      </c>
      <c r="E43" s="226">
        <v>0</v>
      </c>
      <c r="F43" s="226">
        <v>0</v>
      </c>
      <c r="G43" s="385">
        <v>0</v>
      </c>
      <c r="H43" s="226">
        <v>0</v>
      </c>
      <c r="I43" s="229">
        <v>0</v>
      </c>
      <c r="J43" s="226">
        <v>0</v>
      </c>
      <c r="K43" s="226">
        <v>0</v>
      </c>
      <c r="L43" s="226">
        <v>0</v>
      </c>
      <c r="M43" s="226">
        <v>0</v>
      </c>
      <c r="N43" s="226">
        <v>0</v>
      </c>
      <c r="O43" s="226">
        <v>0</v>
      </c>
      <c r="P43" s="226">
        <v>0</v>
      </c>
    </row>
    <row r="44" spans="1:17" s="453" customFormat="1" ht="22.5" x14ac:dyDescent="0.2">
      <c r="A44" s="451"/>
      <c r="B44" s="452" t="s">
        <v>468</v>
      </c>
      <c r="C44" s="454">
        <f>(+'[5]1'!W$55/744+'[5]1'!X$55/744+[7]январь!$W$55/744)/3</f>
        <v>255.58079301075267</v>
      </c>
      <c r="D44" s="461">
        <f t="shared" ref="D44:P44" si="35">+C44+D42*($C44/$C41)</f>
        <v>260.38739495464853</v>
      </c>
      <c r="E44" s="461">
        <f t="shared" si="35"/>
        <v>265.8316566539155</v>
      </c>
      <c r="F44" s="461">
        <f t="shared" si="35"/>
        <v>275.94242838112564</v>
      </c>
      <c r="G44" s="461">
        <f t="shared" si="35"/>
        <v>292.03464184394568</v>
      </c>
      <c r="H44" s="461">
        <f t="shared" si="35"/>
        <v>314.10829704237563</v>
      </c>
      <c r="I44" s="461">
        <f t="shared" si="35"/>
        <v>342.16339397641548</v>
      </c>
      <c r="J44" s="461">
        <f t="shared" si="35"/>
        <v>376.19993264606524</v>
      </c>
      <c r="K44" s="461">
        <f t="shared" si="35"/>
        <v>416.21791305132496</v>
      </c>
      <c r="L44" s="461">
        <f t="shared" si="35"/>
        <v>461.06085227222604</v>
      </c>
      <c r="M44" s="461">
        <f t="shared" si="35"/>
        <v>510.72875030876855</v>
      </c>
      <c r="N44" s="461">
        <f t="shared" si="35"/>
        <v>565.22160716095243</v>
      </c>
      <c r="O44" s="461">
        <f t="shared" si="35"/>
        <v>624.53942282877779</v>
      </c>
      <c r="P44" s="461">
        <f t="shared" si="35"/>
        <v>688.68219731224451</v>
      </c>
    </row>
    <row r="45" spans="1:17" s="35" customFormat="1" x14ac:dyDescent="0.2">
      <c r="A45" s="33" t="s">
        <v>175</v>
      </c>
      <c r="B45" s="110" t="s">
        <v>220</v>
      </c>
      <c r="C45" s="174">
        <f t="shared" ref="C45:P45" si="36">C39/C28</f>
        <v>0.7623487031700289</v>
      </c>
      <c r="D45" s="174">
        <f t="shared" si="36"/>
        <v>0.77668587896253616</v>
      </c>
      <c r="E45" s="174">
        <f t="shared" si="36"/>
        <v>0.77858789625360236</v>
      </c>
      <c r="F45" s="174">
        <f t="shared" si="36"/>
        <v>0.79250720461095103</v>
      </c>
      <c r="G45" s="386">
        <f t="shared" si="36"/>
        <v>0.81034870317002894</v>
      </c>
      <c r="H45" s="174">
        <f t="shared" si="36"/>
        <v>0.82819020172910662</v>
      </c>
      <c r="I45" s="70">
        <f t="shared" si="36"/>
        <v>0.84603170028818453</v>
      </c>
      <c r="J45" s="174">
        <f t="shared" si="36"/>
        <v>0.86387319884726232</v>
      </c>
      <c r="K45" s="174">
        <f t="shared" si="36"/>
        <v>0.88171469740634023</v>
      </c>
      <c r="L45" s="174">
        <f t="shared" si="36"/>
        <v>0.89610662824207499</v>
      </c>
      <c r="M45" s="174">
        <f t="shared" si="36"/>
        <v>0.91049855907780997</v>
      </c>
      <c r="N45" s="174">
        <f t="shared" si="36"/>
        <v>0.92489048991354472</v>
      </c>
      <c r="O45" s="174">
        <f t="shared" si="36"/>
        <v>0.9392824207492797</v>
      </c>
      <c r="P45" s="174">
        <f t="shared" si="36"/>
        <v>0.95367435158501446</v>
      </c>
      <c r="Q45" s="32"/>
    </row>
    <row r="46" spans="1:17" s="35" customFormat="1" x14ac:dyDescent="0.2">
      <c r="A46" s="33" t="s">
        <v>221</v>
      </c>
      <c r="B46" s="110" t="s">
        <v>222</v>
      </c>
      <c r="C46" s="174">
        <f t="shared" ref="C46:P46" si="37">+C40/C37</f>
        <v>0.77349415204678373</v>
      </c>
      <c r="D46" s="174">
        <f t="shared" si="37"/>
        <v>0.78804093567251476</v>
      </c>
      <c r="E46" s="174">
        <f t="shared" si="37"/>
        <v>0.78997076023391821</v>
      </c>
      <c r="F46" s="174">
        <f t="shared" si="37"/>
        <v>0.80409356725146197</v>
      </c>
      <c r="G46" s="386">
        <f t="shared" si="37"/>
        <v>0.82219590643274865</v>
      </c>
      <c r="H46" s="174">
        <f t="shared" si="37"/>
        <v>0.8402982456140351</v>
      </c>
      <c r="I46" s="70">
        <f t="shared" si="37"/>
        <v>0.85840058479532177</v>
      </c>
      <c r="J46" s="174">
        <f t="shared" si="37"/>
        <v>0.87650292397660823</v>
      </c>
      <c r="K46" s="174">
        <f t="shared" si="37"/>
        <v>0.8946052631578949</v>
      </c>
      <c r="L46" s="174">
        <f t="shared" si="37"/>
        <v>0.9092076023391813</v>
      </c>
      <c r="M46" s="174">
        <f t="shared" si="37"/>
        <v>0.92380994152046791</v>
      </c>
      <c r="N46" s="174">
        <f t="shared" si="37"/>
        <v>0.93841228070175442</v>
      </c>
      <c r="O46" s="174">
        <f t="shared" si="37"/>
        <v>0.95301461988304104</v>
      </c>
      <c r="P46" s="174">
        <f t="shared" si="37"/>
        <v>0.96761695906432754</v>
      </c>
      <c r="Q46" s="32"/>
    </row>
    <row r="47" spans="1:17" s="35" customFormat="1" ht="22.5" x14ac:dyDescent="0.2">
      <c r="A47" s="33" t="s">
        <v>223</v>
      </c>
      <c r="B47" s="110" t="s">
        <v>459</v>
      </c>
      <c r="C47" s="331">
        <f>+(C44)/C37</f>
        <v>0.37365613013267934</v>
      </c>
      <c r="D47" s="331">
        <f t="shared" ref="D47:P47" si="38">+(D44)/D37</f>
        <v>0.38068332595708848</v>
      </c>
      <c r="E47" s="331">
        <f t="shared" si="38"/>
        <v>0.38864277288584137</v>
      </c>
      <c r="F47" s="331">
        <f t="shared" si="38"/>
        <v>0.40342460289638249</v>
      </c>
      <c r="G47" s="331">
        <f t="shared" si="38"/>
        <v>0.42695123076600244</v>
      </c>
      <c r="H47" s="331">
        <f t="shared" si="38"/>
        <v>0.45922265649470123</v>
      </c>
      <c r="I47" s="331">
        <f t="shared" si="38"/>
        <v>0.50023888008247874</v>
      </c>
      <c r="J47" s="331">
        <f t="shared" si="38"/>
        <v>0.54999990152933509</v>
      </c>
      <c r="K47" s="331">
        <f t="shared" si="38"/>
        <v>0.60850572083527044</v>
      </c>
      <c r="L47" s="331">
        <f t="shared" si="38"/>
        <v>0.67406557349740648</v>
      </c>
      <c r="M47" s="331">
        <f t="shared" si="38"/>
        <v>0.74667945951574355</v>
      </c>
      <c r="N47" s="331">
        <f t="shared" si="38"/>
        <v>0.82634737889028131</v>
      </c>
      <c r="O47" s="331">
        <f t="shared" si="38"/>
        <v>0.91306933162102011</v>
      </c>
      <c r="P47" s="331">
        <f t="shared" si="38"/>
        <v>1.0068453177079597</v>
      </c>
      <c r="Q47" s="32"/>
    </row>
    <row r="48" spans="1:17" s="74" customFormat="1" x14ac:dyDescent="0.2">
      <c r="A48" s="71">
        <v>8</v>
      </c>
      <c r="B48" s="101" t="s">
        <v>176</v>
      </c>
      <c r="C48" s="103">
        <f>+C49</f>
        <v>1356.9047499999999</v>
      </c>
      <c r="D48" s="103">
        <f t="shared" ref="D48:P48" si="39">+D49</f>
        <v>1301.7882333333334</v>
      </c>
      <c r="E48" s="103">
        <f t="shared" si="39"/>
        <v>1326.2704245777181</v>
      </c>
      <c r="F48" s="103">
        <f t="shared" si="39"/>
        <v>1290.8090916211131</v>
      </c>
      <c r="G48" s="103">
        <f t="shared" si="39"/>
        <v>1269.6326562127647</v>
      </c>
      <c r="H48" s="103">
        <f t="shared" si="39"/>
        <v>1254.6128686013444</v>
      </c>
      <c r="I48" s="103">
        <f t="shared" si="39"/>
        <v>1243.3793275139915</v>
      </c>
      <c r="J48" s="103">
        <f t="shared" si="39"/>
        <v>1234.1135951818769</v>
      </c>
      <c r="K48" s="103">
        <f t="shared" si="39"/>
        <v>1264.5797752811707</v>
      </c>
      <c r="L48" s="103">
        <f t="shared" si="39"/>
        <v>1295.0459553804644</v>
      </c>
      <c r="M48" s="103">
        <f t="shared" si="39"/>
        <v>1319.6216464507072</v>
      </c>
      <c r="N48" s="103">
        <f t="shared" si="39"/>
        <v>1344.19733752095</v>
      </c>
      <c r="O48" s="103">
        <f t="shared" si="39"/>
        <v>1368.7730285911928</v>
      </c>
      <c r="P48" s="103">
        <f t="shared" si="39"/>
        <v>1393.3487196614356</v>
      </c>
    </row>
    <row r="49" spans="1:17" s="130" customFormat="1" x14ac:dyDescent="0.2">
      <c r="A49" s="29" t="s">
        <v>177</v>
      </c>
      <c r="B49" s="149" t="s">
        <v>209</v>
      </c>
      <c r="C49" s="198">
        <f>SUM(C50:C52)</f>
        <v>1356.9047499999999</v>
      </c>
      <c r="D49" s="198">
        <f t="shared" ref="D49:P49" si="40">SUM(D50:D52)</f>
        <v>1301.7882333333334</v>
      </c>
      <c r="E49" s="198">
        <f t="shared" si="40"/>
        <v>1326.2704245777181</v>
      </c>
      <c r="F49" s="198">
        <f t="shared" si="40"/>
        <v>1290.8090916211131</v>
      </c>
      <c r="G49" s="388">
        <f t="shared" si="40"/>
        <v>1269.6326562127647</v>
      </c>
      <c r="H49" s="228">
        <f t="shared" si="40"/>
        <v>1254.6128686013444</v>
      </c>
      <c r="I49" s="198">
        <f t="shared" si="40"/>
        <v>1243.3793275139915</v>
      </c>
      <c r="J49" s="198">
        <f t="shared" si="40"/>
        <v>1234.1135951818769</v>
      </c>
      <c r="K49" s="198">
        <f t="shared" si="40"/>
        <v>1264.5797752811707</v>
      </c>
      <c r="L49" s="198">
        <f t="shared" si="40"/>
        <v>1295.0459553804644</v>
      </c>
      <c r="M49" s="198">
        <f t="shared" si="40"/>
        <v>1319.6216464507072</v>
      </c>
      <c r="N49" s="198">
        <f t="shared" si="40"/>
        <v>1344.19733752095</v>
      </c>
      <c r="O49" s="198">
        <f t="shared" si="40"/>
        <v>1368.7730285911928</v>
      </c>
      <c r="P49" s="198">
        <f t="shared" si="40"/>
        <v>1393.3487196614356</v>
      </c>
    </row>
    <row r="50" spans="1:17" s="341" customFormat="1" x14ac:dyDescent="0.2">
      <c r="A50" s="339"/>
      <c r="B50" s="340" t="s">
        <v>356</v>
      </c>
      <c r="C50" s="111">
        <f>+'[4]4.4.Р_т'!$F$17</f>
        <v>1356.9047499999999</v>
      </c>
      <c r="D50" s="111">
        <f>+'[4]4.4.Р_т'!$Z$17</f>
        <v>1301.7882333333334</v>
      </c>
      <c r="E50" s="111">
        <f>+D50</f>
        <v>1301.7882333333334</v>
      </c>
      <c r="F50" s="198">
        <f t="shared" ref="F50:P51" si="41">+E50</f>
        <v>1301.7882333333334</v>
      </c>
      <c r="G50" s="388">
        <f t="shared" si="41"/>
        <v>1301.7882333333334</v>
      </c>
      <c r="H50" s="228">
        <f t="shared" si="41"/>
        <v>1301.7882333333334</v>
      </c>
      <c r="I50" s="198">
        <f t="shared" si="41"/>
        <v>1301.7882333333334</v>
      </c>
      <c r="J50" s="198">
        <f t="shared" si="41"/>
        <v>1301.7882333333334</v>
      </c>
      <c r="K50" s="198">
        <f t="shared" si="41"/>
        <v>1301.7882333333334</v>
      </c>
      <c r="L50" s="198">
        <f t="shared" si="41"/>
        <v>1301.7882333333334</v>
      </c>
      <c r="M50" s="198">
        <f t="shared" si="41"/>
        <v>1301.7882333333334</v>
      </c>
      <c r="N50" s="198">
        <f t="shared" si="41"/>
        <v>1301.7882333333334</v>
      </c>
      <c r="O50" s="198">
        <f t="shared" si="41"/>
        <v>1301.7882333333334</v>
      </c>
      <c r="P50" s="198">
        <f t="shared" si="41"/>
        <v>1301.7882333333334</v>
      </c>
    </row>
    <row r="51" spans="1:17" s="240" customFormat="1" ht="22.5" x14ac:dyDescent="0.2">
      <c r="A51" s="237"/>
      <c r="B51" s="238" t="s">
        <v>357</v>
      </c>
      <c r="C51" s="241"/>
      <c r="D51" s="241"/>
      <c r="E51" s="241"/>
      <c r="F51" s="462">
        <f>F50*Сети!F$31</f>
        <v>-38.709221644302453</v>
      </c>
      <c r="G51" s="462">
        <f>G50*Сети!G$31</f>
        <v>-83.654296994435484</v>
      </c>
      <c r="H51" s="462">
        <f>H50*Сети!H$31</f>
        <v>-129.14026470514958</v>
      </c>
      <c r="I51" s="462">
        <f>I50*Сети!I$31</f>
        <v>-170.83998589179626</v>
      </c>
      <c r="J51" s="462">
        <f>J50*Сети!J$31</f>
        <v>-210.57189832320441</v>
      </c>
      <c r="K51" s="198">
        <f t="shared" si="41"/>
        <v>-210.57189832320441</v>
      </c>
      <c r="L51" s="198">
        <f t="shared" si="41"/>
        <v>-210.57189832320441</v>
      </c>
      <c r="M51" s="198">
        <f t="shared" si="41"/>
        <v>-210.57189832320441</v>
      </c>
      <c r="N51" s="198">
        <f t="shared" si="41"/>
        <v>-210.57189832320441</v>
      </c>
      <c r="O51" s="198">
        <f t="shared" si="41"/>
        <v>-210.57189832320441</v>
      </c>
      <c r="P51" s="198">
        <f t="shared" si="41"/>
        <v>-210.57189832320441</v>
      </c>
    </row>
    <row r="52" spans="1:17" s="265" customFormat="1" x14ac:dyDescent="0.2">
      <c r="A52" s="359"/>
      <c r="B52" s="360" t="s">
        <v>358</v>
      </c>
      <c r="C52" s="241"/>
      <c r="D52" s="117">
        <f>D50/C41*C42</f>
        <v>0</v>
      </c>
      <c r="E52" s="117">
        <f>E50/D41*D42</f>
        <v>24.482191244384801</v>
      </c>
      <c r="F52" s="117">
        <f t="shared" ref="F52:P52" si="42">F50/E41*E42</f>
        <v>27.730079932082081</v>
      </c>
      <c r="G52" s="117">
        <f t="shared" si="42"/>
        <v>51.498719873866719</v>
      </c>
      <c r="H52" s="117">
        <f t="shared" si="42"/>
        <v>81.964899973160442</v>
      </c>
      <c r="I52" s="117">
        <f t="shared" si="42"/>
        <v>112.43108007245417</v>
      </c>
      <c r="J52" s="117">
        <f t="shared" si="42"/>
        <v>142.89726017174789</v>
      </c>
      <c r="K52" s="117">
        <f t="shared" si="42"/>
        <v>173.36344027104164</v>
      </c>
      <c r="L52" s="117">
        <f t="shared" si="42"/>
        <v>203.82962037033539</v>
      </c>
      <c r="M52" s="117">
        <f t="shared" si="42"/>
        <v>228.40531144057812</v>
      </c>
      <c r="N52" s="117">
        <f t="shared" si="42"/>
        <v>252.98100251082087</v>
      </c>
      <c r="O52" s="117">
        <f t="shared" si="42"/>
        <v>277.55669358106366</v>
      </c>
      <c r="P52" s="117">
        <f t="shared" si="42"/>
        <v>302.13238465130638</v>
      </c>
    </row>
    <row r="53" spans="1:17" x14ac:dyDescent="0.2">
      <c r="A53" s="29" t="s">
        <v>207</v>
      </c>
      <c r="B53" s="3" t="s">
        <v>178</v>
      </c>
      <c r="C53" s="111">
        <f>+'[4]4.4.Р_т'!$F$18</f>
        <v>6.3810600000000006</v>
      </c>
      <c r="D53" s="111">
        <f>+'[4]4.4.Р_т'!$Z$18</f>
        <v>5.61</v>
      </c>
      <c r="E53" s="90">
        <f t="shared" ref="E53:P53" si="43">+D53</f>
        <v>5.61</v>
      </c>
      <c r="F53" s="90">
        <f t="shared" si="43"/>
        <v>5.61</v>
      </c>
      <c r="G53" s="372">
        <f t="shared" si="43"/>
        <v>5.61</v>
      </c>
      <c r="H53" s="90">
        <f t="shared" si="43"/>
        <v>5.61</v>
      </c>
      <c r="I53" s="423">
        <f t="shared" si="43"/>
        <v>5.61</v>
      </c>
      <c r="J53" s="90">
        <f t="shared" si="43"/>
        <v>5.61</v>
      </c>
      <c r="K53" s="90">
        <f t="shared" si="43"/>
        <v>5.61</v>
      </c>
      <c r="L53" s="90">
        <f t="shared" si="43"/>
        <v>5.61</v>
      </c>
      <c r="M53" s="90">
        <f t="shared" si="43"/>
        <v>5.61</v>
      </c>
      <c r="N53" s="90">
        <f t="shared" si="43"/>
        <v>5.61</v>
      </c>
      <c r="O53" s="90">
        <f t="shared" si="43"/>
        <v>5.61</v>
      </c>
      <c r="P53" s="90">
        <f t="shared" si="43"/>
        <v>5.61</v>
      </c>
    </row>
    <row r="54" spans="1:17" s="35" customFormat="1" x14ac:dyDescent="0.2">
      <c r="A54" s="112" t="s">
        <v>208</v>
      </c>
      <c r="B54" s="34" t="s">
        <v>179</v>
      </c>
      <c r="C54" s="70">
        <f t="shared" ref="C54:P54" si="44">C53/C48</f>
        <v>4.702658753313378E-3</v>
      </c>
      <c r="D54" s="70">
        <f t="shared" si="44"/>
        <v>4.3094566814720269E-3</v>
      </c>
      <c r="E54" s="70">
        <f t="shared" si="44"/>
        <v>4.2299065831813394E-3</v>
      </c>
      <c r="F54" s="70">
        <f t="shared" si="44"/>
        <v>4.3461113160850632E-3</v>
      </c>
      <c r="G54" s="375">
        <f t="shared" si="44"/>
        <v>4.418600902039084E-3</v>
      </c>
      <c r="H54" s="174">
        <f t="shared" si="44"/>
        <v>4.4714988506805988E-3</v>
      </c>
      <c r="I54" s="70">
        <f t="shared" si="44"/>
        <v>4.5118974361722866E-3</v>
      </c>
      <c r="J54" s="70">
        <f t="shared" si="44"/>
        <v>4.5457727893948282E-3</v>
      </c>
      <c r="K54" s="70">
        <f t="shared" si="44"/>
        <v>4.4362563039984215E-3</v>
      </c>
      <c r="L54" s="70">
        <f t="shared" si="44"/>
        <v>4.3318926071251804E-3</v>
      </c>
      <c r="M54" s="70">
        <f t="shared" si="44"/>
        <v>4.2512185330460589E-3</v>
      </c>
      <c r="N54" s="70">
        <f t="shared" si="44"/>
        <v>4.1734943548886218E-3</v>
      </c>
      <c r="O54" s="70">
        <f t="shared" si="44"/>
        <v>4.0985611805735853E-3</v>
      </c>
      <c r="P54" s="70">
        <f t="shared" si="44"/>
        <v>4.0262713280873096E-3</v>
      </c>
      <c r="Q54" s="32"/>
    </row>
    <row r="55" spans="1:17" s="114" customFormat="1" x14ac:dyDescent="0.2">
      <c r="A55" s="113">
        <v>9</v>
      </c>
      <c r="B55" s="72" t="s">
        <v>77</v>
      </c>
      <c r="C55" s="78">
        <f t="shared" ref="C55:P55" si="45">+C48-C53</f>
        <v>1350.52369</v>
      </c>
      <c r="D55" s="78">
        <f t="shared" si="45"/>
        <v>1296.1782333333335</v>
      </c>
      <c r="E55" s="78">
        <f t="shared" si="45"/>
        <v>1320.6604245777182</v>
      </c>
      <c r="F55" s="78">
        <f t="shared" si="45"/>
        <v>1285.1990916211132</v>
      </c>
      <c r="G55" s="389">
        <f t="shared" si="45"/>
        <v>1264.0226562127648</v>
      </c>
      <c r="H55" s="103">
        <f t="shared" si="45"/>
        <v>1249.0028686013445</v>
      </c>
      <c r="I55" s="78">
        <f t="shared" si="45"/>
        <v>1237.7693275139916</v>
      </c>
      <c r="J55" s="78">
        <f t="shared" si="45"/>
        <v>1228.503595181877</v>
      </c>
      <c r="K55" s="78">
        <f t="shared" si="45"/>
        <v>1258.9697752811708</v>
      </c>
      <c r="L55" s="78">
        <f t="shared" si="45"/>
        <v>1289.4359553804645</v>
      </c>
      <c r="M55" s="78">
        <f t="shared" si="45"/>
        <v>1314.0116464507073</v>
      </c>
      <c r="N55" s="78">
        <f t="shared" si="45"/>
        <v>1338.5873375209501</v>
      </c>
      <c r="O55" s="78">
        <f t="shared" si="45"/>
        <v>1363.1630285911929</v>
      </c>
      <c r="P55" s="78">
        <f t="shared" si="45"/>
        <v>1387.7387196614357</v>
      </c>
      <c r="Q55" s="74"/>
    </row>
    <row r="56" spans="1:17" s="32" customFormat="1" x14ac:dyDescent="0.2">
      <c r="A56" s="30"/>
      <c r="B56" s="31" t="s">
        <v>21</v>
      </c>
      <c r="C56" s="116">
        <f>+('[5]6 мес.'!$W$55)/1000</f>
        <v>759.40918999999997</v>
      </c>
      <c r="D56" s="118">
        <f>+C56*D55/C55</f>
        <v>728.85034861646727</v>
      </c>
      <c r="E56" s="118">
        <f>+D56*E55/D55</f>
        <v>742.6168609405297</v>
      </c>
      <c r="F56" s="118">
        <f t="shared" ref="F56:P56" si="46">+E56*F55/E55</f>
        <v>722.67669821972936</v>
      </c>
      <c r="G56" s="390">
        <f t="shared" si="46"/>
        <v>710.76903619231155</v>
      </c>
      <c r="H56" s="445">
        <f t="shared" si="46"/>
        <v>702.32330152773807</v>
      </c>
      <c r="I56" s="118">
        <f t="shared" si="46"/>
        <v>696.00660053156491</v>
      </c>
      <c r="J56" s="118">
        <f t="shared" si="46"/>
        <v>690.79641255989895</v>
      </c>
      <c r="K56" s="118">
        <f t="shared" si="46"/>
        <v>707.92776488115942</v>
      </c>
      <c r="L56" s="118">
        <f t="shared" si="46"/>
        <v>725.05911720241988</v>
      </c>
      <c r="M56" s="118">
        <f t="shared" si="46"/>
        <v>738.87820515143858</v>
      </c>
      <c r="N56" s="118">
        <f t="shared" si="46"/>
        <v>752.69729310045727</v>
      </c>
      <c r="O56" s="118">
        <f t="shared" si="46"/>
        <v>766.51638104947608</v>
      </c>
      <c r="P56" s="118">
        <f t="shared" si="46"/>
        <v>780.33546899849489</v>
      </c>
    </row>
    <row r="57" spans="1:17" s="32" customFormat="1" x14ac:dyDescent="0.2">
      <c r="A57" s="33"/>
      <c r="B57" s="34" t="s">
        <v>22</v>
      </c>
      <c r="C57" s="117">
        <f>+C55-C56</f>
        <v>591.11450000000002</v>
      </c>
      <c r="D57" s="117">
        <f t="shared" ref="D57:P57" si="47">+D55-D56</f>
        <v>567.32788471686627</v>
      </c>
      <c r="E57" s="117">
        <f t="shared" si="47"/>
        <v>578.04356363718853</v>
      </c>
      <c r="F57" s="117">
        <f t="shared" si="47"/>
        <v>562.52239340138385</v>
      </c>
      <c r="G57" s="391">
        <f t="shared" si="47"/>
        <v>553.25362002045324</v>
      </c>
      <c r="H57" s="445">
        <f t="shared" si="47"/>
        <v>546.67956707360645</v>
      </c>
      <c r="I57" s="117">
        <f t="shared" si="47"/>
        <v>541.76272698242667</v>
      </c>
      <c r="J57" s="117">
        <f t="shared" si="47"/>
        <v>537.70718262197806</v>
      </c>
      <c r="K57" s="117">
        <f t="shared" si="47"/>
        <v>551.04201040001135</v>
      </c>
      <c r="L57" s="117">
        <f t="shared" si="47"/>
        <v>564.37683817804464</v>
      </c>
      <c r="M57" s="117">
        <f t="shared" si="47"/>
        <v>575.13344129926872</v>
      </c>
      <c r="N57" s="117">
        <f t="shared" si="47"/>
        <v>585.89004442049281</v>
      </c>
      <c r="O57" s="117">
        <f t="shared" si="47"/>
        <v>596.64664754171679</v>
      </c>
      <c r="P57" s="117">
        <f t="shared" si="47"/>
        <v>607.40325066294076</v>
      </c>
    </row>
    <row r="58" spans="1:17" s="24" customFormat="1" x14ac:dyDescent="0.2">
      <c r="A58" s="1"/>
      <c r="B58" s="463"/>
      <c r="C58" s="115"/>
      <c r="D58" s="115"/>
      <c r="E58" s="115"/>
      <c r="F58" s="115"/>
      <c r="G58" s="392"/>
      <c r="H58" s="115"/>
      <c r="I58" s="427"/>
      <c r="J58" s="115"/>
      <c r="K58" s="115"/>
      <c r="L58" s="115"/>
      <c r="M58" s="115"/>
      <c r="N58" s="115"/>
      <c r="O58" s="115"/>
      <c r="P58" s="115"/>
    </row>
    <row r="59" spans="1:17" s="37" customFormat="1" x14ac:dyDescent="0.2">
      <c r="A59" s="1">
        <v>12</v>
      </c>
      <c r="B59" s="463" t="s">
        <v>183</v>
      </c>
      <c r="C59" s="481">
        <f t="shared" ref="C59:P59" si="48">C60+C61</f>
        <v>313937.93037928909</v>
      </c>
      <c r="D59" s="481">
        <f t="shared" si="48"/>
        <v>328457.14977868728</v>
      </c>
      <c r="E59" s="481">
        <f t="shared" si="48"/>
        <v>331286.83753838134</v>
      </c>
      <c r="F59" s="481">
        <f t="shared" si="48"/>
        <v>326913.85292587429</v>
      </c>
      <c r="G59" s="482">
        <f t="shared" si="48"/>
        <v>324773.69338607334</v>
      </c>
      <c r="H59" s="481">
        <f t="shared" si="48"/>
        <v>323013.03085206292</v>
      </c>
      <c r="I59" s="483">
        <f t="shared" si="48"/>
        <v>321906.39747628249</v>
      </c>
      <c r="J59" s="481">
        <f t="shared" si="48"/>
        <v>321197.53643919504</v>
      </c>
      <c r="K59" s="481">
        <f t="shared" si="48"/>
        <v>324912.61111399496</v>
      </c>
      <c r="L59" s="481">
        <f t="shared" si="48"/>
        <v>328461.19150715182</v>
      </c>
      <c r="M59" s="481">
        <f t="shared" si="48"/>
        <v>331323.67099082575</v>
      </c>
      <c r="N59" s="481">
        <f t="shared" si="48"/>
        <v>334186.15047449968</v>
      </c>
      <c r="O59" s="481">
        <f t="shared" si="48"/>
        <v>337048.62995817361</v>
      </c>
      <c r="P59" s="481">
        <f t="shared" si="48"/>
        <v>339911.10944184754</v>
      </c>
      <c r="Q59" s="36"/>
    </row>
    <row r="60" spans="1:17" s="37" customFormat="1" x14ac:dyDescent="0.2">
      <c r="A60" s="1" t="s">
        <v>48</v>
      </c>
      <c r="B60" s="3" t="s">
        <v>181</v>
      </c>
      <c r="C60" s="484">
        <f t="shared" ref="C60:P60" si="49">+(C15-C17)*C63</f>
        <v>154488.74867146992</v>
      </c>
      <c r="D60" s="484">
        <f t="shared" si="49"/>
        <v>177101.88838401475</v>
      </c>
      <c r="E60" s="484">
        <f t="shared" si="49"/>
        <v>176567.01198095811</v>
      </c>
      <c r="F60" s="484">
        <f t="shared" si="49"/>
        <v>176565.5053842192</v>
      </c>
      <c r="G60" s="485">
        <f t="shared" si="49"/>
        <v>176891.89344710764</v>
      </c>
      <c r="H60" s="486">
        <f t="shared" si="49"/>
        <v>176880.67648367933</v>
      </c>
      <c r="I60" s="484">
        <f t="shared" si="49"/>
        <v>177082.48162951149</v>
      </c>
      <c r="J60" s="484">
        <f t="shared" si="49"/>
        <v>177452.85651812327</v>
      </c>
      <c r="K60" s="484">
        <f t="shared" si="49"/>
        <v>177619.35079976637</v>
      </c>
      <c r="L60" s="484">
        <f t="shared" si="49"/>
        <v>177619.35079976637</v>
      </c>
      <c r="M60" s="484">
        <f t="shared" si="49"/>
        <v>177619.35079976637</v>
      </c>
      <c r="N60" s="484">
        <f t="shared" si="49"/>
        <v>177619.35079976637</v>
      </c>
      <c r="O60" s="484">
        <f t="shared" si="49"/>
        <v>177619.35079976637</v>
      </c>
      <c r="P60" s="484">
        <f t="shared" si="49"/>
        <v>177619.35079976637</v>
      </c>
      <c r="Q60" s="36"/>
    </row>
    <row r="61" spans="1:17" s="32" customFormat="1" x14ac:dyDescent="0.2">
      <c r="A61" s="39" t="s">
        <v>49</v>
      </c>
      <c r="B61" s="3" t="s">
        <v>182</v>
      </c>
      <c r="C61" s="487">
        <f>+C49*C65</f>
        <v>159449.18170781917</v>
      </c>
      <c r="D61" s="487">
        <f t="shared" ref="D61:P61" si="50">+D49*D65</f>
        <v>151355.26139467253</v>
      </c>
      <c r="E61" s="487">
        <f t="shared" si="50"/>
        <v>154719.8255574232</v>
      </c>
      <c r="F61" s="487">
        <f t="shared" si="50"/>
        <v>150348.34754165512</v>
      </c>
      <c r="G61" s="487">
        <f t="shared" si="50"/>
        <v>147881.79993896568</v>
      </c>
      <c r="H61" s="487">
        <f t="shared" si="50"/>
        <v>146132.35436838359</v>
      </c>
      <c r="I61" s="487">
        <f t="shared" si="50"/>
        <v>144823.91584677101</v>
      </c>
      <c r="J61" s="487">
        <f t="shared" si="50"/>
        <v>143744.67992107177</v>
      </c>
      <c r="K61" s="487">
        <f t="shared" si="50"/>
        <v>147293.26031422862</v>
      </c>
      <c r="L61" s="487">
        <f t="shared" si="50"/>
        <v>150841.84070738545</v>
      </c>
      <c r="M61" s="487">
        <f t="shared" si="50"/>
        <v>153704.32019105938</v>
      </c>
      <c r="N61" s="487">
        <f t="shared" si="50"/>
        <v>156566.79967473331</v>
      </c>
      <c r="O61" s="487">
        <f t="shared" si="50"/>
        <v>159429.27915840724</v>
      </c>
      <c r="P61" s="487">
        <f t="shared" si="50"/>
        <v>162291.75864208114</v>
      </c>
    </row>
    <row r="62" spans="1:17" s="32" customFormat="1" x14ac:dyDescent="0.2">
      <c r="A62" s="33" t="s">
        <v>39</v>
      </c>
      <c r="B62" s="455" t="s">
        <v>471</v>
      </c>
      <c r="C62" s="490">
        <f>+'[4]4.4.Р_т'!$F$22</f>
        <v>316.50492347461909</v>
      </c>
      <c r="D62" s="490">
        <f>+'[4]4.4.Р_т'!$P$22</f>
        <v>309.50475451523744</v>
      </c>
      <c r="E62" s="490">
        <f>+'[4]4.4.Р_т'!$Z$22*(1+E66)</f>
        <v>308.57</v>
      </c>
      <c r="F62" s="544">
        <f>E62*(1+F66)</f>
        <v>307.66864177050394</v>
      </c>
      <c r="G62" s="122">
        <f t="shared" ref="G62:P62" si="51">F62</f>
        <v>307.66864177050394</v>
      </c>
      <c r="H62" s="544">
        <f>G62*(1+H66)</f>
        <v>305.21863705110445</v>
      </c>
      <c r="I62" s="122">
        <f t="shared" si="51"/>
        <v>305.21863705110445</v>
      </c>
      <c r="J62" s="122">
        <f t="shared" si="51"/>
        <v>305.21863705110445</v>
      </c>
      <c r="K62" s="122">
        <f t="shared" si="51"/>
        <v>305.21863705110445</v>
      </c>
      <c r="L62" s="122">
        <f t="shared" si="51"/>
        <v>305.21863705110445</v>
      </c>
      <c r="M62" s="122">
        <f t="shared" si="51"/>
        <v>305.21863705110445</v>
      </c>
      <c r="N62" s="122">
        <f t="shared" si="51"/>
        <v>305.21863705110445</v>
      </c>
      <c r="O62" s="122">
        <f t="shared" si="51"/>
        <v>305.21863705110445</v>
      </c>
      <c r="P62" s="122">
        <f t="shared" si="51"/>
        <v>305.21863705110445</v>
      </c>
    </row>
    <row r="63" spans="1:17" s="32" customFormat="1" x14ac:dyDescent="0.2">
      <c r="A63" s="33"/>
      <c r="B63" s="455" t="s">
        <v>472</v>
      </c>
      <c r="C63" s="446">
        <f>+C62/C$74</f>
        <v>272.51292761415863</v>
      </c>
      <c r="D63" s="446">
        <f t="shared" ref="D63:P63" si="52">+D62/D74</f>
        <v>266.48573373681654</v>
      </c>
      <c r="E63" s="446">
        <f t="shared" si="52"/>
        <v>265.68090363575072</v>
      </c>
      <c r="F63" s="446">
        <f t="shared" si="52"/>
        <v>264.9048279676299</v>
      </c>
      <c r="G63" s="122">
        <f t="shared" si="52"/>
        <v>264.9048279676299</v>
      </c>
      <c r="H63" s="122">
        <f t="shared" si="52"/>
        <v>262.79535696344317</v>
      </c>
      <c r="I63" s="122">
        <f t="shared" si="52"/>
        <v>262.79535696344317</v>
      </c>
      <c r="J63" s="122">
        <f t="shared" si="52"/>
        <v>262.79535696344317</v>
      </c>
      <c r="K63" s="122">
        <f t="shared" si="52"/>
        <v>262.79535696344317</v>
      </c>
      <c r="L63" s="122">
        <f t="shared" si="52"/>
        <v>262.79535696344317</v>
      </c>
      <c r="M63" s="122">
        <f t="shared" si="52"/>
        <v>262.79535696344317</v>
      </c>
      <c r="N63" s="122">
        <f t="shared" si="52"/>
        <v>262.79535696344317</v>
      </c>
      <c r="O63" s="122">
        <f t="shared" si="52"/>
        <v>262.79535696344317</v>
      </c>
      <c r="P63" s="122">
        <f t="shared" si="52"/>
        <v>262.79535696344317</v>
      </c>
    </row>
    <row r="64" spans="1:17" s="32" customFormat="1" x14ac:dyDescent="0.2">
      <c r="A64" s="33"/>
      <c r="B64" s="455" t="s">
        <v>379</v>
      </c>
      <c r="C64" s="490">
        <f>+'[4]4.4.Р_т'!$F$25</f>
        <v>136.47914490681825</v>
      </c>
      <c r="D64" s="490">
        <f>+'[4]4.4.Р_т'!$P$25</f>
        <v>135.03630366350041</v>
      </c>
      <c r="E64" s="490">
        <f>+'[4]4.4.Р_т'!$Z$25</f>
        <v>135.49</v>
      </c>
      <c r="F64" s="544">
        <f>+E64*(1+F70)</f>
        <v>135.27888166786261</v>
      </c>
      <c r="G64" s="122">
        <f t="shared" ref="G64:P64" si="53">F64</f>
        <v>135.27888166786261</v>
      </c>
      <c r="H64" s="122">
        <f t="shared" si="53"/>
        <v>135.27888166786261</v>
      </c>
      <c r="I64" s="122">
        <f t="shared" si="53"/>
        <v>135.27888166786261</v>
      </c>
      <c r="J64" s="122">
        <f t="shared" si="53"/>
        <v>135.27888166786261</v>
      </c>
      <c r="K64" s="122">
        <f t="shared" si="53"/>
        <v>135.27888166786261</v>
      </c>
      <c r="L64" s="122">
        <f t="shared" si="53"/>
        <v>135.27888166786261</v>
      </c>
      <c r="M64" s="122">
        <f t="shared" si="53"/>
        <v>135.27888166786261</v>
      </c>
      <c r="N64" s="122">
        <f t="shared" si="53"/>
        <v>135.27888166786261</v>
      </c>
      <c r="O64" s="122">
        <f t="shared" si="53"/>
        <v>135.27888166786261</v>
      </c>
      <c r="P64" s="122">
        <f t="shared" si="53"/>
        <v>135.27888166786261</v>
      </c>
    </row>
    <row r="65" spans="1:17" s="32" customFormat="1" x14ac:dyDescent="0.2">
      <c r="A65" s="33"/>
      <c r="B65" s="121" t="s">
        <v>380</v>
      </c>
      <c r="C65" s="456">
        <f t="shared" ref="C65:P65" si="54">+C64/C$74</f>
        <v>117.50948746241707</v>
      </c>
      <c r="D65" s="456">
        <f t="shared" si="54"/>
        <v>116.26719117526144</v>
      </c>
      <c r="E65" s="456">
        <f t="shared" si="54"/>
        <v>116.6578268581128</v>
      </c>
      <c r="F65" s="456">
        <f t="shared" si="54"/>
        <v>116.4760525143453</v>
      </c>
      <c r="G65" s="394">
        <f t="shared" si="54"/>
        <v>116.4760525143453</v>
      </c>
      <c r="H65" s="446">
        <f t="shared" si="54"/>
        <v>116.4760525143453</v>
      </c>
      <c r="I65" s="122">
        <f t="shared" si="54"/>
        <v>116.4760525143453</v>
      </c>
      <c r="J65" s="122">
        <f t="shared" si="54"/>
        <v>116.4760525143453</v>
      </c>
      <c r="K65" s="122">
        <f t="shared" si="54"/>
        <v>116.4760525143453</v>
      </c>
      <c r="L65" s="122">
        <f t="shared" si="54"/>
        <v>116.4760525143453</v>
      </c>
      <c r="M65" s="122">
        <f t="shared" si="54"/>
        <v>116.4760525143453</v>
      </c>
      <c r="N65" s="122">
        <f t="shared" si="54"/>
        <v>116.4760525143453</v>
      </c>
      <c r="O65" s="122">
        <f t="shared" si="54"/>
        <v>116.4760525143453</v>
      </c>
      <c r="P65" s="122">
        <f t="shared" si="54"/>
        <v>116.4760525143453</v>
      </c>
    </row>
    <row r="66" spans="1:17" s="295" customFormat="1" ht="22.5" x14ac:dyDescent="0.2">
      <c r="A66" s="293"/>
      <c r="B66" s="246" t="s">
        <v>638</v>
      </c>
      <c r="C66" s="344"/>
      <c r="D66" s="344"/>
      <c r="E66" s="174">
        <f>SUM(E67:E69)</f>
        <v>0</v>
      </c>
      <c r="F66" s="174">
        <f t="shared" ref="F66:H66" si="55">SUM(F67:F69)</f>
        <v>-2.9210818598568444E-3</v>
      </c>
      <c r="G66" s="174">
        <f t="shared" si="55"/>
        <v>0</v>
      </c>
      <c r="H66" s="174">
        <f t="shared" si="55"/>
        <v>-7.9631278160190444E-3</v>
      </c>
      <c r="I66" s="345"/>
      <c r="J66" s="345"/>
      <c r="K66" s="345"/>
      <c r="L66" s="345"/>
      <c r="M66" s="345"/>
      <c r="N66" s="345"/>
      <c r="O66" s="345"/>
      <c r="P66" s="345"/>
    </row>
    <row r="67" spans="1:17" s="295" customFormat="1" ht="33.75" x14ac:dyDescent="0.2">
      <c r="A67" s="293"/>
      <c r="B67" s="248" t="s">
        <v>520</v>
      </c>
      <c r="C67" s="344"/>
      <c r="D67" s="344"/>
      <c r="E67" s="344"/>
      <c r="F67" s="541"/>
      <c r="G67" s="541"/>
      <c r="H67" s="543">
        <f>-(H15-H17)/(G15-G17)+1</f>
        <v>-7.9631278160190444E-3</v>
      </c>
      <c r="I67" s="345"/>
      <c r="J67" s="345"/>
      <c r="K67" s="345"/>
      <c r="L67" s="345"/>
      <c r="M67" s="345"/>
      <c r="N67" s="345"/>
      <c r="O67" s="345"/>
      <c r="P67" s="345"/>
    </row>
    <row r="68" spans="1:17" s="295" customFormat="1" ht="22.5" x14ac:dyDescent="0.2">
      <c r="A68" s="293"/>
      <c r="B68" s="248" t="str">
        <f>+B20</f>
        <v>3.2.9 «Установка багерного насоса малой производительности для режимов с малым поступлением смывных вод на Тверской ТЭЦ-3»</v>
      </c>
      <c r="C68" s="344"/>
      <c r="D68" s="344"/>
      <c r="E68" s="344"/>
      <c r="F68" s="543">
        <f>-(F15-F17)/(E15-E17)+1</f>
        <v>-2.9210818598568444E-3</v>
      </c>
      <c r="G68" s="344"/>
      <c r="H68" s="344"/>
      <c r="I68" s="345"/>
      <c r="J68" s="345"/>
      <c r="K68" s="345"/>
      <c r="L68" s="345"/>
      <c r="M68" s="345"/>
      <c r="N68" s="345"/>
      <c r="O68" s="345"/>
      <c r="P68" s="345"/>
    </row>
    <row r="69" spans="1:17" s="295" customFormat="1" x14ac:dyDescent="0.2">
      <c r="A69" s="293"/>
      <c r="B69" s="248"/>
      <c r="C69" s="344"/>
      <c r="D69" s="344"/>
      <c r="E69" s="344"/>
      <c r="F69" s="344"/>
      <c r="G69" s="344"/>
      <c r="H69" s="344"/>
      <c r="I69" s="345"/>
      <c r="J69" s="345"/>
      <c r="K69" s="345"/>
      <c r="L69" s="345"/>
      <c r="M69" s="345"/>
      <c r="N69" s="345"/>
      <c r="O69" s="345"/>
      <c r="P69" s="345"/>
    </row>
    <row r="70" spans="1:17" s="295" customFormat="1" ht="22.5" x14ac:dyDescent="0.2">
      <c r="A70" s="293"/>
      <c r="B70" s="246" t="s">
        <v>638</v>
      </c>
      <c r="C70" s="344"/>
      <c r="D70" s="344"/>
      <c r="E70" s="174">
        <f>SUM(E71:E72)</f>
        <v>0</v>
      </c>
      <c r="F70" s="174">
        <f t="shared" ref="F70:H70" si="56">SUM(F71:F72)</f>
        <v>-1.5581838669820325E-3</v>
      </c>
      <c r="G70" s="174">
        <f t="shared" si="56"/>
        <v>0</v>
      </c>
      <c r="H70" s="174">
        <f t="shared" si="56"/>
        <v>0</v>
      </c>
      <c r="I70" s="345"/>
      <c r="J70" s="345"/>
      <c r="K70" s="345"/>
      <c r="L70" s="345"/>
      <c r="M70" s="345"/>
      <c r="N70" s="345"/>
      <c r="O70" s="345"/>
      <c r="P70" s="345"/>
    </row>
    <row r="71" spans="1:17" s="295" customFormat="1" ht="22.5" x14ac:dyDescent="0.2">
      <c r="A71" s="293"/>
      <c r="B71" s="248" t="str">
        <f>+B111</f>
        <v>Переврезка пикового бойлера по конденсату с установкой дополнительного конденсатного насоса ТЭЦ-3</v>
      </c>
      <c r="C71" s="344"/>
      <c r="D71" s="344"/>
      <c r="E71" s="344"/>
      <c r="F71" s="465">
        <f>+(E77-280)/E77-1</f>
        <v>-1.5581838669820325E-3</v>
      </c>
      <c r="G71" s="344"/>
      <c r="H71" s="344"/>
      <c r="I71" s="345"/>
      <c r="J71" s="345"/>
      <c r="K71" s="345"/>
      <c r="L71" s="345"/>
      <c r="M71" s="345"/>
      <c r="N71" s="345"/>
      <c r="O71" s="345"/>
      <c r="P71" s="345"/>
    </row>
    <row r="72" spans="1:17" s="295" customFormat="1" x14ac:dyDescent="0.2">
      <c r="A72" s="293"/>
      <c r="B72" s="248"/>
      <c r="C72" s="344"/>
      <c r="D72" s="344"/>
      <c r="E72" s="344"/>
      <c r="F72" s="344"/>
      <c r="G72" s="344"/>
      <c r="H72" s="344"/>
      <c r="I72" s="345"/>
      <c r="J72" s="345"/>
      <c r="K72" s="345"/>
      <c r="L72" s="345"/>
      <c r="M72" s="345"/>
      <c r="N72" s="345"/>
      <c r="O72" s="345"/>
      <c r="P72" s="345"/>
    </row>
    <row r="73" spans="1:17" s="247" customFormat="1" x14ac:dyDescent="0.2">
      <c r="A73" s="244"/>
      <c r="B73" s="246"/>
      <c r="C73" s="342"/>
      <c r="D73" s="342"/>
      <c r="E73" s="342"/>
      <c r="F73" s="342"/>
      <c r="G73" s="342"/>
      <c r="H73" s="342"/>
      <c r="I73" s="243"/>
      <c r="J73" s="243"/>
      <c r="K73" s="243"/>
      <c r="L73" s="243"/>
      <c r="M73" s="243"/>
      <c r="N73" s="243"/>
      <c r="O73" s="243"/>
      <c r="P73" s="243"/>
      <c r="Q73" s="343"/>
    </row>
    <row r="74" spans="1:17" s="32" customFormat="1" x14ac:dyDescent="0.2">
      <c r="A74" s="39" t="s">
        <v>40</v>
      </c>
      <c r="B74" s="46" t="s">
        <v>41</v>
      </c>
      <c r="C74" s="161">
        <f>+'[4]4.4.Р_т'!$E$49</f>
        <v>1.1614308585123241</v>
      </c>
      <c r="D74" s="162">
        <f>+C74</f>
        <v>1.1614308585123241</v>
      </c>
      <c r="E74" s="162">
        <f t="shared" ref="E74:P74" si="57">+D74</f>
        <v>1.1614308585123241</v>
      </c>
      <c r="F74" s="162">
        <f t="shared" si="57"/>
        <v>1.1614308585123241</v>
      </c>
      <c r="G74" s="396">
        <f t="shared" si="57"/>
        <v>1.1614308585123241</v>
      </c>
      <c r="H74" s="162">
        <f t="shared" si="57"/>
        <v>1.1614308585123241</v>
      </c>
      <c r="I74" s="429">
        <f t="shared" si="57"/>
        <v>1.1614308585123241</v>
      </c>
      <c r="J74" s="162">
        <f t="shared" si="57"/>
        <v>1.1614308585123241</v>
      </c>
      <c r="K74" s="162">
        <f t="shared" si="57"/>
        <v>1.1614308585123241</v>
      </c>
      <c r="L74" s="162">
        <f t="shared" si="57"/>
        <v>1.1614308585123241</v>
      </c>
      <c r="M74" s="162">
        <f t="shared" si="57"/>
        <v>1.1614308585123241</v>
      </c>
      <c r="N74" s="162">
        <f t="shared" si="57"/>
        <v>1.1614308585123241</v>
      </c>
      <c r="O74" s="162">
        <f t="shared" si="57"/>
        <v>1.1614308585123241</v>
      </c>
      <c r="P74" s="162">
        <f t="shared" si="57"/>
        <v>1.1614308585123241</v>
      </c>
      <c r="Q74" s="38"/>
    </row>
    <row r="75" spans="1:17" s="32" customFormat="1" x14ac:dyDescent="0.2">
      <c r="A75" s="39"/>
      <c r="B75" s="46" t="s">
        <v>236</v>
      </c>
      <c r="C75" s="123">
        <f t="shared" ref="C75:P75" si="58">C76+C77</f>
        <v>364617.19999999995</v>
      </c>
      <c r="D75" s="123">
        <f t="shared" si="58"/>
        <v>381480.26945197175</v>
      </c>
      <c r="E75" s="123">
        <f t="shared" si="58"/>
        <v>384766.75613603508</v>
      </c>
      <c r="F75" s="123">
        <f t="shared" si="58"/>
        <v>379687.83686326985</v>
      </c>
      <c r="G75" s="393">
        <f t="shared" si="58"/>
        <v>377202.18953160546</v>
      </c>
      <c r="H75" s="123">
        <f t="shared" si="58"/>
        <v>375157.30173317925</v>
      </c>
      <c r="I75" s="428">
        <f t="shared" si="58"/>
        <v>373872.02358148817</v>
      </c>
      <c r="J75" s="123">
        <f t="shared" si="58"/>
        <v>373048.73049861775</v>
      </c>
      <c r="K75" s="123">
        <f t="shared" si="58"/>
        <v>377363.53286760813</v>
      </c>
      <c r="L75" s="123">
        <f t="shared" si="58"/>
        <v>381484.96364013222</v>
      </c>
      <c r="M75" s="123">
        <f t="shared" si="58"/>
        <v>384809.5356443295</v>
      </c>
      <c r="N75" s="123">
        <f t="shared" si="58"/>
        <v>388134.1076485269</v>
      </c>
      <c r="O75" s="123">
        <f t="shared" si="58"/>
        <v>391458.67965272418</v>
      </c>
      <c r="P75" s="123">
        <f t="shared" si="58"/>
        <v>394783.25165692146</v>
      </c>
      <c r="Q75" s="217"/>
    </row>
    <row r="76" spans="1:17" s="8" customFormat="1" x14ac:dyDescent="0.2">
      <c r="A76" s="1"/>
      <c r="B76" s="83" t="s">
        <v>237</v>
      </c>
      <c r="C76" s="175">
        <f t="shared" ref="C76:P76" si="59">+C60*C$74</f>
        <v>179427.99999999997</v>
      </c>
      <c r="D76" s="175">
        <f t="shared" si="59"/>
        <v>205691.59827000005</v>
      </c>
      <c r="E76" s="175">
        <f t="shared" si="59"/>
        <v>205070.37630999999</v>
      </c>
      <c r="F76" s="175">
        <f t="shared" si="59"/>
        <v>205068.62650205608</v>
      </c>
      <c r="G76" s="397">
        <f t="shared" si="59"/>
        <v>205447.70367014478</v>
      </c>
      <c r="H76" s="175">
        <f t="shared" si="59"/>
        <v>205434.67594268033</v>
      </c>
      <c r="I76" s="95">
        <f t="shared" si="59"/>
        <v>205669.05866645637</v>
      </c>
      <c r="J76" s="175">
        <f t="shared" si="59"/>
        <v>206099.22349130816</v>
      </c>
      <c r="K76" s="175">
        <f t="shared" si="59"/>
        <v>206292.5950877743</v>
      </c>
      <c r="L76" s="175">
        <f t="shared" si="59"/>
        <v>206292.5950877743</v>
      </c>
      <c r="M76" s="175">
        <f t="shared" si="59"/>
        <v>206292.5950877743</v>
      </c>
      <c r="N76" s="175">
        <f t="shared" si="59"/>
        <v>206292.5950877743</v>
      </c>
      <c r="O76" s="175">
        <f t="shared" si="59"/>
        <v>206292.5950877743</v>
      </c>
      <c r="P76" s="175">
        <f t="shared" si="59"/>
        <v>206292.5950877743</v>
      </c>
      <c r="Q76" s="13"/>
    </row>
    <row r="77" spans="1:17" s="8" customFormat="1" x14ac:dyDescent="0.2">
      <c r="A77" s="1"/>
      <c r="B77" s="83" t="s">
        <v>238</v>
      </c>
      <c r="C77" s="175">
        <f t="shared" ref="C77:P77" si="60">+C61*C$74</f>
        <v>185189.19999999998</v>
      </c>
      <c r="D77" s="175">
        <f t="shared" si="60"/>
        <v>175788.67118197173</v>
      </c>
      <c r="E77" s="175">
        <f t="shared" si="60"/>
        <v>179696.37982603506</v>
      </c>
      <c r="F77" s="175">
        <f t="shared" si="60"/>
        <v>174619.21036121377</v>
      </c>
      <c r="G77" s="397">
        <f t="shared" si="60"/>
        <v>171754.48586146065</v>
      </c>
      <c r="H77" s="175">
        <f t="shared" si="60"/>
        <v>169722.62579049892</v>
      </c>
      <c r="I77" s="95">
        <f t="shared" si="60"/>
        <v>168202.96491503183</v>
      </c>
      <c r="J77" s="175">
        <f t="shared" si="60"/>
        <v>166949.50700730961</v>
      </c>
      <c r="K77" s="175">
        <f t="shared" si="60"/>
        <v>171070.9377798338</v>
      </c>
      <c r="L77" s="175">
        <f t="shared" si="60"/>
        <v>175192.36855235792</v>
      </c>
      <c r="M77" s="175">
        <f t="shared" si="60"/>
        <v>178516.94055655523</v>
      </c>
      <c r="N77" s="175">
        <f t="shared" si="60"/>
        <v>181841.51256075257</v>
      </c>
      <c r="O77" s="175">
        <f t="shared" si="60"/>
        <v>185166.08456494991</v>
      </c>
      <c r="P77" s="175">
        <f t="shared" si="60"/>
        <v>188490.65656914719</v>
      </c>
      <c r="Q77" s="13"/>
    </row>
    <row r="78" spans="1:17" s="37" customFormat="1" x14ac:dyDescent="0.2">
      <c r="A78" s="1"/>
      <c r="B78" s="100" t="s">
        <v>239</v>
      </c>
      <c r="C78" s="174">
        <f>+C77/C75</f>
        <v>0.50790034041180721</v>
      </c>
      <c r="D78" s="174">
        <f t="shared" ref="D78:P78" si="61">+D77/D75</f>
        <v>0.46080671861353889</v>
      </c>
      <c r="E78" s="174">
        <f t="shared" si="61"/>
        <v>0.46702678170694933</v>
      </c>
      <c r="F78" s="174">
        <f t="shared" si="61"/>
        <v>0.45990203901131615</v>
      </c>
      <c r="G78" s="386">
        <f t="shared" si="61"/>
        <v>0.455337987498796</v>
      </c>
      <c r="H78" s="174">
        <f t="shared" si="61"/>
        <v>0.45240389832851946</v>
      </c>
      <c r="I78" s="70">
        <f t="shared" si="61"/>
        <v>0.44989449412058174</v>
      </c>
      <c r="J78" s="174">
        <f t="shared" si="61"/>
        <v>0.44752734256504384</v>
      </c>
      <c r="K78" s="174">
        <f t="shared" si="61"/>
        <v>0.45333192765038921</v>
      </c>
      <c r="L78" s="174">
        <f t="shared" si="61"/>
        <v>0.4592379392379482</v>
      </c>
      <c r="M78" s="174">
        <f t="shared" si="61"/>
        <v>0.46390986714412991</v>
      </c>
      <c r="N78" s="174">
        <f t="shared" si="61"/>
        <v>0.46850176002934102</v>
      </c>
      <c r="O78" s="174">
        <f t="shared" si="61"/>
        <v>0.47301565705278731</v>
      </c>
      <c r="P78" s="174">
        <f t="shared" si="61"/>
        <v>0.47745352868452295</v>
      </c>
      <c r="Q78" s="36"/>
    </row>
    <row r="79" spans="1:17" s="144" customFormat="1" x14ac:dyDescent="0.2">
      <c r="A79" s="64"/>
      <c r="B79" s="148"/>
      <c r="C79" s="215"/>
      <c r="D79" s="215"/>
      <c r="E79" s="215"/>
      <c r="F79" s="215"/>
      <c r="G79" s="387"/>
      <c r="H79" s="215"/>
      <c r="I79" s="367"/>
      <c r="J79" s="215"/>
      <c r="K79" s="215"/>
      <c r="L79" s="215"/>
      <c r="M79" s="215"/>
      <c r="N79" s="215"/>
      <c r="O79" s="215"/>
      <c r="P79" s="215"/>
      <c r="Q79" s="143"/>
    </row>
    <row r="80" spans="1:17" s="114" customFormat="1" x14ac:dyDescent="0.2">
      <c r="A80" s="113">
        <v>9</v>
      </c>
      <c r="B80" s="72" t="s">
        <v>496</v>
      </c>
      <c r="C80" s="78">
        <f>SUM(C81:C86)</f>
        <v>3136.1885999999995</v>
      </c>
      <c r="D80" s="78">
        <f t="shared" ref="D80:P80" si="62">SUM(D81:D86)</f>
        <v>3136.1885999999995</v>
      </c>
      <c r="E80" s="78">
        <f t="shared" si="62"/>
        <v>3136.1885999999995</v>
      </c>
      <c r="F80" s="78">
        <f t="shared" si="62"/>
        <v>2755.16763496567</v>
      </c>
      <c r="G80" s="78">
        <f t="shared" si="62"/>
        <v>2121.8836907420168</v>
      </c>
      <c r="H80" s="78">
        <f t="shared" si="62"/>
        <v>1444.7389950364354</v>
      </c>
      <c r="I80" s="78">
        <f t="shared" si="62"/>
        <v>1050.0376263369797</v>
      </c>
      <c r="J80" s="78">
        <f t="shared" si="62"/>
        <v>325.63847950552741</v>
      </c>
      <c r="K80" s="78">
        <f t="shared" si="62"/>
        <v>0</v>
      </c>
      <c r="L80" s="78">
        <f t="shared" si="62"/>
        <v>0</v>
      </c>
      <c r="M80" s="78">
        <f t="shared" si="62"/>
        <v>0</v>
      </c>
      <c r="N80" s="78">
        <f t="shared" si="62"/>
        <v>0</v>
      </c>
      <c r="O80" s="78">
        <f t="shared" si="62"/>
        <v>0</v>
      </c>
      <c r="P80" s="78">
        <f t="shared" si="62"/>
        <v>0</v>
      </c>
      <c r="Q80" s="74"/>
    </row>
    <row r="81" spans="1:17" s="532" customFormat="1" x14ac:dyDescent="0.2">
      <c r="A81" s="531"/>
      <c r="B81" s="248" t="s">
        <v>510</v>
      </c>
      <c r="C81" s="227">
        <f>+'[4]4.2.РчПО_ТН'!$D$8</f>
        <v>3136.1885999999995</v>
      </c>
      <c r="D81" s="228">
        <f>+C81</f>
        <v>3136.1885999999995</v>
      </c>
      <c r="E81" s="228">
        <f t="shared" ref="E81:P83" si="63">+D81</f>
        <v>3136.1885999999995</v>
      </c>
      <c r="F81" s="228">
        <f t="shared" si="63"/>
        <v>3136.1885999999995</v>
      </c>
      <c r="G81" s="228">
        <f t="shared" si="63"/>
        <v>3136.1885999999995</v>
      </c>
      <c r="H81" s="228">
        <f t="shared" si="63"/>
        <v>3136.1885999999995</v>
      </c>
      <c r="I81" s="228">
        <f t="shared" si="63"/>
        <v>3136.1885999999995</v>
      </c>
      <c r="J81" s="228">
        <f t="shared" si="63"/>
        <v>3136.1885999999995</v>
      </c>
      <c r="K81" s="228">
        <f t="shared" si="63"/>
        <v>3136.1885999999995</v>
      </c>
      <c r="L81" s="228">
        <f t="shared" si="63"/>
        <v>3136.1885999999995</v>
      </c>
      <c r="M81" s="228">
        <f t="shared" si="63"/>
        <v>3136.1885999999995</v>
      </c>
      <c r="N81" s="228">
        <f t="shared" si="63"/>
        <v>3136.1885999999995</v>
      </c>
      <c r="O81" s="228">
        <f t="shared" si="63"/>
        <v>3136.1885999999995</v>
      </c>
      <c r="P81" s="228">
        <f t="shared" si="63"/>
        <v>3136.1885999999995</v>
      </c>
      <c r="Q81" s="130"/>
    </row>
    <row r="82" spans="1:17" s="532" customFormat="1" ht="45" x14ac:dyDescent="0.2">
      <c r="A82" s="531"/>
      <c r="B82" s="248" t="s">
        <v>509</v>
      </c>
      <c r="C82" s="172"/>
      <c r="D82" s="172"/>
      <c r="E82" s="172"/>
      <c r="F82" s="172"/>
      <c r="G82" s="169"/>
      <c r="H82" s="169"/>
      <c r="I82" s="172"/>
      <c r="J82" s="462">
        <f>-'ТЭЦ-4'!J85</f>
        <v>-254.40000000000003</v>
      </c>
      <c r="K82" s="117">
        <f>+J82</f>
        <v>-254.40000000000003</v>
      </c>
      <c r="L82" s="117">
        <f t="shared" si="63"/>
        <v>-254.40000000000003</v>
      </c>
      <c r="M82" s="117">
        <f t="shared" si="63"/>
        <v>-254.40000000000003</v>
      </c>
      <c r="N82" s="117">
        <f t="shared" si="63"/>
        <v>-254.40000000000003</v>
      </c>
      <c r="O82" s="117">
        <f t="shared" si="63"/>
        <v>-254.40000000000003</v>
      </c>
      <c r="P82" s="117">
        <f t="shared" si="63"/>
        <v>-254.40000000000003</v>
      </c>
      <c r="Q82" s="130"/>
    </row>
    <row r="83" spans="1:17" s="532" customFormat="1" ht="22.5" x14ac:dyDescent="0.2">
      <c r="A83" s="531"/>
      <c r="B83" s="248" t="s">
        <v>511</v>
      </c>
      <c r="C83" s="172"/>
      <c r="D83" s="172"/>
      <c r="E83" s="172"/>
      <c r="F83" s="172"/>
      <c r="G83" s="411"/>
      <c r="H83" s="169"/>
      <c r="I83" s="172"/>
      <c r="J83" s="172"/>
      <c r="K83" s="462">
        <f>-'ТЭЦ-4'!K86</f>
        <v>-325.60000000000008</v>
      </c>
      <c r="L83" s="117">
        <f t="shared" si="63"/>
        <v>-325.60000000000008</v>
      </c>
      <c r="M83" s="117">
        <f t="shared" si="63"/>
        <v>-325.60000000000008</v>
      </c>
      <c r="N83" s="117">
        <f t="shared" si="63"/>
        <v>-325.60000000000008</v>
      </c>
      <c r="O83" s="117">
        <f t="shared" si="63"/>
        <v>-325.60000000000008</v>
      </c>
      <c r="P83" s="117">
        <f t="shared" si="63"/>
        <v>-325.60000000000008</v>
      </c>
      <c r="Q83" s="130"/>
    </row>
    <row r="84" spans="1:17" s="532" customFormat="1" ht="22.5" x14ac:dyDescent="0.2">
      <c r="A84" s="531"/>
      <c r="B84" s="238" t="s">
        <v>357</v>
      </c>
      <c r="C84" s="172"/>
      <c r="D84" s="172"/>
      <c r="E84" s="172"/>
      <c r="F84" s="462">
        <f>+F81*Сети!F$53</f>
        <v>-381.02096503432932</v>
      </c>
      <c r="G84" s="462">
        <f>+G81*Сети!G53</f>
        <v>-862.6649092579828</v>
      </c>
      <c r="H84" s="462">
        <f>+H81*Сети!H53</f>
        <v>-1312.347064497862</v>
      </c>
      <c r="I84" s="462">
        <f>+I81*Сети!I53</f>
        <v>-1707.0484331973178</v>
      </c>
      <c r="J84" s="462">
        <f>+J81*Сети!J53</f>
        <v>-2177.04758002877</v>
      </c>
      <c r="K84" s="117">
        <f>+J84</f>
        <v>-2177.04758002877</v>
      </c>
      <c r="L84" s="117">
        <f t="shared" ref="L84:L85" si="64">+K84</f>
        <v>-2177.04758002877</v>
      </c>
      <c r="M84" s="117">
        <f t="shared" ref="M84:M85" si="65">+L84</f>
        <v>-2177.04758002877</v>
      </c>
      <c r="N84" s="117">
        <f t="shared" ref="N84:N85" si="66">+M84</f>
        <v>-2177.04758002877</v>
      </c>
      <c r="O84" s="117">
        <f t="shared" ref="O84:O85" si="67">+N84</f>
        <v>-2177.04758002877</v>
      </c>
      <c r="P84" s="117">
        <f t="shared" ref="P84:P85" si="68">+O84</f>
        <v>-2177.04758002877</v>
      </c>
      <c r="Q84" s="130"/>
    </row>
    <row r="85" spans="1:17" s="532" customFormat="1" ht="22.5" x14ac:dyDescent="0.2">
      <c r="A85" s="531"/>
      <c r="B85" s="238" t="s">
        <v>594</v>
      </c>
      <c r="C85" s="172"/>
      <c r="D85" s="172"/>
      <c r="E85" s="172"/>
      <c r="F85" s="172"/>
      <c r="G85" s="571">
        <f>-379.1*0.4</f>
        <v>-151.64000000000001</v>
      </c>
      <c r="H85" s="571">
        <v>-379.10254046570202</v>
      </c>
      <c r="I85" s="117">
        <f>+H85</f>
        <v>-379.10254046570202</v>
      </c>
      <c r="J85" s="117">
        <f t="shared" ref="J85:K85" si="69">+I85</f>
        <v>-379.10254046570202</v>
      </c>
      <c r="K85" s="117">
        <f t="shared" si="69"/>
        <v>-379.10254046570202</v>
      </c>
      <c r="L85" s="117">
        <f t="shared" si="64"/>
        <v>-379.10254046570202</v>
      </c>
      <c r="M85" s="117">
        <f t="shared" si="65"/>
        <v>-379.10254046570202</v>
      </c>
      <c r="N85" s="117">
        <f t="shared" si="66"/>
        <v>-379.10254046570202</v>
      </c>
      <c r="O85" s="117">
        <f t="shared" si="67"/>
        <v>-379.10254046570202</v>
      </c>
      <c r="P85" s="117">
        <f t="shared" si="68"/>
        <v>-379.10254046570202</v>
      </c>
      <c r="Q85" s="130"/>
    </row>
    <row r="86" spans="1:17" s="144" customFormat="1" x14ac:dyDescent="0.2">
      <c r="A86" s="64"/>
      <c r="B86" s="148"/>
      <c r="C86" s="215"/>
      <c r="D86" s="215"/>
      <c r="E86" s="215"/>
      <c r="F86" s="215"/>
      <c r="G86" s="387"/>
      <c r="H86" s="215"/>
      <c r="I86" s="367"/>
      <c r="J86" s="215"/>
      <c r="K86" s="870">
        <f>-(+K81+K82+K83+K84+K85)</f>
        <v>-3.8479505527504898E-2</v>
      </c>
      <c r="L86" s="870">
        <f t="shared" ref="L86:P86" si="70">-(+L81+L82+L83+L84+L85)</f>
        <v>-3.8479505527504898E-2</v>
      </c>
      <c r="M86" s="870">
        <f t="shared" si="70"/>
        <v>-3.8479505527504898E-2</v>
      </c>
      <c r="N86" s="870">
        <f t="shared" si="70"/>
        <v>-3.8479505527504898E-2</v>
      </c>
      <c r="O86" s="870">
        <f t="shared" si="70"/>
        <v>-3.8479505527504898E-2</v>
      </c>
      <c r="P86" s="870">
        <f t="shared" si="70"/>
        <v>-3.8479505527504898E-2</v>
      </c>
      <c r="Q86" s="143"/>
    </row>
    <row r="87" spans="1:17" s="16" customFormat="1" ht="12" thickBot="1" x14ac:dyDescent="0.25">
      <c r="A87" s="1"/>
      <c r="B87" s="163" t="s">
        <v>9</v>
      </c>
      <c r="C87" s="47"/>
      <c r="D87" s="26"/>
      <c r="E87" s="26"/>
      <c r="F87" s="26"/>
      <c r="G87" s="398"/>
      <c r="H87" s="26"/>
      <c r="I87" s="25"/>
      <c r="J87" s="26"/>
      <c r="K87" s="26"/>
      <c r="L87" s="26"/>
      <c r="M87" s="26"/>
      <c r="N87" s="26"/>
      <c r="O87" s="26"/>
      <c r="P87" s="26"/>
      <c r="Q87" s="24"/>
    </row>
    <row r="88" spans="1:17" s="82" customFormat="1" x14ac:dyDescent="0.2">
      <c r="A88" s="2">
        <v>17</v>
      </c>
      <c r="B88" s="80" t="s">
        <v>192</v>
      </c>
      <c r="C88" s="464">
        <f>+([8]ГОД!$S$16*[8]ГОД!$S$15+[8]ГОД!$S$18*[8]ГОД!$S$19)/([8]ГОД!$S$15+[8]ГОД!$S$18)</f>
        <v>120870.24914031829</v>
      </c>
      <c r="D88" s="464">
        <f>+([9]ГОД!$Q$15*[9]ГОД!$Q$16+[9]ГОД!$Q$18*[9]ГОД!$Q$19)/([9]ГОД!$Q$15+[9]ГОД!$Q$18)</f>
        <v>124177.81558772062</v>
      </c>
      <c r="E88" s="128">
        <f>D88*(E89)</f>
        <v>129151.95179558064</v>
      </c>
      <c r="F88" s="128">
        <f t="shared" ref="F88:G88" si="71">E88*(F89)</f>
        <v>134325.33479238796</v>
      </c>
      <c r="G88" s="128">
        <f t="shared" si="71"/>
        <v>139705.94571923863</v>
      </c>
      <c r="H88" s="469">
        <f>+C88*103.9%*106%</f>
        <v>133119.24018819819</v>
      </c>
      <c r="I88" s="469">
        <f>+H88/106%*113%</f>
        <v>141910.13340817354</v>
      </c>
      <c r="J88" s="469">
        <f>+I88/113%*120%</f>
        <v>150701.02662814892</v>
      </c>
      <c r="K88" s="128">
        <f t="shared" ref="K88:P88" si="72">J88*(K89)</f>
        <v>156737.59144904659</v>
      </c>
      <c r="L88" s="128">
        <f t="shared" si="72"/>
        <v>163015.96029512063</v>
      </c>
      <c r="M88" s="128">
        <f t="shared" si="72"/>
        <v>169545.8190039834</v>
      </c>
      <c r="N88" s="128">
        <f t="shared" si="72"/>
        <v>176337.24139458945</v>
      </c>
      <c r="O88" s="128">
        <f t="shared" si="72"/>
        <v>183400.70480843383</v>
      </c>
      <c r="P88" s="128">
        <f t="shared" si="72"/>
        <v>190747.10627327717</v>
      </c>
      <c r="Q88" s="81"/>
    </row>
    <row r="89" spans="1:17" s="41" customFormat="1" ht="12" thickBot="1" x14ac:dyDescent="0.25">
      <c r="A89" s="2">
        <v>18</v>
      </c>
      <c r="B89" s="40" t="s">
        <v>8</v>
      </c>
      <c r="C89" s="43"/>
      <c r="D89" s="70">
        <f>+D88/C88</f>
        <v>1.0273646035391435</v>
      </c>
      <c r="E89" s="467">
        <f>+'[10]1.пч1-СPI баз'!$M$5/100</f>
        <v>1.040056560701426</v>
      </c>
      <c r="F89" s="70">
        <f t="shared" ref="F89:P89" si="73">+E89</f>
        <v>1.040056560701426</v>
      </c>
      <c r="G89" s="70">
        <f t="shared" si="73"/>
        <v>1.040056560701426</v>
      </c>
      <c r="H89" s="468">
        <f>+G89*106%</f>
        <v>1.1024599543435116</v>
      </c>
      <c r="I89" s="468">
        <f>+G89/106%*113%</f>
        <v>1.1087395411251049</v>
      </c>
      <c r="J89" s="468">
        <f>+G89/113%*120%</f>
        <v>1.1044848432227534</v>
      </c>
      <c r="K89" s="465">
        <f>+G89</f>
        <v>1.040056560701426</v>
      </c>
      <c r="L89" s="70">
        <f t="shared" si="73"/>
        <v>1.040056560701426</v>
      </c>
      <c r="M89" s="70">
        <f t="shared" si="73"/>
        <v>1.040056560701426</v>
      </c>
      <c r="N89" s="70">
        <f t="shared" si="73"/>
        <v>1.040056560701426</v>
      </c>
      <c r="O89" s="70">
        <f t="shared" si="73"/>
        <v>1.040056560701426</v>
      </c>
      <c r="P89" s="70">
        <f t="shared" si="73"/>
        <v>1.040056560701426</v>
      </c>
      <c r="Q89" s="11"/>
    </row>
    <row r="90" spans="1:17" s="11" customFormat="1" x14ac:dyDescent="0.2">
      <c r="A90" s="2" t="s">
        <v>50</v>
      </c>
      <c r="B90" s="80" t="s">
        <v>461</v>
      </c>
      <c r="C90" s="127">
        <f>+[8]ГОД!$S$12*10</f>
        <v>1195.9686605212676</v>
      </c>
      <c r="D90" s="127">
        <f>+[9]ГОД!$J$12*10</f>
        <v>1205.0791085144335</v>
      </c>
      <c r="E90" s="128">
        <f>D90*(E91)</f>
        <v>1214.2589565390351</v>
      </c>
      <c r="F90" s="128">
        <f t="shared" ref="F90:P90" si="74">E90*(F91)</f>
        <v>1223.5087332589062</v>
      </c>
      <c r="G90" s="128">
        <f t="shared" si="74"/>
        <v>1232.8289713650463</v>
      </c>
      <c r="H90" s="128">
        <f t="shared" si="74"/>
        <v>1242.220207606299</v>
      </c>
      <c r="I90" s="128">
        <f t="shared" si="74"/>
        <v>1251.6829828202619</v>
      </c>
      <c r="J90" s="128">
        <f t="shared" si="74"/>
        <v>1261.2178419644345</v>
      </c>
      <c r="K90" s="128">
        <f t="shared" si="74"/>
        <v>1270.8253341476009</v>
      </c>
      <c r="L90" s="128">
        <f t="shared" si="74"/>
        <v>1280.5060126614537</v>
      </c>
      <c r="M90" s="128">
        <f t="shared" si="74"/>
        <v>1290.2604350124575</v>
      </c>
      <c r="N90" s="128">
        <f t="shared" si="74"/>
        <v>1300.0891629539551</v>
      </c>
      <c r="O90" s="128">
        <f t="shared" si="74"/>
        <v>1309.9927625185194</v>
      </c>
      <c r="P90" s="128">
        <f t="shared" si="74"/>
        <v>1319.9718040505502</v>
      </c>
    </row>
    <row r="91" spans="1:17" s="11" customFormat="1" x14ac:dyDescent="0.2">
      <c r="A91" s="2" t="s">
        <v>51</v>
      </c>
      <c r="B91" s="40" t="s">
        <v>8</v>
      </c>
      <c r="C91" s="43"/>
      <c r="D91" s="70">
        <f>+D90/C90</f>
        <v>1.0076176310415987</v>
      </c>
      <c r="E91" s="465">
        <f>+D91</f>
        <v>1.0076176310415987</v>
      </c>
      <c r="F91" s="465">
        <f t="shared" ref="F91:P91" si="75">+E91</f>
        <v>1.0076176310415987</v>
      </c>
      <c r="G91" s="465">
        <f t="shared" si="75"/>
        <v>1.0076176310415987</v>
      </c>
      <c r="H91" s="465">
        <f t="shared" si="75"/>
        <v>1.0076176310415987</v>
      </c>
      <c r="I91" s="465">
        <f t="shared" si="75"/>
        <v>1.0076176310415987</v>
      </c>
      <c r="J91" s="465">
        <f t="shared" si="75"/>
        <v>1.0076176310415987</v>
      </c>
      <c r="K91" s="465">
        <f t="shared" si="75"/>
        <v>1.0076176310415987</v>
      </c>
      <c r="L91" s="465">
        <f t="shared" si="75"/>
        <v>1.0076176310415987</v>
      </c>
      <c r="M91" s="465">
        <f t="shared" si="75"/>
        <v>1.0076176310415987</v>
      </c>
      <c r="N91" s="465">
        <f t="shared" si="75"/>
        <v>1.0076176310415987</v>
      </c>
      <c r="O91" s="465">
        <f t="shared" si="75"/>
        <v>1.0076176310415987</v>
      </c>
      <c r="P91" s="465">
        <f t="shared" si="75"/>
        <v>1.0076176310415987</v>
      </c>
    </row>
    <row r="92" spans="1:17" s="11" customFormat="1" ht="22.5" x14ac:dyDescent="0.2">
      <c r="A92" s="2"/>
      <c r="B92" s="40" t="s">
        <v>154</v>
      </c>
      <c r="C92" s="230">
        <f t="shared" ref="C92:P92" si="76">+C176/C15</f>
        <v>1592.8952282353521</v>
      </c>
      <c r="D92" s="230">
        <f t="shared" si="76"/>
        <v>1606.0389619456164</v>
      </c>
      <c r="E92" s="230">
        <f t="shared" si="76"/>
        <v>1650.5778750602456</v>
      </c>
      <c r="F92" s="230">
        <f t="shared" si="76"/>
        <v>1700.6121761583199</v>
      </c>
      <c r="G92" s="399">
        <f t="shared" si="76"/>
        <v>1755.3550826770074</v>
      </c>
      <c r="H92" s="447">
        <f t="shared" si="76"/>
        <v>1802.2278040142019</v>
      </c>
      <c r="I92" s="230">
        <f t="shared" si="76"/>
        <v>1858.4999755970623</v>
      </c>
      <c r="J92" s="230">
        <f t="shared" si="76"/>
        <v>1917.9852692898664</v>
      </c>
      <c r="K92" s="230">
        <f t="shared" si="76"/>
        <v>1972.5642792117212</v>
      </c>
      <c r="L92" s="230">
        <f t="shared" si="76"/>
        <v>2027.2090948189698</v>
      </c>
      <c r="M92" s="230">
        <f t="shared" si="76"/>
        <v>2084.2559874661824</v>
      </c>
      <c r="N92" s="230">
        <f t="shared" si="76"/>
        <v>2143.022509041381</v>
      </c>
      <c r="O92" s="230">
        <f t="shared" si="76"/>
        <v>2203.5616570979237</v>
      </c>
      <c r="P92" s="230">
        <f t="shared" si="76"/>
        <v>2265.9280858357943</v>
      </c>
    </row>
    <row r="93" spans="1:17" s="11" customFormat="1" x14ac:dyDescent="0.2">
      <c r="A93" s="2"/>
      <c r="B93" s="40" t="s">
        <v>78</v>
      </c>
      <c r="C93" s="42"/>
      <c r="D93" s="157">
        <f t="shared" ref="D93:P93" si="77">(D92-C92)/C92</f>
        <v>8.251474094015122E-3</v>
      </c>
      <c r="E93" s="157">
        <f t="shared" si="77"/>
        <v>2.7732149823235325E-2</v>
      </c>
      <c r="F93" s="157">
        <f t="shared" si="77"/>
        <v>3.0313202336029209E-2</v>
      </c>
      <c r="G93" s="400">
        <f t="shared" si="77"/>
        <v>3.2190117938795219E-2</v>
      </c>
      <c r="H93" s="448">
        <f t="shared" si="77"/>
        <v>2.6702700667098709E-2</v>
      </c>
      <c r="I93" s="157">
        <f t="shared" si="77"/>
        <v>3.1223672977146569E-2</v>
      </c>
      <c r="J93" s="157">
        <f t="shared" si="77"/>
        <v>3.2007153335417114E-2</v>
      </c>
      <c r="K93" s="157">
        <f t="shared" si="77"/>
        <v>2.8456428104926292E-2</v>
      </c>
      <c r="L93" s="157">
        <f t="shared" si="77"/>
        <v>2.7702425813513062E-2</v>
      </c>
      <c r="M93" s="157">
        <f t="shared" si="77"/>
        <v>2.8140606113602182E-2</v>
      </c>
      <c r="N93" s="157">
        <f t="shared" si="77"/>
        <v>2.8195443327784644E-2</v>
      </c>
      <c r="O93" s="157">
        <f t="shared" si="77"/>
        <v>2.8249422393432116E-2</v>
      </c>
      <c r="P93" s="157">
        <f t="shared" si="77"/>
        <v>2.8302556698144209E-2</v>
      </c>
    </row>
    <row r="94" spans="1:17" s="96" customFormat="1" x14ac:dyDescent="0.2">
      <c r="A94" s="64">
        <v>21</v>
      </c>
      <c r="B94" s="132" t="s">
        <v>185</v>
      </c>
      <c r="C94" s="195">
        <f>+[8]ГОД!$L$22</f>
        <v>891.40301952264429</v>
      </c>
      <c r="D94" s="196">
        <f>+[9]ГОД!$J$22</f>
        <v>977.58454786238337</v>
      </c>
      <c r="E94" s="153">
        <f>D94*(E95)</f>
        <v>1055.7913116913742</v>
      </c>
      <c r="F94" s="153">
        <f t="shared" ref="F94:P94" si="78">E94*(F95)</f>
        <v>1140.2546166266841</v>
      </c>
      <c r="G94" s="153">
        <f t="shared" si="78"/>
        <v>1231.474985956819</v>
      </c>
      <c r="H94" s="153">
        <f t="shared" si="78"/>
        <v>1329.9929848333645</v>
      </c>
      <c r="I94" s="153">
        <f t="shared" si="78"/>
        <v>1436.3924236200337</v>
      </c>
      <c r="J94" s="153">
        <f t="shared" si="78"/>
        <v>1436.3924236200337</v>
      </c>
      <c r="K94" s="153">
        <f t="shared" si="78"/>
        <v>1436.3924236200337</v>
      </c>
      <c r="L94" s="153">
        <f t="shared" si="78"/>
        <v>1436.3924236200337</v>
      </c>
      <c r="M94" s="153">
        <f t="shared" si="78"/>
        <v>1436.3924236200337</v>
      </c>
      <c r="N94" s="153">
        <f t="shared" si="78"/>
        <v>1436.3924236200337</v>
      </c>
      <c r="O94" s="153">
        <f t="shared" si="78"/>
        <v>1450.756347856234</v>
      </c>
      <c r="P94" s="153">
        <f t="shared" si="78"/>
        <v>1479.7714748133587</v>
      </c>
    </row>
    <row r="95" spans="1:17" s="96" customFormat="1" x14ac:dyDescent="0.2">
      <c r="A95" s="64">
        <v>22</v>
      </c>
      <c r="B95" s="133" t="s">
        <v>7</v>
      </c>
      <c r="C95" s="151"/>
      <c r="D95" s="70">
        <f>+D94/C94</f>
        <v>1.096680767792205</v>
      </c>
      <c r="E95" s="152">
        <f>+СВОД!D61</f>
        <v>1.08</v>
      </c>
      <c r="F95" s="152">
        <f>+СВОД!E61</f>
        <v>1.08</v>
      </c>
      <c r="G95" s="152">
        <f>+СВОД!F61</f>
        <v>1.08</v>
      </c>
      <c r="H95" s="152">
        <f>+СВОД!G61</f>
        <v>1.08</v>
      </c>
      <c r="I95" s="152">
        <f>+СВОД!H61</f>
        <v>1.08</v>
      </c>
      <c r="J95" s="152">
        <f>+СВОД!I61</f>
        <v>1</v>
      </c>
      <c r="K95" s="152">
        <f>+СВОД!J61</f>
        <v>1</v>
      </c>
      <c r="L95" s="152">
        <f>+СВОД!K61</f>
        <v>1</v>
      </c>
      <c r="M95" s="152">
        <f>+СВОД!L61</f>
        <v>1</v>
      </c>
      <c r="N95" s="152">
        <f>+СВОД!M61</f>
        <v>1</v>
      </c>
      <c r="O95" s="152">
        <f>+СВОД!N61</f>
        <v>1.01</v>
      </c>
      <c r="P95" s="152">
        <f>+СВОД!O61</f>
        <v>1.02</v>
      </c>
    </row>
    <row r="96" spans="1:17" s="96" customFormat="1" ht="22.5" x14ac:dyDescent="0.2">
      <c r="A96" s="64" t="s">
        <v>73</v>
      </c>
      <c r="B96" s="133" t="s">
        <v>72</v>
      </c>
      <c r="C96" s="230">
        <f t="shared" ref="C96:P96" si="79">+C185/C48</f>
        <v>740.18028121075747</v>
      </c>
      <c r="D96" s="230">
        <f t="shared" si="79"/>
        <v>793.96680304127415</v>
      </c>
      <c r="E96" s="230">
        <f t="shared" si="79"/>
        <v>823.10315012470937</v>
      </c>
      <c r="F96" s="230">
        <f t="shared" si="79"/>
        <v>851.35803153029281</v>
      </c>
      <c r="G96" s="399">
        <f t="shared" si="79"/>
        <v>880.525787183033</v>
      </c>
      <c r="H96" s="447">
        <f t="shared" si="79"/>
        <v>910.47165055099299</v>
      </c>
      <c r="I96" s="230">
        <f t="shared" si="79"/>
        <v>940.98390634999021</v>
      </c>
      <c r="J96" s="230">
        <f t="shared" si="79"/>
        <v>972.236189074908</v>
      </c>
      <c r="K96" s="230">
        <f t="shared" si="79"/>
        <v>1000.9185992794809</v>
      </c>
      <c r="L96" s="230">
        <f t="shared" si="79"/>
        <v>1030.6205862206439</v>
      </c>
      <c r="M96" s="230">
        <f t="shared" si="79"/>
        <v>1061.8142681714605</v>
      </c>
      <c r="N96" s="230">
        <f t="shared" si="79"/>
        <v>1093.9737975041016</v>
      </c>
      <c r="O96" s="230">
        <f t="shared" si="79"/>
        <v>1127.1293967233878</v>
      </c>
      <c r="P96" s="230">
        <f t="shared" si="79"/>
        <v>1161.3122468642798</v>
      </c>
    </row>
    <row r="97" spans="1:17" s="96" customFormat="1" x14ac:dyDescent="0.2">
      <c r="A97" s="64" t="s">
        <v>74</v>
      </c>
      <c r="B97" s="133" t="s">
        <v>75</v>
      </c>
      <c r="C97" s="135"/>
      <c r="D97" s="157">
        <f t="shared" ref="D97:P97" si="80">(D96-C96)/C96</f>
        <v>7.2666785641107359E-2</v>
      </c>
      <c r="E97" s="157">
        <f t="shared" si="80"/>
        <v>3.6697185539532669E-2</v>
      </c>
      <c r="F97" s="157">
        <f t="shared" si="80"/>
        <v>3.4327266760311267E-2</v>
      </c>
      <c r="G97" s="400">
        <f t="shared" si="80"/>
        <v>3.4260269560518447E-2</v>
      </c>
      <c r="H97" s="448">
        <f t="shared" si="80"/>
        <v>3.4009070266712363E-2</v>
      </c>
      <c r="I97" s="157">
        <f t="shared" si="80"/>
        <v>3.3512581946436241E-2</v>
      </c>
      <c r="J97" s="157">
        <f t="shared" si="80"/>
        <v>3.3212345624637915E-2</v>
      </c>
      <c r="K97" s="157">
        <f t="shared" si="80"/>
        <v>2.9501483823456996E-2</v>
      </c>
      <c r="L97" s="157">
        <f t="shared" si="80"/>
        <v>2.9674727757626054E-2</v>
      </c>
      <c r="M97" s="157">
        <f t="shared" si="80"/>
        <v>3.0266891975451429E-2</v>
      </c>
      <c r="N97" s="157">
        <f t="shared" si="80"/>
        <v>3.0287339600382945E-2</v>
      </c>
      <c r="O97" s="157">
        <f t="shared" si="80"/>
        <v>3.0307489352058133E-2</v>
      </c>
      <c r="P97" s="157">
        <f t="shared" si="80"/>
        <v>3.0327352156959961E-2</v>
      </c>
    </row>
    <row r="98" spans="1:17" s="96" customFormat="1" x14ac:dyDescent="0.2">
      <c r="A98" s="64" t="s">
        <v>20</v>
      </c>
      <c r="B98" s="132" t="s">
        <v>408</v>
      </c>
      <c r="C98" s="155">
        <f>+[8]ГОД!$E$22+[8]ГОД!$E$25</f>
        <v>1437.4878616436636</v>
      </c>
      <c r="D98" s="155">
        <f>+[9]ГОД!$C$22+[9]ГОД!$C$25</f>
        <v>1469.141804722344</v>
      </c>
      <c r="E98" s="128">
        <f>D98*(E99)</f>
        <v>1586.6731491001317</v>
      </c>
      <c r="F98" s="128">
        <f t="shared" ref="F98:P98" si="81">E98*(F99)</f>
        <v>1713.6070010281423</v>
      </c>
      <c r="G98" s="128">
        <f t="shared" si="81"/>
        <v>1850.6955611103938</v>
      </c>
      <c r="H98" s="128">
        <f t="shared" si="81"/>
        <v>1998.7512059992255</v>
      </c>
      <c r="I98" s="128">
        <f t="shared" si="81"/>
        <v>2158.6513024791639</v>
      </c>
      <c r="J98" s="128">
        <f t="shared" si="81"/>
        <v>2158.6513024791639</v>
      </c>
      <c r="K98" s="128">
        <f t="shared" si="81"/>
        <v>2158.6513024791639</v>
      </c>
      <c r="L98" s="128">
        <f t="shared" si="81"/>
        <v>2158.6513024791639</v>
      </c>
      <c r="M98" s="128">
        <f t="shared" si="81"/>
        <v>2158.6513024791639</v>
      </c>
      <c r="N98" s="128">
        <f t="shared" si="81"/>
        <v>2158.6513024791639</v>
      </c>
      <c r="O98" s="128">
        <f t="shared" si="81"/>
        <v>2180.2378155039555</v>
      </c>
      <c r="P98" s="128">
        <f t="shared" si="81"/>
        <v>2223.8425718140347</v>
      </c>
    </row>
    <row r="99" spans="1:17" s="96" customFormat="1" x14ac:dyDescent="0.2">
      <c r="A99" s="64"/>
      <c r="B99" s="133" t="s">
        <v>75</v>
      </c>
      <c r="C99" s="154"/>
      <c r="D99" s="157">
        <f>+D98/C98</f>
        <v>1.022020320256817</v>
      </c>
      <c r="E99" s="157">
        <f>+E95</f>
        <v>1.08</v>
      </c>
      <c r="F99" s="157">
        <f t="shared" ref="F99:P99" si="82">+F95</f>
        <v>1.08</v>
      </c>
      <c r="G99" s="157">
        <f t="shared" si="82"/>
        <v>1.08</v>
      </c>
      <c r="H99" s="157">
        <f t="shared" si="82"/>
        <v>1.08</v>
      </c>
      <c r="I99" s="157">
        <f t="shared" si="82"/>
        <v>1.08</v>
      </c>
      <c r="J99" s="157">
        <f t="shared" si="82"/>
        <v>1</v>
      </c>
      <c r="K99" s="157">
        <f t="shared" si="82"/>
        <v>1</v>
      </c>
      <c r="L99" s="157">
        <f t="shared" si="82"/>
        <v>1</v>
      </c>
      <c r="M99" s="157">
        <f t="shared" si="82"/>
        <v>1</v>
      </c>
      <c r="N99" s="157">
        <f t="shared" si="82"/>
        <v>1</v>
      </c>
      <c r="O99" s="157">
        <f t="shared" si="82"/>
        <v>1.01</v>
      </c>
      <c r="P99" s="157">
        <f t="shared" si="82"/>
        <v>1.02</v>
      </c>
    </row>
    <row r="100" spans="1:17" s="136" customFormat="1" ht="10.5" x14ac:dyDescent="0.2">
      <c r="A100" s="253"/>
      <c r="B100" s="132" t="s">
        <v>359</v>
      </c>
      <c r="C100" s="316">
        <f>+Сети!C63</f>
        <v>17.125288548140421</v>
      </c>
      <c r="D100" s="316">
        <f>+Сети!D63</f>
        <v>17.4755</v>
      </c>
      <c r="E100" s="254">
        <f>D100*(E101)</f>
        <v>18.174520000000001</v>
      </c>
      <c r="F100" s="254">
        <f t="shared" ref="F100:J100" si="83">E100*(F101)</f>
        <v>18.901500800000001</v>
      </c>
      <c r="G100" s="254">
        <f t="shared" si="83"/>
        <v>19.657560832000001</v>
      </c>
      <c r="H100" s="254">
        <f t="shared" si="83"/>
        <v>20.443863265280001</v>
      </c>
      <c r="I100" s="254">
        <f t="shared" si="83"/>
        <v>21.261617795891201</v>
      </c>
      <c r="J100" s="254">
        <f t="shared" si="83"/>
        <v>22.11208250772685</v>
      </c>
      <c r="K100" s="254">
        <f>J100*(K101)</f>
        <v>22.996565808035925</v>
      </c>
      <c r="L100" s="254">
        <f t="shared" ref="L100:P100" si="84">K100*(L101)</f>
        <v>23.916428440357361</v>
      </c>
      <c r="M100" s="254">
        <f t="shared" si="84"/>
        <v>24.873085577971658</v>
      </c>
      <c r="N100" s="254">
        <f t="shared" si="84"/>
        <v>25.868009001090524</v>
      </c>
      <c r="O100" s="254">
        <f t="shared" si="84"/>
        <v>26.902729361134146</v>
      </c>
      <c r="P100" s="254">
        <f t="shared" si="84"/>
        <v>27.978838535579513</v>
      </c>
    </row>
    <row r="101" spans="1:17" s="143" customFormat="1" x14ac:dyDescent="0.2">
      <c r="A101" s="255"/>
      <c r="B101" s="133" t="s">
        <v>7</v>
      </c>
      <c r="C101" s="215"/>
      <c r="D101" s="70">
        <f>+D100/C100</f>
        <v>1.0204499591860954</v>
      </c>
      <c r="E101" s="467">
        <f>+E104</f>
        <v>1.04</v>
      </c>
      <c r="F101" s="467">
        <f t="shared" ref="F101:P101" si="85">+F104</f>
        <v>1.04</v>
      </c>
      <c r="G101" s="467">
        <f t="shared" si="85"/>
        <v>1.04</v>
      </c>
      <c r="H101" s="467">
        <f t="shared" si="85"/>
        <v>1.04</v>
      </c>
      <c r="I101" s="467">
        <f t="shared" si="85"/>
        <v>1.04</v>
      </c>
      <c r="J101" s="467">
        <f t="shared" si="85"/>
        <v>1.04</v>
      </c>
      <c r="K101" s="467">
        <f t="shared" si="85"/>
        <v>1.04</v>
      </c>
      <c r="L101" s="467">
        <f t="shared" si="85"/>
        <v>1.04</v>
      </c>
      <c r="M101" s="467">
        <f t="shared" si="85"/>
        <v>1.04</v>
      </c>
      <c r="N101" s="467">
        <f t="shared" si="85"/>
        <v>1.04</v>
      </c>
      <c r="O101" s="467">
        <f t="shared" si="85"/>
        <v>1.04</v>
      </c>
      <c r="P101" s="467">
        <f t="shared" si="85"/>
        <v>1.04</v>
      </c>
    </row>
    <row r="102" spans="1:17" s="136" customFormat="1" ht="22.5" x14ac:dyDescent="0.2">
      <c r="A102" s="64">
        <v>23</v>
      </c>
      <c r="B102" s="132" t="s">
        <v>473</v>
      </c>
      <c r="C102" s="141">
        <f>+'[4]4.4.Р_т'!$F$150</f>
        <v>4948.6697393528166</v>
      </c>
      <c r="D102" s="141">
        <f>+'[4]4.4.Р_т'!$P$150</f>
        <v>5128.5491496278974</v>
      </c>
      <c r="E102" s="141">
        <f>+'[4]4.4.Р_т'!$Z$149</f>
        <v>5302.5347036361018</v>
      </c>
      <c r="F102" s="105">
        <f>E102*(F103)</f>
        <v>5461.610744745185</v>
      </c>
      <c r="G102" s="105">
        <f t="shared" ref="G102:P102" si="86">F102*(G103)</f>
        <v>5625.4590670875405</v>
      </c>
      <c r="H102" s="105">
        <f t="shared" si="86"/>
        <v>5794.2228391001672</v>
      </c>
      <c r="I102" s="105">
        <f t="shared" si="86"/>
        <v>5968.0495242731722</v>
      </c>
      <c r="J102" s="105">
        <f t="shared" si="86"/>
        <v>6147.091010001368</v>
      </c>
      <c r="K102" s="105">
        <f t="shared" si="86"/>
        <v>6331.5037403014094</v>
      </c>
      <c r="L102" s="105">
        <f t="shared" si="86"/>
        <v>6521.4488525104516</v>
      </c>
      <c r="M102" s="105">
        <f t="shared" si="86"/>
        <v>6717.0923180857653</v>
      </c>
      <c r="N102" s="105">
        <f t="shared" si="86"/>
        <v>6918.6050876283389</v>
      </c>
      <c r="O102" s="105">
        <f t="shared" si="86"/>
        <v>7126.1632402571895</v>
      </c>
      <c r="P102" s="105">
        <f t="shared" si="86"/>
        <v>7339.9481374649058</v>
      </c>
    </row>
    <row r="103" spans="1:17" s="138" customFormat="1" ht="12" thickBot="1" x14ac:dyDescent="0.25">
      <c r="A103" s="64">
        <v>24</v>
      </c>
      <c r="B103" s="133" t="s">
        <v>6</v>
      </c>
      <c r="C103" s="137"/>
      <c r="D103" s="70">
        <f>+D102/C102</f>
        <v>1.0363490432276463</v>
      </c>
      <c r="E103" s="70">
        <f>+E102/D102</f>
        <v>1.0339249072071051</v>
      </c>
      <c r="F103" s="471">
        <f>+'[4]+Газ'!$H$32</f>
        <v>1.03</v>
      </c>
      <c r="G103" s="70">
        <f t="shared" ref="G103:P103" si="87">+F103</f>
        <v>1.03</v>
      </c>
      <c r="H103" s="70">
        <f t="shared" si="87"/>
        <v>1.03</v>
      </c>
      <c r="I103" s="70">
        <f t="shared" si="87"/>
        <v>1.03</v>
      </c>
      <c r="J103" s="70">
        <f t="shared" si="87"/>
        <v>1.03</v>
      </c>
      <c r="K103" s="70">
        <f t="shared" si="87"/>
        <v>1.03</v>
      </c>
      <c r="L103" s="70">
        <f t="shared" si="87"/>
        <v>1.03</v>
      </c>
      <c r="M103" s="70">
        <f t="shared" si="87"/>
        <v>1.03</v>
      </c>
      <c r="N103" s="70">
        <f t="shared" si="87"/>
        <v>1.03</v>
      </c>
      <c r="O103" s="70">
        <f t="shared" si="87"/>
        <v>1.03</v>
      </c>
      <c r="P103" s="70">
        <f t="shared" si="87"/>
        <v>1.03</v>
      </c>
      <c r="Q103" s="96"/>
    </row>
    <row r="104" spans="1:17" s="144" customFormat="1" x14ac:dyDescent="0.2">
      <c r="A104" s="142">
        <v>27</v>
      </c>
      <c r="B104" s="148" t="s">
        <v>5</v>
      </c>
      <c r="C104" s="137"/>
      <c r="D104" s="145">
        <f>1+'[4]5.2.Оп_i1'!$E$6</f>
        <v>1.04</v>
      </c>
      <c r="E104" s="147">
        <f>+D104</f>
        <v>1.04</v>
      </c>
      <c r="F104" s="147">
        <f t="shared" ref="F104:P104" si="88">+E104</f>
        <v>1.04</v>
      </c>
      <c r="G104" s="147">
        <f t="shared" si="88"/>
        <v>1.04</v>
      </c>
      <c r="H104" s="147">
        <f t="shared" si="88"/>
        <v>1.04</v>
      </c>
      <c r="I104" s="147">
        <f t="shared" si="88"/>
        <v>1.04</v>
      </c>
      <c r="J104" s="147">
        <f t="shared" si="88"/>
        <v>1.04</v>
      </c>
      <c r="K104" s="147">
        <f t="shared" si="88"/>
        <v>1.04</v>
      </c>
      <c r="L104" s="147">
        <f t="shared" si="88"/>
        <v>1.04</v>
      </c>
      <c r="M104" s="147">
        <f t="shared" si="88"/>
        <v>1.04</v>
      </c>
      <c r="N104" s="147">
        <f t="shared" si="88"/>
        <v>1.04</v>
      </c>
      <c r="O104" s="147">
        <f t="shared" si="88"/>
        <v>1.04</v>
      </c>
      <c r="P104" s="147">
        <f t="shared" si="88"/>
        <v>1.04</v>
      </c>
      <c r="Q104" s="143"/>
    </row>
    <row r="105" spans="1:17" s="139" customFormat="1" x14ac:dyDescent="0.2">
      <c r="A105" s="64"/>
      <c r="B105" s="149" t="s">
        <v>52</v>
      </c>
      <c r="C105" s="137"/>
      <c r="D105" s="146">
        <f>+D104</f>
        <v>1.04</v>
      </c>
      <c r="E105" s="146">
        <f>+D105*E104</f>
        <v>1.0816000000000001</v>
      </c>
      <c r="F105" s="146">
        <f t="shared" ref="F105:P105" si="89">+E105*F104</f>
        <v>1.1248640000000001</v>
      </c>
      <c r="G105" s="146">
        <f t="shared" si="89"/>
        <v>1.1698585600000002</v>
      </c>
      <c r="H105" s="146">
        <f t="shared" si="89"/>
        <v>1.2166529024000003</v>
      </c>
      <c r="I105" s="146">
        <f t="shared" si="89"/>
        <v>1.2653190184960004</v>
      </c>
      <c r="J105" s="146">
        <f t="shared" si="89"/>
        <v>1.3159317792358405</v>
      </c>
      <c r="K105" s="146">
        <f t="shared" si="89"/>
        <v>1.3685690504052741</v>
      </c>
      <c r="L105" s="146">
        <f t="shared" si="89"/>
        <v>1.4233118124214852</v>
      </c>
      <c r="M105" s="146">
        <f t="shared" si="89"/>
        <v>1.4802442849183446</v>
      </c>
      <c r="N105" s="146">
        <f t="shared" si="89"/>
        <v>1.5394540563150785</v>
      </c>
      <c r="O105" s="146">
        <f t="shared" si="89"/>
        <v>1.6010322185676817</v>
      </c>
      <c r="P105" s="146">
        <f t="shared" si="89"/>
        <v>1.6650735073103891</v>
      </c>
      <c r="Q105" s="96"/>
    </row>
    <row r="106" spans="1:17" s="130" customFormat="1" x14ac:dyDescent="0.2">
      <c r="A106" s="150"/>
      <c r="B106" s="164"/>
      <c r="C106" s="137"/>
      <c r="D106" s="165"/>
      <c r="E106" s="165"/>
      <c r="F106" s="166"/>
      <c r="G106" s="401"/>
      <c r="H106" s="165"/>
      <c r="I106" s="430"/>
      <c r="J106" s="165"/>
      <c r="K106" s="165"/>
      <c r="L106" s="165"/>
      <c r="M106" s="165"/>
      <c r="N106" s="165"/>
      <c r="O106" s="165"/>
      <c r="P106" s="165"/>
    </row>
    <row r="107" spans="1:17" s="18" customFormat="1" ht="12" x14ac:dyDescent="0.2">
      <c r="A107" s="2"/>
      <c r="B107" s="256" t="s">
        <v>10</v>
      </c>
      <c r="C107" s="28"/>
      <c r="D107" s="28"/>
      <c r="E107" s="28"/>
      <c r="F107" s="28"/>
      <c r="G107" s="398"/>
      <c r="H107" s="26"/>
      <c r="I107" s="27"/>
      <c r="J107" s="28"/>
      <c r="K107" s="28"/>
      <c r="L107" s="28"/>
      <c r="M107" s="28"/>
      <c r="N107" s="28"/>
      <c r="O107" s="28"/>
      <c r="P107" s="28"/>
      <c r="Q107" s="17"/>
    </row>
    <row r="108" spans="1:17" s="18" customFormat="1" x14ac:dyDescent="0.2">
      <c r="A108" s="2">
        <v>26</v>
      </c>
      <c r="B108" s="6" t="s">
        <v>412</v>
      </c>
      <c r="C108" s="160">
        <f>SUM(C109:C117)</f>
        <v>0</v>
      </c>
      <c r="D108" s="160">
        <f t="shared" ref="D108:P108" si="90">SUM(D109:D117)</f>
        <v>0</v>
      </c>
      <c r="E108" s="160">
        <f t="shared" si="90"/>
        <v>21099</v>
      </c>
      <c r="F108" s="160">
        <f t="shared" si="90"/>
        <v>47657</v>
      </c>
      <c r="G108" s="160">
        <f t="shared" si="90"/>
        <v>8589</v>
      </c>
      <c r="H108" s="160">
        <f t="shared" si="90"/>
        <v>2000</v>
      </c>
      <c r="I108" s="160">
        <f t="shared" si="90"/>
        <v>0</v>
      </c>
      <c r="J108" s="160">
        <f t="shared" si="90"/>
        <v>12270.114069128978</v>
      </c>
      <c r="K108" s="160">
        <f t="shared" si="90"/>
        <v>12270.114069128978</v>
      </c>
      <c r="L108" s="160">
        <f t="shared" si="90"/>
        <v>12638.217491202848</v>
      </c>
      <c r="M108" s="160">
        <f t="shared" si="90"/>
        <v>13006.320913276717</v>
      </c>
      <c r="N108" s="160">
        <f t="shared" si="90"/>
        <v>13385.467438012802</v>
      </c>
      <c r="O108" s="160">
        <f t="shared" si="90"/>
        <v>13775.657065411104</v>
      </c>
      <c r="P108" s="160">
        <f t="shared" si="90"/>
        <v>14177.221088551487</v>
      </c>
      <c r="Q108" s="17"/>
    </row>
    <row r="109" spans="1:17" x14ac:dyDescent="0.2">
      <c r="A109" s="2">
        <v>6</v>
      </c>
      <c r="B109" s="46" t="s">
        <v>539</v>
      </c>
      <c r="C109" s="158"/>
      <c r="D109" s="158"/>
      <c r="E109" s="159">
        <f>+[12]Пр.4.Амортизация!F13</f>
        <v>10588</v>
      </c>
      <c r="F109" s="159">
        <f>+[12]Пр.4.Амортизация!G13</f>
        <v>0</v>
      </c>
      <c r="G109" s="159">
        <f>+[12]Пр.4.Амортизация!H13</f>
        <v>0</v>
      </c>
      <c r="H109" s="159">
        <f>+[12]Пр.4.Амортизация!I13</f>
        <v>0</v>
      </c>
      <c r="I109" s="159">
        <f>+[12]Пр.4.Амортизация!J13</f>
        <v>0</v>
      </c>
      <c r="J109" s="158"/>
      <c r="K109" s="158"/>
      <c r="L109" s="158"/>
      <c r="M109" s="158"/>
      <c r="N109" s="158"/>
      <c r="O109" s="158"/>
      <c r="P109" s="158"/>
    </row>
    <row r="110" spans="1:17" ht="33.75" x14ac:dyDescent="0.2">
      <c r="A110" s="2">
        <v>7</v>
      </c>
      <c r="B110" s="46" t="s">
        <v>540</v>
      </c>
      <c r="C110" s="158"/>
      <c r="D110" s="158"/>
      <c r="E110" s="159">
        <f>+[12]Пр.4.Амортизация!F14</f>
        <v>1496</v>
      </c>
      <c r="F110" s="159">
        <f>+[12]Пр.4.Амортизация!G14</f>
        <v>0</v>
      </c>
      <c r="G110" s="159">
        <f>+[12]Пр.4.Амортизация!H14</f>
        <v>0</v>
      </c>
      <c r="H110" s="159">
        <f>+[12]Пр.4.Амортизация!I14</f>
        <v>0</v>
      </c>
      <c r="I110" s="159">
        <f>+[12]Пр.4.Амортизация!J14</f>
        <v>0</v>
      </c>
      <c r="J110" s="158"/>
      <c r="K110" s="158"/>
      <c r="L110" s="158"/>
      <c r="M110" s="158"/>
      <c r="N110" s="158"/>
      <c r="O110" s="158"/>
      <c r="P110" s="158"/>
    </row>
    <row r="111" spans="1:17" ht="22.5" x14ac:dyDescent="0.2">
      <c r="A111" s="2">
        <v>8</v>
      </c>
      <c r="B111" s="46" t="s">
        <v>541</v>
      </c>
      <c r="C111" s="158"/>
      <c r="D111" s="158"/>
      <c r="E111" s="159">
        <f>+[12]Пр.4.Амортизация!F15</f>
        <v>5006</v>
      </c>
      <c r="F111" s="159">
        <f>+[12]Пр.4.Амортизация!G15</f>
        <v>0</v>
      </c>
      <c r="G111" s="159">
        <f>+[12]Пр.4.Амортизация!H15</f>
        <v>0</v>
      </c>
      <c r="H111" s="159">
        <f>+[12]Пр.4.Амортизация!I15</f>
        <v>0</v>
      </c>
      <c r="I111" s="159">
        <f>+[12]Пр.4.Амортизация!J15</f>
        <v>0</v>
      </c>
      <c r="J111" s="158"/>
      <c r="K111" s="158"/>
      <c r="L111" s="158"/>
      <c r="M111" s="158"/>
      <c r="N111" s="158"/>
      <c r="O111" s="158"/>
      <c r="P111" s="158"/>
    </row>
    <row r="112" spans="1:17" x14ac:dyDescent="0.2">
      <c r="A112" s="2">
        <v>9</v>
      </c>
      <c r="B112" s="46" t="s">
        <v>542</v>
      </c>
      <c r="C112" s="158"/>
      <c r="D112" s="158"/>
      <c r="E112" s="159">
        <f>+[12]Пр.4.Амортизация!F16</f>
        <v>0</v>
      </c>
      <c r="F112" s="159">
        <f>+[12]Пр.4.Амортизация!G16</f>
        <v>45657</v>
      </c>
      <c r="G112" s="159">
        <f>+[12]Пр.4.Амортизация!H16</f>
        <v>0</v>
      </c>
      <c r="H112" s="159">
        <f>+[12]Пр.4.Амортизация!I16</f>
        <v>0</v>
      </c>
      <c r="I112" s="159">
        <f>+[12]Пр.4.Амортизация!J16</f>
        <v>0</v>
      </c>
      <c r="J112" s="158"/>
      <c r="K112" s="158"/>
      <c r="L112" s="158"/>
      <c r="M112" s="158"/>
      <c r="N112" s="158"/>
      <c r="O112" s="158"/>
      <c r="P112" s="158"/>
    </row>
    <row r="113" spans="1:19" ht="22.5" x14ac:dyDescent="0.2">
      <c r="A113" s="2">
        <v>10</v>
      </c>
      <c r="B113" s="46" t="s">
        <v>543</v>
      </c>
      <c r="C113" s="158"/>
      <c r="D113" s="158"/>
      <c r="E113" s="159">
        <f>+[12]Пр.4.Амортизация!F17</f>
        <v>0</v>
      </c>
      <c r="F113" s="159">
        <f>+[12]Пр.4.Амортизация!G17</f>
        <v>0</v>
      </c>
      <c r="G113" s="159">
        <f>+[12]Пр.4.Амортизация!H17</f>
        <v>4589</v>
      </c>
      <c r="H113" s="159">
        <f>+[12]Пр.4.Амортизация!I17</f>
        <v>0</v>
      </c>
      <c r="I113" s="159">
        <f>+[12]Пр.4.Амортизация!J17</f>
        <v>0</v>
      </c>
      <c r="J113" s="158"/>
      <c r="K113" s="158"/>
      <c r="L113" s="158"/>
      <c r="M113" s="158"/>
      <c r="N113" s="158"/>
      <c r="O113" s="158"/>
      <c r="P113" s="158"/>
    </row>
    <row r="114" spans="1:19" s="23" customFormat="1" ht="22.5" x14ac:dyDescent="0.2">
      <c r="A114" s="2">
        <v>11</v>
      </c>
      <c r="B114" s="46" t="s">
        <v>544</v>
      </c>
      <c r="C114" s="158"/>
      <c r="D114" s="158"/>
      <c r="E114" s="159">
        <f>+[12]Пр.4.Амортизация!F18</f>
        <v>2009</v>
      </c>
      <c r="F114" s="159">
        <f>+[12]Пр.4.Амортизация!G18</f>
        <v>0</v>
      </c>
      <c r="G114" s="159">
        <f>+[12]Пр.4.Амортизация!H18</f>
        <v>0</v>
      </c>
      <c r="H114" s="159">
        <f>+[12]Пр.4.Амортизация!I18</f>
        <v>0</v>
      </c>
      <c r="I114" s="159">
        <f>+[12]Пр.4.Амортизация!J18</f>
        <v>0</v>
      </c>
      <c r="J114" s="158"/>
      <c r="K114" s="158"/>
      <c r="L114" s="158"/>
      <c r="M114" s="158"/>
      <c r="N114" s="158"/>
      <c r="O114" s="158"/>
      <c r="P114" s="158"/>
      <c r="Q114" s="22"/>
    </row>
    <row r="115" spans="1:19" s="11" customFormat="1" ht="22.5" x14ac:dyDescent="0.2">
      <c r="A115" s="2">
        <v>12</v>
      </c>
      <c r="B115" s="46" t="s">
        <v>545</v>
      </c>
      <c r="C115" s="158"/>
      <c r="D115" s="158"/>
      <c r="E115" s="159">
        <f>+[12]Пр.4.Амортизация!F19</f>
        <v>2000</v>
      </c>
      <c r="F115" s="159">
        <f>+[12]Пр.4.Амортизация!G19</f>
        <v>2000</v>
      </c>
      <c r="G115" s="159">
        <f>+[12]Пр.4.Амортизация!H19</f>
        <v>4000</v>
      </c>
      <c r="H115" s="159">
        <f>+[12]Пр.4.Амортизация!I19</f>
        <v>2000</v>
      </c>
      <c r="I115" s="159">
        <f>+[12]Пр.4.Амортизация!J19</f>
        <v>0</v>
      </c>
      <c r="J115" s="158"/>
      <c r="K115" s="158"/>
      <c r="L115" s="158"/>
      <c r="M115" s="158"/>
      <c r="N115" s="158"/>
      <c r="O115" s="158"/>
      <c r="P115" s="158"/>
    </row>
    <row r="116" spans="1:19" s="717" customFormat="1" ht="12.75" customHeight="1" x14ac:dyDescent="0.2">
      <c r="A116" s="714"/>
      <c r="B116" s="715" t="s">
        <v>675</v>
      </c>
      <c r="C116" s="716"/>
      <c r="D116" s="716"/>
      <c r="E116" s="716"/>
      <c r="F116" s="716"/>
      <c r="G116" s="716"/>
      <c r="H116" s="716"/>
      <c r="I116" s="716"/>
      <c r="J116" s="718">
        <f t="shared" ref="J116:P116" si="91">+I120*$R116</f>
        <v>12270.114069128978</v>
      </c>
      <c r="K116" s="718">
        <f t="shared" ref="K116" si="92">+J120*$R116</f>
        <v>12270.114069128978</v>
      </c>
      <c r="L116" s="718">
        <f t="shared" ref="L116" si="93">+K120*$R116</f>
        <v>12638.217491202848</v>
      </c>
      <c r="M116" s="718">
        <f t="shared" ref="M116" si="94">+L120*$R116</f>
        <v>13006.320913276717</v>
      </c>
      <c r="N116" s="718">
        <f t="shared" si="91"/>
        <v>13385.467438012802</v>
      </c>
      <c r="O116" s="718">
        <f t="shared" si="91"/>
        <v>13775.657065411104</v>
      </c>
      <c r="P116" s="718">
        <f t="shared" si="91"/>
        <v>14177.221088551487</v>
      </c>
      <c r="R116" s="719">
        <v>0.3</v>
      </c>
      <c r="S116" s="717" t="s">
        <v>657</v>
      </c>
    </row>
    <row r="117" spans="1:19" s="11" customFormat="1" x14ac:dyDescent="0.2">
      <c r="A117" s="2"/>
      <c r="B117" s="46"/>
      <c r="C117" s="158"/>
      <c r="D117" s="158"/>
      <c r="E117" s="158"/>
      <c r="F117" s="158"/>
      <c r="G117" s="403"/>
      <c r="H117" s="158"/>
      <c r="I117" s="431"/>
      <c r="J117" s="158"/>
      <c r="K117" s="158"/>
      <c r="L117" s="158"/>
      <c r="M117" s="158"/>
      <c r="N117" s="158"/>
      <c r="O117" s="158"/>
      <c r="P117" s="158"/>
    </row>
    <row r="118" spans="1:19" s="18" customFormat="1" ht="12" x14ac:dyDescent="0.2">
      <c r="A118" s="2"/>
      <c r="B118" s="256" t="s">
        <v>42</v>
      </c>
      <c r="C118" s="28"/>
      <c r="D118" s="28"/>
      <c r="E118" s="28"/>
      <c r="F118" s="28"/>
      <c r="G118" s="398"/>
      <c r="H118" s="26"/>
      <c r="I118" s="27"/>
      <c r="J118" s="28"/>
      <c r="K118" s="28"/>
      <c r="L118" s="28"/>
      <c r="M118" s="28"/>
      <c r="N118" s="28"/>
      <c r="O118" s="28"/>
      <c r="P118" s="28"/>
      <c r="Q118" s="17"/>
    </row>
    <row r="119" spans="1:19" s="13" customFormat="1" x14ac:dyDescent="0.2">
      <c r="A119" s="1">
        <v>29</v>
      </c>
      <c r="B119" s="44" t="s">
        <v>4</v>
      </c>
      <c r="C119" s="570">
        <v>120</v>
      </c>
      <c r="D119" s="180">
        <f>+C119</f>
        <v>120</v>
      </c>
      <c r="E119" s="180">
        <f t="shared" ref="E119:I119" si="95">+D119</f>
        <v>120</v>
      </c>
      <c r="F119" s="180">
        <f t="shared" si="95"/>
        <v>120</v>
      </c>
      <c r="G119" s="404">
        <f t="shared" si="95"/>
        <v>120</v>
      </c>
      <c r="H119" s="180">
        <f t="shared" si="95"/>
        <v>120</v>
      </c>
      <c r="I119" s="180">
        <f t="shared" si="95"/>
        <v>120</v>
      </c>
      <c r="J119" s="180">
        <f t="shared" ref="J119" si="96">+I119</f>
        <v>120</v>
      </c>
      <c r="K119" s="180">
        <f t="shared" ref="K119" si="97">+J119</f>
        <v>120</v>
      </c>
      <c r="L119" s="180">
        <f t="shared" ref="L119" si="98">+K119</f>
        <v>120</v>
      </c>
      <c r="M119" s="180">
        <f t="shared" ref="M119" si="99">+L119</f>
        <v>120</v>
      </c>
      <c r="N119" s="180">
        <f t="shared" ref="N119" si="100">+M119</f>
        <v>120</v>
      </c>
      <c r="O119" s="180">
        <f t="shared" ref="O119" si="101">+N119</f>
        <v>120</v>
      </c>
      <c r="P119" s="180">
        <f t="shared" ref="P119" si="102">+O119</f>
        <v>120</v>
      </c>
    </row>
    <row r="120" spans="1:19" s="130" customFormat="1" x14ac:dyDescent="0.2">
      <c r="A120" s="150">
        <v>30</v>
      </c>
      <c r="B120" s="168" t="s">
        <v>186</v>
      </c>
      <c r="C120" s="176">
        <f>+'[4]+Ам'!$E$97</f>
        <v>32965.880230429932</v>
      </c>
      <c r="D120" s="177">
        <f>IF(D121-C123-C120&lt;0,0,IF(C123+C120*2&gt;D121,D121-C123-C120,IF(C119=0,C120,+C120+C122/C119*12)))</f>
        <v>32965.880230429932</v>
      </c>
      <c r="E120" s="177">
        <f>IF(E121-D123-D120&lt;0,0,IF(D123+D120*2&gt;E121,E121-D123-D120,IF(D119=0,D120,+D120+D122/D119*12)))</f>
        <v>32965.880230429932</v>
      </c>
      <c r="F120" s="177">
        <f>IF(F121-E123-E120&lt;0,0,IF(E123+E120*2&gt;F121,F121-E123-E120,IF(E119=0,E120,+E120+E122/E119*12)))</f>
        <v>35075.780230429933</v>
      </c>
      <c r="G120" s="405">
        <f t="shared" ref="G120:P120" si="103">IF(G121-F123-F120&lt;0,0,IF(F123+F120*2&gt;G121,G121-F123-F120,IF(F119=0,F120,+F120+F122/F119*12)))</f>
        <v>39841.48023042993</v>
      </c>
      <c r="H120" s="177">
        <f t="shared" si="103"/>
        <v>40700.380230429932</v>
      </c>
      <c r="I120" s="432">
        <f t="shared" si="103"/>
        <v>40900.380230429932</v>
      </c>
      <c r="J120" s="177">
        <f t="shared" si="103"/>
        <v>40900.380230429932</v>
      </c>
      <c r="K120" s="177">
        <f t="shared" si="103"/>
        <v>42127.391637342829</v>
      </c>
      <c r="L120" s="177">
        <f t="shared" si="103"/>
        <v>43354.403044255727</v>
      </c>
      <c r="M120" s="177">
        <f t="shared" si="103"/>
        <v>44618.224793376008</v>
      </c>
      <c r="N120" s="177">
        <f t="shared" si="103"/>
        <v>45918.85688470368</v>
      </c>
      <c r="O120" s="177">
        <f t="shared" si="103"/>
        <v>47257.403628504959</v>
      </c>
      <c r="P120" s="177">
        <f t="shared" si="103"/>
        <v>48634.969335046066</v>
      </c>
    </row>
    <row r="121" spans="1:19" s="96" customFormat="1" x14ac:dyDescent="0.2">
      <c r="A121" s="64">
        <v>31</v>
      </c>
      <c r="B121" s="149" t="s">
        <v>187</v>
      </c>
      <c r="C121" s="178">
        <f>+'[16]Расчет ТЭЦ-3'!$O$449/1000</f>
        <v>533115.95798000006</v>
      </c>
      <c r="D121" s="179">
        <f>+C121+C122</f>
        <v>533115.95798000006</v>
      </c>
      <c r="E121" s="179">
        <f t="shared" ref="E121:P121" si="104">+D121+D122</f>
        <v>533115.95798000006</v>
      </c>
      <c r="F121" s="179">
        <f t="shared" si="104"/>
        <v>554214.95798000006</v>
      </c>
      <c r="G121" s="406">
        <f t="shared" si="104"/>
        <v>601871.95798000006</v>
      </c>
      <c r="H121" s="179">
        <f t="shared" si="104"/>
        <v>610460.95798000006</v>
      </c>
      <c r="I121" s="433">
        <f t="shared" si="104"/>
        <v>612460.95798000006</v>
      </c>
      <c r="J121" s="179">
        <f t="shared" si="104"/>
        <v>612460.95798000006</v>
      </c>
      <c r="K121" s="179">
        <f t="shared" si="104"/>
        <v>624731.07204912906</v>
      </c>
      <c r="L121" s="179">
        <f t="shared" si="104"/>
        <v>637001.18611825805</v>
      </c>
      <c r="M121" s="179">
        <f t="shared" si="104"/>
        <v>649639.40360946092</v>
      </c>
      <c r="N121" s="179">
        <f t="shared" si="104"/>
        <v>662645.72452273767</v>
      </c>
      <c r="O121" s="179">
        <f t="shared" si="104"/>
        <v>676031.1919607505</v>
      </c>
      <c r="P121" s="179">
        <f t="shared" si="104"/>
        <v>689806.8490261616</v>
      </c>
    </row>
    <row r="122" spans="1:19" s="96" customFormat="1" x14ac:dyDescent="0.2">
      <c r="A122" s="64"/>
      <c r="B122" s="149" t="s">
        <v>191</v>
      </c>
      <c r="C122" s="179">
        <f>+C108</f>
        <v>0</v>
      </c>
      <c r="D122" s="179">
        <f>+D108</f>
        <v>0</v>
      </c>
      <c r="E122" s="179">
        <f>+E108</f>
        <v>21099</v>
      </c>
      <c r="F122" s="179">
        <f>+F108</f>
        <v>47657</v>
      </c>
      <c r="G122" s="406">
        <f>+G108</f>
        <v>8589</v>
      </c>
      <c r="H122" s="179">
        <f t="shared" ref="H122:P122" si="105">+H108</f>
        <v>2000</v>
      </c>
      <c r="I122" s="433">
        <f t="shared" si="105"/>
        <v>0</v>
      </c>
      <c r="J122" s="179">
        <f t="shared" si="105"/>
        <v>12270.114069128978</v>
      </c>
      <c r="K122" s="179">
        <f t="shared" si="105"/>
        <v>12270.114069128978</v>
      </c>
      <c r="L122" s="179">
        <f t="shared" si="105"/>
        <v>12638.217491202848</v>
      </c>
      <c r="M122" s="179">
        <f t="shared" si="105"/>
        <v>13006.320913276717</v>
      </c>
      <c r="N122" s="179">
        <f t="shared" si="105"/>
        <v>13385.467438012802</v>
      </c>
      <c r="O122" s="179">
        <f t="shared" si="105"/>
        <v>13775.657065411104</v>
      </c>
      <c r="P122" s="179">
        <f t="shared" si="105"/>
        <v>14177.221088551487</v>
      </c>
    </row>
    <row r="123" spans="1:19" s="96" customFormat="1" x14ac:dyDescent="0.2">
      <c r="A123" s="64"/>
      <c r="B123" s="149" t="s">
        <v>190</v>
      </c>
      <c r="C123" s="178">
        <f>+'[16]Расчет ТЭЦ-3'!$P$449/1000-C120/12*7</f>
        <v>77118.281778915873</v>
      </c>
      <c r="D123" s="179">
        <f>IF(+C123+C120&gt;C121,C121,+C123+C120)</f>
        <v>110084.1620093458</v>
      </c>
      <c r="E123" s="179">
        <f t="shared" ref="E123:P123" si="106">IF(+D123+D120&gt;D121,D121,+D123+D120)</f>
        <v>143050.04223977574</v>
      </c>
      <c r="F123" s="179">
        <f t="shared" si="106"/>
        <v>176015.92247020567</v>
      </c>
      <c r="G123" s="406">
        <f t="shared" si="106"/>
        <v>211091.70270063559</v>
      </c>
      <c r="H123" s="179">
        <f t="shared" si="106"/>
        <v>250933.18293106553</v>
      </c>
      <c r="I123" s="433">
        <f t="shared" si="106"/>
        <v>291633.56316149549</v>
      </c>
      <c r="J123" s="179">
        <f t="shared" si="106"/>
        <v>332533.94339192542</v>
      </c>
      <c r="K123" s="179">
        <f t="shared" si="106"/>
        <v>373434.32362235535</v>
      </c>
      <c r="L123" s="179">
        <f t="shared" si="106"/>
        <v>415561.71525969816</v>
      </c>
      <c r="M123" s="179">
        <f t="shared" si="106"/>
        <v>458916.1183039539</v>
      </c>
      <c r="N123" s="179">
        <f t="shared" si="106"/>
        <v>503534.3430973299</v>
      </c>
      <c r="O123" s="179">
        <f t="shared" si="106"/>
        <v>549453.19998203358</v>
      </c>
      <c r="P123" s="179">
        <f t="shared" si="106"/>
        <v>596710.60361053853</v>
      </c>
    </row>
    <row r="124" spans="1:19" s="96" customFormat="1" x14ac:dyDescent="0.2">
      <c r="A124" s="64"/>
      <c r="B124" s="149" t="s">
        <v>189</v>
      </c>
      <c r="C124" s="174">
        <f>+C123/C121</f>
        <v>0.14465573694533634</v>
      </c>
      <c r="D124" s="174">
        <f t="shared" ref="D124:P124" si="107">+D123/D121</f>
        <v>0.20649196551245541</v>
      </c>
      <c r="E124" s="174">
        <f t="shared" si="107"/>
        <v>0.26832819407957448</v>
      </c>
      <c r="F124" s="174">
        <f t="shared" si="107"/>
        <v>0.31759504130265198</v>
      </c>
      <c r="G124" s="386">
        <f t="shared" si="107"/>
        <v>0.3507252662328722</v>
      </c>
      <c r="H124" s="174">
        <f t="shared" si="107"/>
        <v>0.41105525202037019</v>
      </c>
      <c r="I124" s="70">
        <f t="shared" si="107"/>
        <v>0.47616678150939179</v>
      </c>
      <c r="J124" s="174">
        <f t="shared" si="107"/>
        <v>0.5429471692182285</v>
      </c>
      <c r="K124" s="174">
        <f t="shared" si="107"/>
        <v>0.59775212140078793</v>
      </c>
      <c r="L124" s="174">
        <f t="shared" si="107"/>
        <v>0.65237196463014113</v>
      </c>
      <c r="M124" s="174">
        <f t="shared" si="107"/>
        <v>0.70641669171261856</v>
      </c>
      <c r="N124" s="174">
        <f t="shared" si="107"/>
        <v>0.75988469322728103</v>
      </c>
      <c r="O124" s="174">
        <f t="shared" si="107"/>
        <v>0.81276308921250795</v>
      </c>
      <c r="P124" s="174">
        <f t="shared" si="107"/>
        <v>0.86504012601925862</v>
      </c>
    </row>
    <row r="125" spans="1:19" s="96" customFormat="1" x14ac:dyDescent="0.2">
      <c r="A125" s="64">
        <v>32</v>
      </c>
      <c r="B125" s="149" t="s">
        <v>188</v>
      </c>
      <c r="C125" s="180">
        <f>IF(+C121+C122-C123-C120&lt;0,0,+C121+C122-C123-C120)</f>
        <v>423031.79597065423</v>
      </c>
      <c r="D125" s="180">
        <f t="shared" ref="D125:P125" si="108">IF(+D121+D122-D123-D120&lt;0,0,+D121+D122-D123-D120)</f>
        <v>390065.9157402243</v>
      </c>
      <c r="E125" s="180">
        <f t="shared" si="108"/>
        <v>378199.03550979437</v>
      </c>
      <c r="F125" s="180">
        <f t="shared" si="108"/>
        <v>390780.25527936441</v>
      </c>
      <c r="G125" s="404">
        <f t="shared" si="108"/>
        <v>359527.77504893456</v>
      </c>
      <c r="H125" s="180">
        <f t="shared" si="108"/>
        <v>320827.39481850457</v>
      </c>
      <c r="I125" s="434">
        <f t="shared" si="108"/>
        <v>279927.01458807464</v>
      </c>
      <c r="J125" s="180">
        <f t="shared" si="108"/>
        <v>251296.7484267737</v>
      </c>
      <c r="K125" s="180">
        <f t="shared" si="108"/>
        <v>221439.47085855986</v>
      </c>
      <c r="L125" s="180">
        <f t="shared" si="108"/>
        <v>190723.28530550702</v>
      </c>
      <c r="M125" s="180">
        <f t="shared" si="108"/>
        <v>159111.38142540777</v>
      </c>
      <c r="N125" s="180">
        <f t="shared" si="108"/>
        <v>126577.99197871692</v>
      </c>
      <c r="O125" s="180">
        <f t="shared" si="108"/>
        <v>93096.245415623067</v>
      </c>
      <c r="P125" s="180">
        <f t="shared" si="108"/>
        <v>58638.497169128452</v>
      </c>
    </row>
    <row r="126" spans="1:19" s="96" customFormat="1" x14ac:dyDescent="0.2">
      <c r="A126" s="64">
        <v>34</v>
      </c>
      <c r="B126" s="65" t="s">
        <v>11</v>
      </c>
      <c r="C126" s="199">
        <f>+'[16]Налог на имущество'!$D$78/1000</f>
        <v>9756.1390647692315</v>
      </c>
      <c r="D126" s="181">
        <f t="shared" ref="D126:P126" si="109">+D125*2.2%</f>
        <v>8581.4501462849348</v>
      </c>
      <c r="E126" s="181">
        <f t="shared" si="109"/>
        <v>8320.3787812154769</v>
      </c>
      <c r="F126" s="181">
        <f t="shared" si="109"/>
        <v>8597.1656161460178</v>
      </c>
      <c r="G126" s="407">
        <f t="shared" si="109"/>
        <v>7909.6110510765611</v>
      </c>
      <c r="H126" s="160">
        <f t="shared" si="109"/>
        <v>7058.202686007101</v>
      </c>
      <c r="I126" s="181">
        <f t="shared" si="109"/>
        <v>6158.394320937643</v>
      </c>
      <c r="J126" s="181">
        <f t="shared" si="109"/>
        <v>5528.5284653890221</v>
      </c>
      <c r="K126" s="181">
        <f t="shared" si="109"/>
        <v>4871.668358888317</v>
      </c>
      <c r="L126" s="181">
        <f t="shared" si="109"/>
        <v>4195.9122767211547</v>
      </c>
      <c r="M126" s="181">
        <f t="shared" si="109"/>
        <v>3500.4503913589715</v>
      </c>
      <c r="N126" s="181">
        <f t="shared" si="109"/>
        <v>2784.7158235317725</v>
      </c>
      <c r="O126" s="181">
        <f t="shared" si="109"/>
        <v>2048.1173991437076</v>
      </c>
      <c r="P126" s="181">
        <f t="shared" si="109"/>
        <v>1290.046937720826</v>
      </c>
    </row>
    <row r="127" spans="1:19" s="96" customFormat="1" x14ac:dyDescent="0.2">
      <c r="A127" s="64">
        <v>35</v>
      </c>
      <c r="B127" s="65" t="s">
        <v>43</v>
      </c>
      <c r="C127" s="171"/>
      <c r="D127" s="171"/>
      <c r="E127" s="171"/>
      <c r="F127" s="171"/>
      <c r="G127" s="408"/>
      <c r="H127" s="449"/>
      <c r="I127" s="171"/>
      <c r="J127" s="171"/>
      <c r="K127" s="171"/>
      <c r="L127" s="171"/>
      <c r="M127" s="171"/>
      <c r="N127" s="171"/>
      <c r="O127" s="171"/>
      <c r="P127" s="171"/>
    </row>
    <row r="128" spans="1:19" s="96" customFormat="1" x14ac:dyDescent="0.2">
      <c r="A128" s="64">
        <v>36</v>
      </c>
      <c r="B128" s="65" t="s">
        <v>44</v>
      </c>
      <c r="C128" s="171"/>
      <c r="D128" s="171"/>
      <c r="E128" s="171"/>
      <c r="F128" s="171"/>
      <c r="G128" s="408"/>
      <c r="H128" s="449"/>
      <c r="I128" s="171"/>
      <c r="J128" s="171"/>
      <c r="K128" s="171"/>
      <c r="L128" s="171"/>
      <c r="M128" s="171"/>
      <c r="N128" s="171"/>
      <c r="O128" s="171"/>
      <c r="P128" s="171"/>
    </row>
    <row r="129" spans="1:17" s="96" customFormat="1" x14ac:dyDescent="0.2">
      <c r="A129" s="64">
        <v>37</v>
      </c>
      <c r="B129" s="65" t="s">
        <v>45</v>
      </c>
      <c r="C129" s="171"/>
      <c r="D129" s="171"/>
      <c r="E129" s="171"/>
      <c r="F129" s="171"/>
      <c r="G129" s="408"/>
      <c r="H129" s="449"/>
      <c r="I129" s="171"/>
      <c r="J129" s="171"/>
      <c r="K129" s="171"/>
      <c r="L129" s="171"/>
      <c r="M129" s="171"/>
      <c r="N129" s="171"/>
      <c r="O129" s="171"/>
      <c r="P129" s="171"/>
    </row>
    <row r="130" spans="1:17" s="96" customFormat="1" x14ac:dyDescent="0.2">
      <c r="A130" s="64">
        <v>38</v>
      </c>
      <c r="B130" s="129" t="s">
        <v>46</v>
      </c>
      <c r="C130" s="171"/>
      <c r="D130" s="171"/>
      <c r="E130" s="171"/>
      <c r="F130" s="171"/>
      <c r="G130" s="408"/>
      <c r="H130" s="449"/>
      <c r="I130" s="171"/>
      <c r="J130" s="171"/>
      <c r="K130" s="171"/>
      <c r="L130" s="171"/>
      <c r="M130" s="171"/>
      <c r="N130" s="171"/>
      <c r="O130" s="171"/>
      <c r="P130" s="171"/>
    </row>
    <row r="131" spans="1:17" s="96" customFormat="1" x14ac:dyDescent="0.2">
      <c r="A131" s="64">
        <v>39</v>
      </c>
      <c r="B131" s="129" t="s">
        <v>360</v>
      </c>
      <c r="C131" s="182">
        <f>C120+C126+C130</f>
        <v>42722.019295199163</v>
      </c>
      <c r="D131" s="182">
        <f t="shared" ref="D131:P131" si="110">D120+D126+D130</f>
        <v>41547.330376714868</v>
      </c>
      <c r="E131" s="182">
        <f t="shared" si="110"/>
        <v>41286.259011645408</v>
      </c>
      <c r="F131" s="182">
        <f t="shared" si="110"/>
        <v>43672.945846575953</v>
      </c>
      <c r="G131" s="409">
        <f t="shared" si="110"/>
        <v>47751.091281506495</v>
      </c>
      <c r="H131" s="450">
        <f t="shared" si="110"/>
        <v>47758.58291643703</v>
      </c>
      <c r="I131" s="182">
        <f t="shared" si="110"/>
        <v>47058.774551367576</v>
      </c>
      <c r="J131" s="182">
        <f t="shared" si="110"/>
        <v>46428.908695818951</v>
      </c>
      <c r="K131" s="182">
        <f t="shared" si="110"/>
        <v>46999.059996231146</v>
      </c>
      <c r="L131" s="182">
        <f t="shared" si="110"/>
        <v>47550.315320976879</v>
      </c>
      <c r="M131" s="182">
        <f t="shared" si="110"/>
        <v>48118.675184734981</v>
      </c>
      <c r="N131" s="182">
        <f t="shared" si="110"/>
        <v>48703.57270823545</v>
      </c>
      <c r="O131" s="182">
        <f t="shared" si="110"/>
        <v>49305.521027648669</v>
      </c>
      <c r="P131" s="182">
        <f t="shared" si="110"/>
        <v>49925.016272766894</v>
      </c>
    </row>
    <row r="132" spans="1:17" s="96" customFormat="1" x14ac:dyDescent="0.2">
      <c r="A132" s="64">
        <v>40</v>
      </c>
      <c r="B132" s="129" t="s">
        <v>13</v>
      </c>
      <c r="C132" s="172"/>
      <c r="D132" s="172"/>
      <c r="E132" s="172"/>
      <c r="F132" s="172"/>
      <c r="G132" s="410"/>
      <c r="H132" s="169"/>
      <c r="I132" s="172"/>
      <c r="J132" s="172"/>
      <c r="K132" s="172"/>
      <c r="L132" s="172"/>
      <c r="M132" s="172"/>
      <c r="N132" s="172"/>
      <c r="O132" s="172"/>
      <c r="P132" s="172"/>
    </row>
    <row r="133" spans="1:17" s="96" customFormat="1" x14ac:dyDescent="0.2">
      <c r="A133" s="64"/>
      <c r="B133" s="168"/>
      <c r="C133" s="169"/>
      <c r="D133" s="169"/>
      <c r="E133" s="169"/>
      <c r="F133" s="169"/>
      <c r="G133" s="411"/>
      <c r="H133" s="169"/>
      <c r="I133" s="172"/>
      <c r="J133" s="169"/>
      <c r="K133" s="169"/>
      <c r="L133" s="169"/>
      <c r="M133" s="169"/>
      <c r="N133" s="169"/>
      <c r="O133" s="169"/>
      <c r="P133" s="169"/>
    </row>
    <row r="134" spans="1:17" s="18" customFormat="1" ht="12" x14ac:dyDescent="0.2">
      <c r="A134" s="56"/>
      <c r="B134" s="256" t="s">
        <v>386</v>
      </c>
      <c r="C134" s="48"/>
      <c r="D134" s="28"/>
      <c r="E134" s="28"/>
      <c r="F134" s="28"/>
      <c r="G134" s="398"/>
      <c r="H134" s="26"/>
      <c r="I134" s="27"/>
      <c r="J134" s="28"/>
      <c r="K134" s="28"/>
      <c r="L134" s="28"/>
      <c r="M134" s="28"/>
      <c r="N134" s="28"/>
      <c r="O134" s="28"/>
      <c r="P134" s="28"/>
      <c r="Q134" s="17"/>
    </row>
    <row r="135" spans="1:17" s="139" customFormat="1" ht="22.5" x14ac:dyDescent="0.2">
      <c r="A135" s="64">
        <v>43</v>
      </c>
      <c r="B135" s="168" t="s">
        <v>231</v>
      </c>
      <c r="C135" s="189">
        <f>SUM(C136:C141)</f>
        <v>2268453.5260198521</v>
      </c>
      <c r="D135" s="189">
        <f t="shared" ref="D135:P135" si="111">SUM(D136:D141)</f>
        <v>2500755.4371468057</v>
      </c>
      <c r="E135" s="189">
        <f t="shared" si="111"/>
        <v>2646877.9463626049</v>
      </c>
      <c r="F135" s="189">
        <f t="shared" si="111"/>
        <v>2730217.7110159355</v>
      </c>
      <c r="G135" s="412">
        <f t="shared" si="111"/>
        <v>2828612.1013466869</v>
      </c>
      <c r="H135" s="189">
        <f t="shared" si="111"/>
        <v>2916424.138297813</v>
      </c>
      <c r="I135" s="435">
        <f t="shared" si="111"/>
        <v>3050047.9345629625</v>
      </c>
      <c r="J135" s="189">
        <f t="shared" si="111"/>
        <v>3045761.2343419692</v>
      </c>
      <c r="K135" s="189">
        <f t="shared" si="111"/>
        <v>3101423.3256979622</v>
      </c>
      <c r="L135" s="189">
        <f t="shared" si="111"/>
        <v>3164807.8533712048</v>
      </c>
      <c r="M135" s="189">
        <f t="shared" si="111"/>
        <v>3220272.2701840471</v>
      </c>
      <c r="N135" s="189">
        <f t="shared" si="111"/>
        <v>3276297.4305023854</v>
      </c>
      <c r="O135" s="189">
        <f t="shared" si="111"/>
        <v>3352484.2842282983</v>
      </c>
      <c r="P135" s="189">
        <f t="shared" si="111"/>
        <v>3450311.898344235</v>
      </c>
      <c r="Q135" s="96"/>
    </row>
    <row r="136" spans="1:17" s="139" customFormat="1" x14ac:dyDescent="0.2">
      <c r="A136" s="64" t="s">
        <v>79</v>
      </c>
      <c r="B136" s="149" t="s">
        <v>193</v>
      </c>
      <c r="C136" s="160">
        <f t="shared" ref="C136:P136" si="112">+C15*C90</f>
        <v>808888.34985838737</v>
      </c>
      <c r="D136" s="160">
        <f t="shared" si="112"/>
        <v>940443.7362846639</v>
      </c>
      <c r="E136" s="160">
        <f t="shared" si="112"/>
        <v>947607.68968306296</v>
      </c>
      <c r="F136" s="160">
        <f t="shared" si="112"/>
        <v>954826.21543525043</v>
      </c>
      <c r="G136" s="160">
        <f t="shared" si="112"/>
        <v>962099.72925328207</v>
      </c>
      <c r="H136" s="160">
        <f t="shared" si="112"/>
        <v>969428.65001595567</v>
      </c>
      <c r="I136" s="160">
        <f t="shared" si="112"/>
        <v>976813.39979293244</v>
      </c>
      <c r="J136" s="160">
        <f t="shared" si="112"/>
        <v>984254.40386904462</v>
      </c>
      <c r="K136" s="160">
        <f t="shared" si="112"/>
        <v>991752.09076878766</v>
      </c>
      <c r="L136" s="160">
        <f t="shared" si="112"/>
        <v>999306.89228099841</v>
      </c>
      <c r="M136" s="160">
        <f t="shared" si="112"/>
        <v>1006919.2434837217</v>
      </c>
      <c r="N136" s="160">
        <f t="shared" si="112"/>
        <v>1014589.5827692666</v>
      </c>
      <c r="O136" s="160">
        <f t="shared" si="112"/>
        <v>1022318.3518694525</v>
      </c>
      <c r="P136" s="160">
        <f t="shared" si="112"/>
        <v>1030105.9958810493</v>
      </c>
      <c r="Q136" s="96"/>
    </row>
    <row r="137" spans="1:17" s="139" customFormat="1" x14ac:dyDescent="0.2">
      <c r="A137" s="64" t="s">
        <v>80</v>
      </c>
      <c r="B137" s="149" t="s">
        <v>194</v>
      </c>
      <c r="C137" s="160">
        <f t="shared" ref="C137:P137" si="113">+C8*C88*12/1000</f>
        <v>194643.05299221311</v>
      </c>
      <c r="D137" s="160">
        <f t="shared" si="113"/>
        <v>230734.2078206123</v>
      </c>
      <c r="E137" s="160">
        <f t="shared" si="113"/>
        <v>239976.62662207414</v>
      </c>
      <c r="F137" s="160">
        <f t="shared" si="113"/>
        <v>249589.26493328469</v>
      </c>
      <c r="G137" s="160">
        <f t="shared" si="113"/>
        <v>259586.95247450916</v>
      </c>
      <c r="H137" s="160">
        <f t="shared" si="113"/>
        <v>247348.22629254728</v>
      </c>
      <c r="I137" s="160">
        <f t="shared" si="113"/>
        <v>263682.54312318726</v>
      </c>
      <c r="J137" s="160">
        <f t="shared" si="113"/>
        <v>280016.85995382722</v>
      </c>
      <c r="K137" s="160">
        <f t="shared" si="113"/>
        <v>291233.3723019904</v>
      </c>
      <c r="L137" s="160">
        <f t="shared" si="113"/>
        <v>302899.17955788609</v>
      </c>
      <c r="M137" s="160">
        <f t="shared" si="113"/>
        <v>315032.2789302587</v>
      </c>
      <c r="N137" s="160">
        <f t="shared" si="113"/>
        <v>327651.38853413716</v>
      </c>
      <c r="O137" s="160">
        <f t="shared" si="113"/>
        <v>340775.97626786138</v>
      </c>
      <c r="P137" s="160">
        <f t="shared" si="113"/>
        <v>354426.28984682262</v>
      </c>
      <c r="Q137" s="96"/>
    </row>
    <row r="138" spans="1:17" s="139" customFormat="1" x14ac:dyDescent="0.2">
      <c r="A138" s="64" t="s">
        <v>81</v>
      </c>
      <c r="B138" s="149" t="s">
        <v>36</v>
      </c>
      <c r="C138" s="160">
        <f t="shared" ref="C138:P138" si="114">+C94*C55</f>
        <v>1203860.8952028635</v>
      </c>
      <c r="D138" s="160">
        <f t="shared" si="114"/>
        <v>1267123.8121822297</v>
      </c>
      <c r="E138" s="160">
        <f t="shared" si="114"/>
        <v>1394341.8019637964</v>
      </c>
      <c r="F138" s="160">
        <f t="shared" si="114"/>
        <v>1465454.1975053952</v>
      </c>
      <c r="G138" s="402">
        <f t="shared" si="114"/>
        <v>1556612.2828087155</v>
      </c>
      <c r="H138" s="160">
        <f t="shared" si="114"/>
        <v>1661165.0532765368</v>
      </c>
      <c r="I138" s="181">
        <f t="shared" si="114"/>
        <v>1777922.4842303616</v>
      </c>
      <c r="J138" s="160">
        <f t="shared" si="114"/>
        <v>1764613.2565092212</v>
      </c>
      <c r="K138" s="160">
        <f t="shared" si="114"/>
        <v>1808374.6467804902</v>
      </c>
      <c r="L138" s="160">
        <f t="shared" si="114"/>
        <v>1852136.037051759</v>
      </c>
      <c r="M138" s="160">
        <f t="shared" si="114"/>
        <v>1887436.3735102823</v>
      </c>
      <c r="N138" s="160">
        <f t="shared" si="114"/>
        <v>1922736.7099688055</v>
      </c>
      <c r="O138" s="160">
        <f t="shared" si="114"/>
        <v>1977617.4168916021</v>
      </c>
      <c r="P138" s="160">
        <f t="shared" si="114"/>
        <v>2053536.1718490049</v>
      </c>
      <c r="Q138" s="96"/>
    </row>
    <row r="139" spans="1:17" s="139" customFormat="1" x14ac:dyDescent="0.2">
      <c r="A139" s="64" t="s">
        <v>195</v>
      </c>
      <c r="B139" s="149" t="s">
        <v>269</v>
      </c>
      <c r="C139" s="516">
        <f>+C80*C100</f>
        <v>53708.134716388529</v>
      </c>
      <c r="D139" s="516">
        <f>+D80*D100</f>
        <v>54806.46387929999</v>
      </c>
      <c r="E139" s="516">
        <f t="shared" ref="E139:P139" si="115">+E80*E100</f>
        <v>56998.722434471994</v>
      </c>
      <c r="F139" s="516">
        <f t="shared" si="115"/>
        <v>52076.803256437721</v>
      </c>
      <c r="G139" s="516">
        <f t="shared" si="115"/>
        <v>41711.057729189873</v>
      </c>
      <c r="H139" s="516">
        <f t="shared" si="115"/>
        <v>29536.046468542929</v>
      </c>
      <c r="I139" s="516">
        <f t="shared" si="115"/>
        <v>22325.498682481681</v>
      </c>
      <c r="J139" s="516">
        <f t="shared" si="115"/>
        <v>7200.5449265169409</v>
      </c>
      <c r="K139" s="516">
        <f t="shared" si="115"/>
        <v>0</v>
      </c>
      <c r="L139" s="516">
        <f t="shared" si="115"/>
        <v>0</v>
      </c>
      <c r="M139" s="516">
        <f t="shared" si="115"/>
        <v>0</v>
      </c>
      <c r="N139" s="516">
        <f t="shared" si="115"/>
        <v>0</v>
      </c>
      <c r="O139" s="516">
        <f t="shared" si="115"/>
        <v>0</v>
      </c>
      <c r="P139" s="516">
        <f t="shared" si="115"/>
        <v>0</v>
      </c>
      <c r="Q139" s="96"/>
    </row>
    <row r="140" spans="1:17" s="139" customFormat="1" x14ac:dyDescent="0.2">
      <c r="A140" s="64" t="s">
        <v>362</v>
      </c>
      <c r="B140" s="149" t="s">
        <v>270</v>
      </c>
      <c r="C140" s="257">
        <f>+[8]ГОД!$S$33+[8]ГОД!$S$39</f>
        <v>7353.0932499999999</v>
      </c>
      <c r="D140" s="160">
        <f t="shared" ref="D140:P140" si="116">+C140*(D104)</f>
        <v>7647.2169800000001</v>
      </c>
      <c r="E140" s="160">
        <f t="shared" si="116"/>
        <v>7953.1056592000004</v>
      </c>
      <c r="F140" s="160">
        <f t="shared" si="116"/>
        <v>8271.2298855680001</v>
      </c>
      <c r="G140" s="160">
        <f t="shared" si="116"/>
        <v>8602.0790809907212</v>
      </c>
      <c r="H140" s="160">
        <f t="shared" si="116"/>
        <v>8946.1622442303506</v>
      </c>
      <c r="I140" s="160">
        <f t="shared" si="116"/>
        <v>9304.0087339995644</v>
      </c>
      <c r="J140" s="160">
        <f t="shared" si="116"/>
        <v>9676.1690833595476</v>
      </c>
      <c r="K140" s="160">
        <f t="shared" si="116"/>
        <v>10063.215846693929</v>
      </c>
      <c r="L140" s="160">
        <f t="shared" si="116"/>
        <v>10465.744480561687</v>
      </c>
      <c r="M140" s="160">
        <f t="shared" si="116"/>
        <v>10884.374259784156</v>
      </c>
      <c r="N140" s="160">
        <f t="shared" si="116"/>
        <v>11319.749230175523</v>
      </c>
      <c r="O140" s="160">
        <f t="shared" si="116"/>
        <v>11772.539199382543</v>
      </c>
      <c r="P140" s="160">
        <f t="shared" si="116"/>
        <v>12243.440767357846</v>
      </c>
      <c r="Q140" s="96"/>
    </row>
    <row r="141" spans="1:17" s="139" customFormat="1" ht="12" thickBot="1" x14ac:dyDescent="0.25">
      <c r="A141" s="64"/>
      <c r="B141" s="149"/>
      <c r="C141" s="579"/>
      <c r="D141" s="580"/>
      <c r="E141" s="186"/>
      <c r="F141" s="186"/>
      <c r="G141" s="413"/>
      <c r="H141" s="186"/>
      <c r="I141" s="170"/>
      <c r="J141" s="186"/>
      <c r="K141" s="186"/>
      <c r="L141" s="186"/>
      <c r="M141" s="186"/>
      <c r="N141" s="186"/>
      <c r="O141" s="186"/>
      <c r="P141" s="186"/>
      <c r="Q141" s="96"/>
    </row>
    <row r="142" spans="1:17" s="139" customFormat="1" ht="22.5" x14ac:dyDescent="0.2">
      <c r="A142" s="64">
        <v>44</v>
      </c>
      <c r="B142" s="572" t="s">
        <v>232</v>
      </c>
      <c r="C142" s="583">
        <f>+C143+C151+C161</f>
        <v>2184482.5898001166</v>
      </c>
      <c r="D142" s="584">
        <f t="shared" ref="D142:P142" si="117">+D143+D151+D161</f>
        <v>2393568.488168004</v>
      </c>
      <c r="E142" s="436">
        <f t="shared" si="117"/>
        <v>2490418.3423114959</v>
      </c>
      <c r="F142" s="193">
        <f t="shared" si="117"/>
        <v>2528611.7737253183</v>
      </c>
      <c r="G142" s="414">
        <f t="shared" si="117"/>
        <v>2572990.5903819702</v>
      </c>
      <c r="H142" s="193">
        <f t="shared" si="117"/>
        <v>2613605.0949447751</v>
      </c>
      <c r="I142" s="436">
        <f t="shared" si="117"/>
        <v>2673466.3438529982</v>
      </c>
      <c r="J142" s="193">
        <f t="shared" si="117"/>
        <v>2724659.6098943716</v>
      </c>
      <c r="K142" s="193">
        <f t="shared" si="117"/>
        <v>2815193.7966951113</v>
      </c>
      <c r="L142" s="193">
        <f t="shared" si="117"/>
        <v>2927200.7437941739</v>
      </c>
      <c r="M142" s="193">
        <f t="shared" si="117"/>
        <v>3038630.8396676686</v>
      </c>
      <c r="N142" s="193">
        <f t="shared" si="117"/>
        <v>3154251.1812087651</v>
      </c>
      <c r="O142" s="193">
        <f t="shared" si="117"/>
        <v>3274216.3743658373</v>
      </c>
      <c r="P142" s="193">
        <f t="shared" si="117"/>
        <v>3398686.6512491009</v>
      </c>
      <c r="Q142" s="96"/>
    </row>
    <row r="143" spans="1:17" s="18" customFormat="1" x14ac:dyDescent="0.2">
      <c r="A143" s="56" t="s">
        <v>156</v>
      </c>
      <c r="B143" s="573" t="s">
        <v>157</v>
      </c>
      <c r="C143" s="585">
        <f>SUM(C144:C150)</f>
        <v>280457.86413778079</v>
      </c>
      <c r="D143" s="586">
        <f t="shared" ref="D143" si="118">SUM(D144:D150)</f>
        <v>335291.20880858175</v>
      </c>
      <c r="E143" s="601">
        <f>+E177+E186+E195</f>
        <v>349562.46155383217</v>
      </c>
      <c r="F143" s="601">
        <f>+F177+F186+F195</f>
        <v>358650.78216509765</v>
      </c>
      <c r="G143" s="601">
        <f t="shared" ref="G143:P143" si="119">+G177+G186+G195</f>
        <v>365624.81359270576</v>
      </c>
      <c r="H143" s="601">
        <f t="shared" si="119"/>
        <v>372354.44911766512</v>
      </c>
      <c r="I143" s="601">
        <f t="shared" si="119"/>
        <v>382333.21039683715</v>
      </c>
      <c r="J143" s="601">
        <f t="shared" si="119"/>
        <v>388620.7368085339</v>
      </c>
      <c r="K143" s="601">
        <f t="shared" si="119"/>
        <v>401156.35755930713</v>
      </c>
      <c r="L143" s="601">
        <f t="shared" si="119"/>
        <v>418276.67918978969</v>
      </c>
      <c r="M143" s="601">
        <f t="shared" si="119"/>
        <v>435891.36868877697</v>
      </c>
      <c r="N143" s="601">
        <f t="shared" si="119"/>
        <v>454230.24778939143</v>
      </c>
      <c r="O143" s="601">
        <f t="shared" si="119"/>
        <v>473322.85558797035</v>
      </c>
      <c r="P143" s="601">
        <f t="shared" si="119"/>
        <v>493199.92917465151</v>
      </c>
      <c r="Q143" s="17"/>
    </row>
    <row r="144" spans="1:17" x14ac:dyDescent="0.2">
      <c r="A144" s="2"/>
      <c r="B144" s="574" t="s">
        <v>196</v>
      </c>
      <c r="C144" s="587">
        <f>+'[4]+Оп_i0'!$F$6+'[4]+Оп_i0'!$J$6</f>
        <v>15368.847504990816</v>
      </c>
      <c r="D144" s="588">
        <f>+'[4]+Оп_i0'!$Q$6+'[4]+Оп_i0'!$U$6</f>
        <v>15944.658018844006</v>
      </c>
      <c r="E144" s="602">
        <f>+D144*E$104</f>
        <v>16582.444339597765</v>
      </c>
      <c r="F144" s="602">
        <f>+E144*F$143/E$143</f>
        <v>17013.573500340102</v>
      </c>
      <c r="G144" s="602">
        <f t="shared" ref="G144:P144" si="120">+F144*G$143/F$143</f>
        <v>17344.405613882442</v>
      </c>
      <c r="H144" s="602">
        <f t="shared" si="120"/>
        <v>17663.644144308091</v>
      </c>
      <c r="I144" s="602">
        <f t="shared" si="120"/>
        <v>18137.013775459178</v>
      </c>
      <c r="J144" s="602">
        <f t="shared" si="120"/>
        <v>18435.279659880111</v>
      </c>
      <c r="K144" s="602">
        <f t="shared" si="120"/>
        <v>19029.940861308893</v>
      </c>
      <c r="L144" s="602">
        <f t="shared" si="120"/>
        <v>19842.089795297816</v>
      </c>
      <c r="M144" s="602">
        <f t="shared" si="120"/>
        <v>20677.690411215983</v>
      </c>
      <c r="N144" s="602">
        <f t="shared" si="120"/>
        <v>21547.644926883338</v>
      </c>
      <c r="O144" s="602">
        <f t="shared" si="120"/>
        <v>22453.354609525988</v>
      </c>
      <c r="P144" s="602">
        <f t="shared" si="120"/>
        <v>23396.277556458233</v>
      </c>
    </row>
    <row r="145" spans="1:18" x14ac:dyDescent="0.2">
      <c r="A145" s="2"/>
      <c r="B145" s="575" t="s">
        <v>456</v>
      </c>
      <c r="C145" s="587">
        <f>+'[4]+Оп_i0'!$F$12+'[4]+Оп_i0'!$J$12</f>
        <v>81799.078399999999</v>
      </c>
      <c r="D145" s="612">
        <f>+[9]ГОД!$Q$51+[9]ГОД!$Q$64+[9]ГОД!$Q$65</f>
        <v>116053</v>
      </c>
      <c r="E145" s="602">
        <f t="shared" ref="E145:F150" si="121">+D145*E$143/D$143</f>
        <v>120992.65141743423</v>
      </c>
      <c r="F145" s="602">
        <f t="shared" si="121"/>
        <v>124138.35534342454</v>
      </c>
      <c r="G145" s="602">
        <f t="shared" ref="G145:P145" si="122">+F145*G$143/F$143</f>
        <v>126552.24884258356</v>
      </c>
      <c r="H145" s="602">
        <f t="shared" si="122"/>
        <v>128881.55056914323</v>
      </c>
      <c r="I145" s="602">
        <f t="shared" si="122"/>
        <v>132335.4591486339</v>
      </c>
      <c r="J145" s="602">
        <f t="shared" si="122"/>
        <v>134511.73542277035</v>
      </c>
      <c r="K145" s="602">
        <f t="shared" si="122"/>
        <v>138850.63950605644</v>
      </c>
      <c r="L145" s="602">
        <f t="shared" si="122"/>
        <v>144776.42769848322</v>
      </c>
      <c r="M145" s="602">
        <f t="shared" si="122"/>
        <v>150873.32945648019</v>
      </c>
      <c r="N145" s="602">
        <f t="shared" si="122"/>
        <v>157220.89205385998</v>
      </c>
      <c r="O145" s="602">
        <f t="shared" si="122"/>
        <v>163829.33973944621</v>
      </c>
      <c r="P145" s="602">
        <f t="shared" si="122"/>
        <v>170709.31141884704</v>
      </c>
    </row>
    <row r="146" spans="1:18" x14ac:dyDescent="0.2">
      <c r="A146" s="2"/>
      <c r="B146" s="575" t="s">
        <v>197</v>
      </c>
      <c r="C146" s="587">
        <f>+'[4]+Оп_i0'!$F$16+'[4]+Оп_i0'!$J$16</f>
        <v>137544.36532482569</v>
      </c>
      <c r="D146" s="588">
        <f>+'[4]+Оп_i0'!$Q$16+'[4]+Оп_i0'!$U$16</f>
        <v>160484.42457704939</v>
      </c>
      <c r="E146" s="602">
        <f t="shared" si="121"/>
        <v>167315.24424856273</v>
      </c>
      <c r="F146" s="602">
        <f t="shared" si="121"/>
        <v>171665.29538427072</v>
      </c>
      <c r="G146" s="602">
        <f t="shared" ref="G146:P146" si="123">+F146*G$143/F$143</f>
        <v>175003.35910690448</v>
      </c>
      <c r="H146" s="602">
        <f t="shared" si="123"/>
        <v>178224.44470790794</v>
      </c>
      <c r="I146" s="602">
        <f t="shared" si="123"/>
        <v>183000.69806560909</v>
      </c>
      <c r="J146" s="602">
        <f t="shared" si="123"/>
        <v>186010.17171622967</v>
      </c>
      <c r="K146" s="602">
        <f t="shared" si="123"/>
        <v>192010.24517491818</v>
      </c>
      <c r="L146" s="602">
        <f t="shared" si="123"/>
        <v>200204.7486192676</v>
      </c>
      <c r="M146" s="602">
        <f t="shared" si="123"/>
        <v>208635.87724442114</v>
      </c>
      <c r="N146" s="602">
        <f t="shared" si="123"/>
        <v>217413.63336367093</v>
      </c>
      <c r="O146" s="602">
        <f t="shared" si="123"/>
        <v>226552.15562650634</v>
      </c>
      <c r="P146" s="602">
        <f t="shared" si="123"/>
        <v>236066.15609245756</v>
      </c>
    </row>
    <row r="147" spans="1:18" ht="22.5" x14ac:dyDescent="0.2">
      <c r="A147" s="2"/>
      <c r="B147" s="574" t="s">
        <v>198</v>
      </c>
      <c r="C147" s="587">
        <f>+'[4]+Оп_i0'!$F$17+'[4]+Оп_i0'!$J$17</f>
        <v>15429.176050588616</v>
      </c>
      <c r="D147" s="588">
        <f>+'[4]+Оп_i0'!$Q$17+'[4]+Оп_i0'!$U$17</f>
        <v>16007.24683872909</v>
      </c>
      <c r="E147" s="602">
        <f t="shared" si="121"/>
        <v>16688.575365662022</v>
      </c>
      <c r="F147" s="602">
        <f t="shared" si="121"/>
        <v>17122.463840969736</v>
      </c>
      <c r="G147" s="602">
        <f t="shared" ref="G147:P147" si="124">+F147*G$143/F$143</f>
        <v>17455.413347517966</v>
      </c>
      <c r="H147" s="602">
        <f t="shared" si="124"/>
        <v>17776.69506965284</v>
      </c>
      <c r="I147" s="602">
        <f t="shared" si="124"/>
        <v>18253.094362995631</v>
      </c>
      <c r="J147" s="602">
        <f t="shared" si="124"/>
        <v>18553.269209913604</v>
      </c>
      <c r="K147" s="602">
        <f t="shared" si="124"/>
        <v>19151.736364323486</v>
      </c>
      <c r="L147" s="602">
        <f t="shared" si="124"/>
        <v>19969.08321714247</v>
      </c>
      <c r="M147" s="602">
        <f t="shared" si="124"/>
        <v>20810.031847438444</v>
      </c>
      <c r="N147" s="602">
        <f t="shared" si="124"/>
        <v>21685.554249449098</v>
      </c>
      <c r="O147" s="602">
        <f t="shared" si="124"/>
        <v>22597.060658796607</v>
      </c>
      <c r="P147" s="602">
        <f t="shared" si="124"/>
        <v>23546.01850491549</v>
      </c>
    </row>
    <row r="148" spans="1:18" ht="22.5" x14ac:dyDescent="0.2">
      <c r="A148" s="2"/>
      <c r="B148" s="574" t="s">
        <v>199</v>
      </c>
      <c r="C148" s="587">
        <f>+'[4]+Оп_i0'!$F$25+'[4]+Оп_i0'!$J$25</f>
        <v>10266.948961034794</v>
      </c>
      <c r="D148" s="588">
        <f>+'[4]+Оп_i0'!$Q$25+'[4]+Оп_i0'!$U$25</f>
        <v>12164.411343652868</v>
      </c>
      <c r="E148" s="602">
        <f t="shared" si="121"/>
        <v>12682.174363444927</v>
      </c>
      <c r="F148" s="602">
        <f t="shared" si="121"/>
        <v>13011.899889894825</v>
      </c>
      <c r="G148" s="602">
        <f t="shared" ref="G148:P148" si="125">+F148*G$143/F$143</f>
        <v>13264.91871287691</v>
      </c>
      <c r="H148" s="602">
        <f t="shared" si="125"/>
        <v>13509.070818771223</v>
      </c>
      <c r="I148" s="602">
        <f t="shared" si="125"/>
        <v>13871.101655581095</v>
      </c>
      <c r="J148" s="602">
        <f t="shared" si="125"/>
        <v>14099.21398181159</v>
      </c>
      <c r="K148" s="602">
        <f t="shared" si="125"/>
        <v>14554.008033234191</v>
      </c>
      <c r="L148" s="602">
        <f t="shared" si="125"/>
        <v>15175.135665506003</v>
      </c>
      <c r="M148" s="602">
        <f t="shared" si="125"/>
        <v>15814.199032296308</v>
      </c>
      <c r="N148" s="602">
        <f t="shared" si="125"/>
        <v>16479.536097810455</v>
      </c>
      <c r="O148" s="602">
        <f t="shared" si="125"/>
        <v>17172.218544541531</v>
      </c>
      <c r="P148" s="602">
        <f t="shared" si="125"/>
        <v>17893.361518363094</v>
      </c>
    </row>
    <row r="149" spans="1:18" x14ac:dyDescent="0.2">
      <c r="A149" s="2"/>
      <c r="B149" s="575" t="str">
        <f>+'[14]5.1.Опер_i0'!$B$19</f>
        <v>Арендная плата</v>
      </c>
      <c r="C149" s="587">
        <f>+'[4]+Оп_i0'!$F$36+'[4]+Оп_i0'!$J$36</f>
        <v>895.75802657569011</v>
      </c>
      <c r="D149" s="588">
        <f>+'[4]+Оп_i0'!$Q$36+'[4]+Оп_i0'!$U$36</f>
        <v>1006.8900661141939</v>
      </c>
      <c r="E149" s="602">
        <f t="shared" si="121"/>
        <v>1049.7470878394524</v>
      </c>
      <c r="F149" s="602">
        <f t="shared" si="121"/>
        <v>1077.0396010361476</v>
      </c>
      <c r="G149" s="602">
        <f t="shared" ref="G149:P149" si="126">+F149*G$143/F$143</f>
        <v>1097.9828371865344</v>
      </c>
      <c r="H149" s="602">
        <f t="shared" si="126"/>
        <v>1118.1921447395971</v>
      </c>
      <c r="I149" s="602">
        <f t="shared" si="126"/>
        <v>1148.1586793225524</v>
      </c>
      <c r="J149" s="602">
        <f t="shared" si="126"/>
        <v>1167.0403192762631</v>
      </c>
      <c r="K149" s="602">
        <f t="shared" si="126"/>
        <v>1204.6851834269794</v>
      </c>
      <c r="L149" s="602">
        <f t="shared" si="126"/>
        <v>1256.0980487975539</v>
      </c>
      <c r="M149" s="602">
        <f t="shared" si="126"/>
        <v>1308.9955164563073</v>
      </c>
      <c r="N149" s="602">
        <f t="shared" si="126"/>
        <v>1364.0677483101992</v>
      </c>
      <c r="O149" s="602">
        <f t="shared" si="126"/>
        <v>1421.4034511963987</v>
      </c>
      <c r="P149" s="602">
        <f t="shared" si="126"/>
        <v>1481.0949295652101</v>
      </c>
    </row>
    <row r="150" spans="1:18" x14ac:dyDescent="0.2">
      <c r="A150" s="2"/>
      <c r="B150" s="576" t="s">
        <v>126</v>
      </c>
      <c r="C150" s="587">
        <f>+'[4]+Оп_i0'!$F$33+'[4]+Оп_i0'!$F$34+'[4]+Оп_i0'!$F$37+'[4]+Оп_i0'!$J$33+'[4]+Оп_i0'!$J$34+'[4]+Оп_i0'!$J$37</f>
        <v>19153.689869765214</v>
      </c>
      <c r="D150" s="588">
        <f>+'[4]+Оп_i0'!$Q$33+'[4]+Оп_i0'!$Q$34+'[4]+Оп_i0'!$Q$37+'[4]+Оп_i0'!$U$33+'[4]+Оп_i0'!$U$34+'[4]+Оп_i0'!$U$37</f>
        <v>13630.577964192205</v>
      </c>
      <c r="E150" s="602">
        <f t="shared" si="121"/>
        <v>14210.746540284763</v>
      </c>
      <c r="F150" s="602">
        <f t="shared" si="121"/>
        <v>14580.213616667765</v>
      </c>
      <c r="G150" s="602">
        <f t="shared" ref="G150:P150" si="127">+F150*G$143/F$143</f>
        <v>14863.728592907446</v>
      </c>
      <c r="H150" s="602">
        <f t="shared" si="127"/>
        <v>15137.308153849423</v>
      </c>
      <c r="I150" s="602">
        <f t="shared" si="127"/>
        <v>15542.974273414962</v>
      </c>
      <c r="J150" s="602">
        <f t="shared" si="127"/>
        <v>15798.580793076138</v>
      </c>
      <c r="K150" s="602">
        <f t="shared" si="127"/>
        <v>16308.190802178729</v>
      </c>
      <c r="L150" s="602">
        <f t="shared" si="127"/>
        <v>17004.182443550886</v>
      </c>
      <c r="M150" s="602">
        <f t="shared" si="127"/>
        <v>17720.271598957454</v>
      </c>
      <c r="N150" s="602">
        <f t="shared" si="127"/>
        <v>18465.801200658188</v>
      </c>
      <c r="O150" s="602">
        <f t="shared" si="127"/>
        <v>19241.97210016676</v>
      </c>
      <c r="P150" s="602">
        <f t="shared" si="127"/>
        <v>20050.033850983258</v>
      </c>
    </row>
    <row r="151" spans="1:18" s="18" customFormat="1" x14ac:dyDescent="0.2">
      <c r="A151" s="56" t="s">
        <v>158</v>
      </c>
      <c r="B151" s="573" t="s">
        <v>159</v>
      </c>
      <c r="C151" s="585">
        <f>SUM(C152:C160)</f>
        <v>122925.00426784402</v>
      </c>
      <c r="D151" s="586">
        <f t="shared" ref="D151" si="128">SUM(D152:D160)</f>
        <v>134009.20016616047</v>
      </c>
      <c r="E151" s="601">
        <f>+E178+E187+E196</f>
        <v>139637.35694595287</v>
      </c>
      <c r="F151" s="601">
        <f t="shared" ref="F151:P151" si="129">+F178+F187+F196</f>
        <v>144903.84430700194</v>
      </c>
      <c r="G151" s="601">
        <f t="shared" si="129"/>
        <v>150487.47074660432</v>
      </c>
      <c r="H151" s="601">
        <f t="shared" si="129"/>
        <v>156364.87715940733</v>
      </c>
      <c r="I151" s="601">
        <f t="shared" si="129"/>
        <v>162493.08549332313</v>
      </c>
      <c r="J151" s="601">
        <f t="shared" si="129"/>
        <v>168868.81786346366</v>
      </c>
      <c r="K151" s="601">
        <f t="shared" si="129"/>
        <v>169544.59066094851</v>
      </c>
      <c r="L151" s="601">
        <f t="shared" si="129"/>
        <v>176660.97375482065</v>
      </c>
      <c r="M151" s="601">
        <f t="shared" si="129"/>
        <v>184002.68368082662</v>
      </c>
      <c r="N151" s="601">
        <f t="shared" si="129"/>
        <v>191644.16853540862</v>
      </c>
      <c r="O151" s="601">
        <f t="shared" si="129"/>
        <v>199597.59735641239</v>
      </c>
      <c r="P151" s="601">
        <f t="shared" si="129"/>
        <v>207875.63106154671</v>
      </c>
      <c r="Q151" s="17"/>
    </row>
    <row r="152" spans="1:18" ht="22.5" x14ac:dyDescent="0.2">
      <c r="A152" s="2"/>
      <c r="B152" s="577" t="s">
        <v>202</v>
      </c>
      <c r="C152" s="587">
        <f>+'[4]+Рег'!$E$19</f>
        <v>248.70581999999999</v>
      </c>
      <c r="D152" s="589">
        <f>+'[4]+Рег'!$H$19</f>
        <v>248.70582000000005</v>
      </c>
      <c r="E152" s="602">
        <f>+D152*E$151/D$151</f>
        <v>259.15103827808275</v>
      </c>
      <c r="F152" s="602">
        <f t="shared" ref="F152:P152" si="130">+E152*F$151/E$151</f>
        <v>268.92503928715746</v>
      </c>
      <c r="G152" s="602">
        <f t="shared" si="130"/>
        <v>279.2876143231486</v>
      </c>
      <c r="H152" s="602">
        <f t="shared" si="130"/>
        <v>290.19541154570487</v>
      </c>
      <c r="I152" s="602">
        <f t="shared" si="130"/>
        <v>301.568668582741</v>
      </c>
      <c r="J152" s="602">
        <f t="shared" si="130"/>
        <v>313.40130205305667</v>
      </c>
      <c r="K152" s="602">
        <f t="shared" si="130"/>
        <v>314.65545943571226</v>
      </c>
      <c r="L152" s="602">
        <f t="shared" si="130"/>
        <v>327.86265633414234</v>
      </c>
      <c r="M152" s="602">
        <f t="shared" si="130"/>
        <v>341.48803418197264</v>
      </c>
      <c r="N152" s="602">
        <f t="shared" si="130"/>
        <v>355.66976017108351</v>
      </c>
      <c r="O152" s="602">
        <f t="shared" si="130"/>
        <v>370.43041865040237</v>
      </c>
      <c r="P152" s="602">
        <f t="shared" si="130"/>
        <v>385.79350684188722</v>
      </c>
    </row>
    <row r="153" spans="1:18" x14ac:dyDescent="0.2">
      <c r="A153" s="2"/>
      <c r="B153" s="335" t="str">
        <f>+[15]ГОД!$B$54</f>
        <v>Услуги операторов рынка</v>
      </c>
      <c r="C153" s="194">
        <f>+[15]ГОД!$AL$54</f>
        <v>19208.5157</v>
      </c>
      <c r="D153" s="159">
        <f>+[9]ГОД!$Q$108</f>
        <v>24258.234079999998</v>
      </c>
      <c r="E153" s="602">
        <f>+D153*E$151/D$151</f>
        <v>25277.038344437497</v>
      </c>
      <c r="F153" s="602">
        <f t="shared" ref="F153" si="131">+E153*F$151/E$151</f>
        <v>26230.37351116697</v>
      </c>
      <c r="G153" s="602">
        <f t="shared" ref="G153" si="132">+F153*G$151/F$151</f>
        <v>27241.116930418826</v>
      </c>
      <c r="H153" s="602">
        <f t="shared" ref="H153" si="133">+G153*H$151/G$151</f>
        <v>28305.040156348739</v>
      </c>
      <c r="I153" s="602">
        <f t="shared" ref="I153" si="134">+H153*I$151/H$151</f>
        <v>29414.363337673683</v>
      </c>
      <c r="J153" s="602">
        <f t="shared" ref="J153" si="135">+I153*J$151/I$151</f>
        <v>30568.49311439447</v>
      </c>
      <c r="K153" s="602">
        <f t="shared" ref="K153" si="136">+J153*K$151/J$151</f>
        <v>30690.820944766998</v>
      </c>
      <c r="L153" s="602">
        <f t="shared" ref="L153" si="137">+K153*L$151/K$151</f>
        <v>31979.022700169291</v>
      </c>
      <c r="M153" s="602">
        <f t="shared" ref="M153" si="138">+L153*M$151/L$151</f>
        <v>33308.012931524201</v>
      </c>
      <c r="N153" s="602">
        <f t="shared" ref="N153" si="139">+M153*N$151/M$151</f>
        <v>34691.268171398646</v>
      </c>
      <c r="O153" s="602">
        <f t="shared" ref="O153" si="140">+N153*O$151/N$151</f>
        <v>36130.991248913488</v>
      </c>
      <c r="P153" s="602">
        <f t="shared" ref="P153" si="141">+O153*P$151/O$151</f>
        <v>37629.474032873768</v>
      </c>
    </row>
    <row r="154" spans="1:18" x14ac:dyDescent="0.2">
      <c r="A154" s="2"/>
      <c r="B154" s="575" t="str">
        <f>+B149</f>
        <v>Арендная плата</v>
      </c>
      <c r="C154" s="590"/>
      <c r="D154" s="591"/>
      <c r="E154" s="602">
        <f t="shared" ref="E154:P154" si="142">+D154*E$151/D$151</f>
        <v>0</v>
      </c>
      <c r="F154" s="602">
        <f t="shared" si="142"/>
        <v>0</v>
      </c>
      <c r="G154" s="602">
        <f t="shared" si="142"/>
        <v>0</v>
      </c>
      <c r="H154" s="602">
        <f t="shared" si="142"/>
        <v>0</v>
      </c>
      <c r="I154" s="602">
        <f t="shared" si="142"/>
        <v>0</v>
      </c>
      <c r="J154" s="602">
        <f t="shared" si="142"/>
        <v>0</v>
      </c>
      <c r="K154" s="602">
        <f t="shared" si="142"/>
        <v>0</v>
      </c>
      <c r="L154" s="602">
        <f t="shared" si="142"/>
        <v>0</v>
      </c>
      <c r="M154" s="602">
        <f t="shared" si="142"/>
        <v>0</v>
      </c>
      <c r="N154" s="602">
        <f t="shared" si="142"/>
        <v>0</v>
      </c>
      <c r="O154" s="602">
        <f t="shared" si="142"/>
        <v>0</v>
      </c>
      <c r="P154" s="602">
        <f t="shared" si="142"/>
        <v>0</v>
      </c>
    </row>
    <row r="155" spans="1:18" x14ac:dyDescent="0.2">
      <c r="A155" s="2"/>
      <c r="B155" s="576" t="s">
        <v>200</v>
      </c>
      <c r="C155" s="587">
        <f>+'[4]+А,С,Н'!$F$13+'[4]+А,С,Н'!$J$13</f>
        <v>6523.9421600000005</v>
      </c>
      <c r="D155" s="589">
        <f>+C155</f>
        <v>6523.9421600000005</v>
      </c>
      <c r="E155" s="602">
        <f t="shared" ref="E155:P155" si="143">+D155*E$151/D$151</f>
        <v>6797.9365518272061</v>
      </c>
      <c r="F155" s="602">
        <f t="shared" si="143"/>
        <v>7054.3238661851292</v>
      </c>
      <c r="G155" s="602">
        <f t="shared" si="143"/>
        <v>7326.1503966759146</v>
      </c>
      <c r="H155" s="602">
        <f t="shared" si="143"/>
        <v>7612.2789568075814</v>
      </c>
      <c r="I155" s="602">
        <f t="shared" si="143"/>
        <v>7910.6172549641606</v>
      </c>
      <c r="J155" s="602">
        <f t="shared" si="143"/>
        <v>8221.0057145539668</v>
      </c>
      <c r="K155" s="602">
        <f t="shared" si="143"/>
        <v>8253.9042218103805</v>
      </c>
      <c r="L155" s="602">
        <f t="shared" si="143"/>
        <v>8600.3496273143173</v>
      </c>
      <c r="M155" s="602">
        <f t="shared" si="143"/>
        <v>8957.7645723581845</v>
      </c>
      <c r="N155" s="602">
        <f t="shared" si="143"/>
        <v>9329.7733982148857</v>
      </c>
      <c r="O155" s="602">
        <f t="shared" si="143"/>
        <v>9716.9685276356195</v>
      </c>
      <c r="P155" s="602">
        <f t="shared" si="143"/>
        <v>10119.966329457169</v>
      </c>
    </row>
    <row r="156" spans="1:18" x14ac:dyDescent="0.2">
      <c r="A156" s="2"/>
      <c r="B156" s="576" t="s">
        <v>34</v>
      </c>
      <c r="C156" s="592">
        <f t="shared" ref="C156:D156" si="144">+C126</f>
        <v>9756.1390647692315</v>
      </c>
      <c r="D156" s="593">
        <f t="shared" si="144"/>
        <v>8581.4501462849348</v>
      </c>
      <c r="E156" s="602">
        <f t="shared" ref="E156:P156" si="145">+D156*E$151/D$151</f>
        <v>8941.8563479589884</v>
      </c>
      <c r="F156" s="602">
        <f t="shared" si="145"/>
        <v>9279.1025868653123</v>
      </c>
      <c r="G156" s="602">
        <f t="shared" si="145"/>
        <v>9636.6572313786364</v>
      </c>
      <c r="H156" s="602">
        <f t="shared" si="145"/>
        <v>10013.024451378362</v>
      </c>
      <c r="I156" s="602">
        <f t="shared" si="145"/>
        <v>10405.452092453304</v>
      </c>
      <c r="J156" s="602">
        <f t="shared" si="145"/>
        <v>10813.730251061641</v>
      </c>
      <c r="K156" s="602">
        <f t="shared" si="145"/>
        <v>10857.004224524966</v>
      </c>
      <c r="L156" s="602">
        <f t="shared" si="145"/>
        <v>11312.710897396741</v>
      </c>
      <c r="M156" s="602">
        <f t="shared" si="145"/>
        <v>11782.84666151135</v>
      </c>
      <c r="N156" s="602">
        <f t="shared" si="145"/>
        <v>12272.178895730189</v>
      </c>
      <c r="O156" s="602">
        <f t="shared" si="145"/>
        <v>12781.486859921026</v>
      </c>
      <c r="P156" s="602">
        <f t="shared" si="145"/>
        <v>13311.581312106366</v>
      </c>
    </row>
    <row r="157" spans="1:18" x14ac:dyDescent="0.2">
      <c r="A157" s="2"/>
      <c r="B157" s="576" t="s">
        <v>38</v>
      </c>
      <c r="C157" s="594">
        <f>+C146*$R157</f>
        <v>43224.832646178787</v>
      </c>
      <c r="D157" s="595">
        <f t="shared" ref="D157" si="146">+D146*$R157</f>
        <v>50433.999082979542</v>
      </c>
      <c r="E157" s="602">
        <f t="shared" ref="E157:P157" si="147">+D157*E$151/D$151</f>
        <v>52552.140624895794</v>
      </c>
      <c r="F157" s="602">
        <f t="shared" si="147"/>
        <v>54534.168861825325</v>
      </c>
      <c r="G157" s="602">
        <f t="shared" si="147"/>
        <v>56635.551530966251</v>
      </c>
      <c r="H157" s="602">
        <f t="shared" si="147"/>
        <v>58847.497496363161</v>
      </c>
      <c r="I157" s="602">
        <f t="shared" si="147"/>
        <v>61153.832084658556</v>
      </c>
      <c r="J157" s="602">
        <f t="shared" si="147"/>
        <v>63553.321672763632</v>
      </c>
      <c r="K157" s="602">
        <f t="shared" si="147"/>
        <v>63807.646932569638</v>
      </c>
      <c r="L157" s="602">
        <f t="shared" si="147"/>
        <v>66485.878412090911</v>
      </c>
      <c r="M157" s="602">
        <f t="shared" si="147"/>
        <v>69248.911033855547</v>
      </c>
      <c r="N157" s="602">
        <f t="shared" si="147"/>
        <v>72124.763137074871</v>
      </c>
      <c r="O157" s="602">
        <f t="shared" si="147"/>
        <v>75118.014506142717</v>
      </c>
      <c r="P157" s="602">
        <f t="shared" si="147"/>
        <v>78233.43004310556</v>
      </c>
      <c r="R157" s="45">
        <f>+[15]ГОД!$AK$51/[15]ГОД!$AK$49</f>
        <v>0.31426102075573026</v>
      </c>
    </row>
    <row r="158" spans="1:18" x14ac:dyDescent="0.2">
      <c r="A158" s="2"/>
      <c r="B158" s="576" t="s">
        <v>203</v>
      </c>
      <c r="C158" s="587">
        <f>+'[4]+А,С,Н'!$F$17+'[4]+А,С,Н'!$F$21+'[4]+А,С,Н'!$J$17+'[4]+А,С,Н'!$J$21</f>
        <v>10996.988646466081</v>
      </c>
      <c r="D158" s="589">
        <f>+C158</f>
        <v>10996.988646466081</v>
      </c>
      <c r="E158" s="602">
        <f t="shared" ref="E158:P158" si="148">+D158*E$151/D$151</f>
        <v>11458.84332607887</v>
      </c>
      <c r="F158" s="602">
        <f t="shared" si="148"/>
        <v>11891.018890475965</v>
      </c>
      <c r="G158" s="602">
        <f t="shared" si="148"/>
        <v>12349.219346013946</v>
      </c>
      <c r="H158" s="602">
        <f t="shared" si="148"/>
        <v>12831.527810747122</v>
      </c>
      <c r="I158" s="602">
        <f t="shared" si="148"/>
        <v>13334.41744360584</v>
      </c>
      <c r="J158" s="602">
        <f t="shared" si="148"/>
        <v>13857.619256618724</v>
      </c>
      <c r="K158" s="602">
        <f t="shared" si="148"/>
        <v>13913.074149061313</v>
      </c>
      <c r="L158" s="602">
        <f t="shared" si="148"/>
        <v>14497.054830911369</v>
      </c>
      <c r="M158" s="602">
        <f t="shared" si="148"/>
        <v>15099.526158266715</v>
      </c>
      <c r="N158" s="602">
        <f t="shared" si="148"/>
        <v>15726.59744951975</v>
      </c>
      <c r="O158" s="602">
        <f t="shared" si="148"/>
        <v>16379.267313503764</v>
      </c>
      <c r="P158" s="602">
        <f t="shared" si="148"/>
        <v>17058.574723424514</v>
      </c>
    </row>
    <row r="159" spans="1:18" x14ac:dyDescent="0.2">
      <c r="A159" s="2"/>
      <c r="B159" s="576" t="s">
        <v>25</v>
      </c>
      <c r="C159" s="592">
        <f>+C120</f>
        <v>32965.880230429932</v>
      </c>
      <c r="D159" s="593">
        <f t="shared" ref="D159" si="149">+D120</f>
        <v>32965.880230429932</v>
      </c>
      <c r="E159" s="602">
        <f t="shared" ref="E159:P160" si="150">+D159*E$151/D$151</f>
        <v>34350.390712476445</v>
      </c>
      <c r="F159" s="602">
        <f t="shared" si="150"/>
        <v>35645.931551196096</v>
      </c>
      <c r="G159" s="602">
        <f t="shared" si="150"/>
        <v>37019.487696827615</v>
      </c>
      <c r="H159" s="602">
        <f t="shared" si="150"/>
        <v>38465.312876216689</v>
      </c>
      <c r="I159" s="602">
        <f t="shared" si="150"/>
        <v>39972.834611384875</v>
      </c>
      <c r="J159" s="602">
        <f t="shared" si="150"/>
        <v>41541.246552018201</v>
      </c>
      <c r="K159" s="602">
        <f t="shared" si="150"/>
        <v>41707.484728779542</v>
      </c>
      <c r="L159" s="602">
        <f t="shared" si="150"/>
        <v>43458.094630603919</v>
      </c>
      <c r="M159" s="602">
        <f t="shared" si="150"/>
        <v>45264.134289128699</v>
      </c>
      <c r="N159" s="602">
        <f t="shared" si="150"/>
        <v>47143.917723299259</v>
      </c>
      <c r="O159" s="602">
        <f t="shared" si="150"/>
        <v>49100.438481645426</v>
      </c>
      <c r="P159" s="602">
        <f t="shared" si="150"/>
        <v>51136.811113737516</v>
      </c>
    </row>
    <row r="160" spans="1:18" x14ac:dyDescent="0.2">
      <c r="A160" s="2"/>
      <c r="B160" s="576" t="s">
        <v>201</v>
      </c>
      <c r="C160" s="592">
        <f>+C130</f>
        <v>0</v>
      </c>
      <c r="D160" s="593">
        <f t="shared" ref="D160" si="151">+D130</f>
        <v>0</v>
      </c>
      <c r="E160" s="602">
        <f>+D160*E$151/D$151</f>
        <v>0</v>
      </c>
      <c r="F160" s="602">
        <f t="shared" si="150"/>
        <v>0</v>
      </c>
      <c r="G160" s="602">
        <f t="shared" si="150"/>
        <v>0</v>
      </c>
      <c r="H160" s="602">
        <f t="shared" si="150"/>
        <v>0</v>
      </c>
      <c r="I160" s="602">
        <f t="shared" si="150"/>
        <v>0</v>
      </c>
      <c r="J160" s="602">
        <f t="shared" si="150"/>
        <v>0</v>
      </c>
      <c r="K160" s="602">
        <f t="shared" si="150"/>
        <v>0</v>
      </c>
      <c r="L160" s="602">
        <f t="shared" si="150"/>
        <v>0</v>
      </c>
      <c r="M160" s="602">
        <f t="shared" si="150"/>
        <v>0</v>
      </c>
      <c r="N160" s="602">
        <f t="shared" si="150"/>
        <v>0</v>
      </c>
      <c r="O160" s="602">
        <f t="shared" si="150"/>
        <v>0</v>
      </c>
      <c r="P160" s="602">
        <f t="shared" si="150"/>
        <v>0</v>
      </c>
    </row>
    <row r="161" spans="1:17" s="18" customFormat="1" x14ac:dyDescent="0.2">
      <c r="A161" s="56" t="s">
        <v>160</v>
      </c>
      <c r="B161" s="573" t="s">
        <v>234</v>
      </c>
      <c r="C161" s="585">
        <f>SUM(C162:C165)</f>
        <v>1781099.7213944918</v>
      </c>
      <c r="D161" s="586">
        <f t="shared" ref="D161:P161" si="152">SUM(D162:D165)</f>
        <v>1924268.0791932619</v>
      </c>
      <c r="E161" s="436">
        <f t="shared" si="152"/>
        <v>2001218.523811711</v>
      </c>
      <c r="F161" s="193">
        <f t="shared" si="152"/>
        <v>2025057.1472532188</v>
      </c>
      <c r="G161" s="414">
        <f t="shared" si="152"/>
        <v>2056878.3060426603</v>
      </c>
      <c r="H161" s="193">
        <f t="shared" si="152"/>
        <v>2084885.7686677026</v>
      </c>
      <c r="I161" s="436">
        <f t="shared" si="152"/>
        <v>2128640.0479628379</v>
      </c>
      <c r="J161" s="193">
        <f t="shared" si="152"/>
        <v>2167170.0552223739</v>
      </c>
      <c r="K161" s="193">
        <f t="shared" si="152"/>
        <v>2244492.8484748555</v>
      </c>
      <c r="L161" s="193">
        <f t="shared" si="152"/>
        <v>2332263.0908495635</v>
      </c>
      <c r="M161" s="193">
        <f t="shared" si="152"/>
        <v>2418736.7872980647</v>
      </c>
      <c r="N161" s="193">
        <f t="shared" si="152"/>
        <v>2508376.7648839653</v>
      </c>
      <c r="O161" s="193">
        <f t="shared" si="152"/>
        <v>2601295.9214214543</v>
      </c>
      <c r="P161" s="193">
        <f t="shared" si="152"/>
        <v>2697611.0910129026</v>
      </c>
      <c r="Q161" s="17"/>
    </row>
    <row r="162" spans="1:17" x14ac:dyDescent="0.2">
      <c r="A162" s="2"/>
      <c r="B162" s="576" t="s">
        <v>161</v>
      </c>
      <c r="C162" s="592">
        <f t="shared" ref="C162:P162" si="153">+C59*C102/1000</f>
        <v>1553575.1361030394</v>
      </c>
      <c r="D162" s="593">
        <f t="shared" si="153"/>
        <v>1684508.6361866896</v>
      </c>
      <c r="E162" s="437">
        <f t="shared" si="153"/>
        <v>1756659.9529051222</v>
      </c>
      <c r="F162" s="192">
        <f t="shared" si="153"/>
        <v>1785476.2117460021</v>
      </c>
      <c r="G162" s="415">
        <f t="shared" si="153"/>
        <v>1827001.1182101951</v>
      </c>
      <c r="H162" s="192">
        <f t="shared" si="153"/>
        <v>1871609.4806899899</v>
      </c>
      <c r="I162" s="437">
        <f t="shared" si="153"/>
        <v>1921153.3223188184</v>
      </c>
      <c r="J162" s="192">
        <f t="shared" si="153"/>
        <v>1974430.4886799627</v>
      </c>
      <c r="K162" s="192">
        <f t="shared" si="153"/>
        <v>2057185.4125393564</v>
      </c>
      <c r="L162" s="192">
        <f t="shared" si="153"/>
        <v>2142042.8604485309</v>
      </c>
      <c r="M162" s="192">
        <f t="shared" si="153"/>
        <v>2225531.685212451</v>
      </c>
      <c r="N162" s="192">
        <f t="shared" si="153"/>
        <v>2312102.0008878033</v>
      </c>
      <c r="O162" s="192">
        <f t="shared" si="153"/>
        <v>2401863.5569869848</v>
      </c>
      <c r="P162" s="192">
        <f t="shared" si="153"/>
        <v>2494929.9146513185</v>
      </c>
    </row>
    <row r="163" spans="1:17" x14ac:dyDescent="0.2">
      <c r="A163" s="2"/>
      <c r="B163" s="576" t="s">
        <v>162</v>
      </c>
      <c r="C163" s="592">
        <f t="shared" ref="C163:P163" si="154">+(C17+C23)*C90</f>
        <v>140481.70642545226</v>
      </c>
      <c r="D163" s="593">
        <f t="shared" si="154"/>
        <v>149234.84898593233</v>
      </c>
      <c r="E163" s="437">
        <f t="shared" si="154"/>
        <v>150371.66500405586</v>
      </c>
      <c r="F163" s="192">
        <f t="shared" si="154"/>
        <v>149141.94171685417</v>
      </c>
      <c r="G163" s="192">
        <f t="shared" si="154"/>
        <v>148759.08689737009</v>
      </c>
      <c r="H163" s="192">
        <f t="shared" si="154"/>
        <v>143286.86031014225</v>
      </c>
      <c r="I163" s="192">
        <f t="shared" si="154"/>
        <v>143417.17751480339</v>
      </c>
      <c r="J163" s="192">
        <f t="shared" si="154"/>
        <v>142732.15888487833</v>
      </c>
      <c r="K163" s="192">
        <f t="shared" si="154"/>
        <v>143014.30704889871</v>
      </c>
      <c r="L163" s="192">
        <f t="shared" si="154"/>
        <v>144103.73727366712</v>
      </c>
      <c r="M163" s="192">
        <f t="shared" si="154"/>
        <v>145201.46637593341</v>
      </c>
      <c r="N163" s="192">
        <f t="shared" si="154"/>
        <v>146307.55757348437</v>
      </c>
      <c r="O163" s="192">
        <f t="shared" si="154"/>
        <v>147422.07456567665</v>
      </c>
      <c r="P163" s="192">
        <f t="shared" si="154"/>
        <v>148545.08153710506</v>
      </c>
    </row>
    <row r="164" spans="1:17" ht="12" thickBot="1" x14ac:dyDescent="0.25">
      <c r="A164" s="2"/>
      <c r="B164" s="576" t="s">
        <v>163</v>
      </c>
      <c r="C164" s="596">
        <f>+C182+C191+C200</f>
        <v>87042.878866000014</v>
      </c>
      <c r="D164" s="597">
        <f t="shared" ref="D164:P164" si="155">+D182+D191+D200</f>
        <v>90524.594020640012</v>
      </c>
      <c r="E164" s="578">
        <f t="shared" si="155"/>
        <v>94186.90590253289</v>
      </c>
      <c r="F164" s="472">
        <f t="shared" si="155"/>
        <v>90438.993790362452</v>
      </c>
      <c r="G164" s="472">
        <f t="shared" si="155"/>
        <v>81118.100935094932</v>
      </c>
      <c r="H164" s="472">
        <f t="shared" si="155"/>
        <v>69989.427667570504</v>
      </c>
      <c r="I164" s="472">
        <f t="shared" si="155"/>
        <v>64069.548129215997</v>
      </c>
      <c r="J164" s="472">
        <f t="shared" si="155"/>
        <v>50007.407657532924</v>
      </c>
      <c r="K164" s="472">
        <f t="shared" si="155"/>
        <v>44293.128886600382</v>
      </c>
      <c r="L164" s="472">
        <f t="shared" si="155"/>
        <v>46116.493127365509</v>
      </c>
      <c r="M164" s="472">
        <f t="shared" si="155"/>
        <v>48003.635709680246</v>
      </c>
      <c r="N164" s="472">
        <f t="shared" si="155"/>
        <v>49967.206422677817</v>
      </c>
      <c r="O164" s="472">
        <f t="shared" si="155"/>
        <v>52010.289868793152</v>
      </c>
      <c r="P164" s="472">
        <f t="shared" si="155"/>
        <v>54136.094824478736</v>
      </c>
    </row>
    <row r="165" spans="1:17" x14ac:dyDescent="0.2">
      <c r="A165" s="2"/>
      <c r="B165" s="44" t="s">
        <v>164</v>
      </c>
      <c r="C165" s="581"/>
      <c r="D165" s="582"/>
      <c r="E165" s="158"/>
      <c r="F165" s="158"/>
      <c r="G165" s="403"/>
      <c r="H165" s="158"/>
      <c r="I165" s="431"/>
      <c r="J165" s="158"/>
      <c r="K165" s="158"/>
      <c r="L165" s="158"/>
      <c r="M165" s="158"/>
      <c r="N165" s="158"/>
      <c r="O165" s="158"/>
      <c r="P165" s="158"/>
    </row>
    <row r="166" spans="1:17" ht="12" thickBot="1" x14ac:dyDescent="0.25">
      <c r="A166" s="2"/>
      <c r="B166" s="6"/>
      <c r="C166" s="188"/>
      <c r="D166" s="158"/>
      <c r="E166" s="158"/>
      <c r="F166" s="158"/>
      <c r="G166" s="403"/>
      <c r="H166" s="158"/>
      <c r="I166" s="431"/>
      <c r="J166" s="158"/>
      <c r="K166" s="158"/>
      <c r="L166" s="158"/>
      <c r="M166" s="158"/>
      <c r="N166" s="158"/>
      <c r="O166" s="158"/>
      <c r="P166" s="158"/>
    </row>
    <row r="167" spans="1:17" s="216" customFormat="1" ht="22.5" x14ac:dyDescent="0.2">
      <c r="A167" s="56">
        <v>52</v>
      </c>
      <c r="B167" s="6" t="s">
        <v>224</v>
      </c>
      <c r="C167" s="189">
        <f t="shared" ref="C167:P167" si="156">C135-C142</f>
        <v>83970.936219735537</v>
      </c>
      <c r="D167" s="189">
        <f t="shared" si="156"/>
        <v>107186.94897880172</v>
      </c>
      <c r="E167" s="189">
        <f>E135-E142</f>
        <v>156459.60405110894</v>
      </c>
      <c r="F167" s="189">
        <f t="shared" si="156"/>
        <v>201605.93729061726</v>
      </c>
      <c r="G167" s="412">
        <f t="shared" si="156"/>
        <v>255621.51096471678</v>
      </c>
      <c r="H167" s="189">
        <f t="shared" si="156"/>
        <v>302819.04335303791</v>
      </c>
      <c r="I167" s="435">
        <f t="shared" si="156"/>
        <v>376581.59070996428</v>
      </c>
      <c r="J167" s="189">
        <f t="shared" si="156"/>
        <v>321101.62444759766</v>
      </c>
      <c r="K167" s="189">
        <f t="shared" si="156"/>
        <v>286229.52900285088</v>
      </c>
      <c r="L167" s="189">
        <f t="shared" si="156"/>
        <v>237607.10957703087</v>
      </c>
      <c r="M167" s="189">
        <f t="shared" si="156"/>
        <v>181641.43051637849</v>
      </c>
      <c r="N167" s="189">
        <f t="shared" si="156"/>
        <v>122046.24929362023</v>
      </c>
      <c r="O167" s="189">
        <f t="shared" si="156"/>
        <v>78267.909862461034</v>
      </c>
      <c r="P167" s="189">
        <f t="shared" si="156"/>
        <v>51625.247095134109</v>
      </c>
      <c r="Q167" s="17"/>
    </row>
    <row r="168" spans="1:17" s="11" customFormat="1" x14ac:dyDescent="0.2">
      <c r="A168" s="2">
        <v>53</v>
      </c>
      <c r="B168" s="44" t="s">
        <v>225</v>
      </c>
      <c r="C168" s="160">
        <f>+C108</f>
        <v>0</v>
      </c>
      <c r="D168" s="160">
        <f t="shared" ref="D168:P168" si="157">+D108</f>
        <v>0</v>
      </c>
      <c r="E168" s="160">
        <f t="shared" si="157"/>
        <v>21099</v>
      </c>
      <c r="F168" s="160">
        <f t="shared" si="157"/>
        <v>47657</v>
      </c>
      <c r="G168" s="402">
        <f t="shared" si="157"/>
        <v>8589</v>
      </c>
      <c r="H168" s="160">
        <f t="shared" si="157"/>
        <v>2000</v>
      </c>
      <c r="I168" s="181">
        <f t="shared" si="157"/>
        <v>0</v>
      </c>
      <c r="J168" s="160">
        <f t="shared" si="157"/>
        <v>12270.114069128978</v>
      </c>
      <c r="K168" s="160">
        <f t="shared" si="157"/>
        <v>12270.114069128978</v>
      </c>
      <c r="L168" s="160">
        <f t="shared" si="157"/>
        <v>12638.217491202848</v>
      </c>
      <c r="M168" s="160">
        <f t="shared" si="157"/>
        <v>13006.320913276717</v>
      </c>
      <c r="N168" s="160">
        <f t="shared" si="157"/>
        <v>13385.467438012802</v>
      </c>
      <c r="O168" s="160">
        <f t="shared" si="157"/>
        <v>13775.657065411104</v>
      </c>
      <c r="P168" s="160">
        <f t="shared" si="157"/>
        <v>14177.221088551487</v>
      </c>
    </row>
    <row r="169" spans="1:17" s="11" customFormat="1" x14ac:dyDescent="0.2">
      <c r="A169" s="2">
        <v>54</v>
      </c>
      <c r="B169" s="44" t="s">
        <v>226</v>
      </c>
      <c r="C169" s="160">
        <f>IF(C168=0,0,C167-C168)</f>
        <v>0</v>
      </c>
      <c r="D169" s="160">
        <f>IF(D168=0,C169,C168+D167-D168)</f>
        <v>0</v>
      </c>
      <c r="E169" s="160">
        <f>IF(E168=0,D169,D168+E167-E168)</f>
        <v>135360.60405110894</v>
      </c>
      <c r="F169" s="160">
        <f>IF(F168=0,E169,E169+F167-F168)</f>
        <v>289309.5413417262</v>
      </c>
      <c r="G169" s="402">
        <f>IF(G168=0,F169,F169+G167-G168)</f>
        <v>536342.05230644299</v>
      </c>
      <c r="H169" s="160">
        <f t="shared" ref="H169:P169" si="158">IF(H168=0,G169,G169+H167-H168)</f>
        <v>837161.0956594809</v>
      </c>
      <c r="I169" s="181">
        <f t="shared" si="158"/>
        <v>837161.0956594809</v>
      </c>
      <c r="J169" s="160">
        <f t="shared" si="158"/>
        <v>1145992.6060379497</v>
      </c>
      <c r="K169" s="160">
        <f t="shared" si="158"/>
        <v>1419952.0209716717</v>
      </c>
      <c r="L169" s="160">
        <f t="shared" si="158"/>
        <v>1644920.9130574998</v>
      </c>
      <c r="M169" s="160">
        <f t="shared" si="158"/>
        <v>1813556.0226606017</v>
      </c>
      <c r="N169" s="160">
        <f t="shared" si="158"/>
        <v>1922216.8045162091</v>
      </c>
      <c r="O169" s="160">
        <f t="shared" si="158"/>
        <v>1986709.057313259</v>
      </c>
      <c r="P169" s="160">
        <f t="shared" si="158"/>
        <v>2024157.0833198417</v>
      </c>
    </row>
    <row r="170" spans="1:17" s="11" customFormat="1" x14ac:dyDescent="0.2">
      <c r="A170" s="2">
        <v>55</v>
      </c>
      <c r="B170" s="44" t="s">
        <v>227</v>
      </c>
      <c r="C170" s="160">
        <f>IF(C167&gt;0,IF(C167&lt;C168,C167,C168),0)</f>
        <v>0</v>
      </c>
      <c r="D170" s="160">
        <f t="shared" ref="D170:P170" si="159">IF(D167&gt;0,IF(D167&lt;D168,D167,D168),0)</f>
        <v>0</v>
      </c>
      <c r="E170" s="160">
        <f t="shared" si="159"/>
        <v>21099</v>
      </c>
      <c r="F170" s="160">
        <f t="shared" si="159"/>
        <v>47657</v>
      </c>
      <c r="G170" s="402">
        <f t="shared" si="159"/>
        <v>8589</v>
      </c>
      <c r="H170" s="160">
        <f t="shared" si="159"/>
        <v>2000</v>
      </c>
      <c r="I170" s="181">
        <f t="shared" si="159"/>
        <v>0</v>
      </c>
      <c r="J170" s="160">
        <f t="shared" si="159"/>
        <v>12270.114069128978</v>
      </c>
      <c r="K170" s="160">
        <f t="shared" si="159"/>
        <v>12270.114069128978</v>
      </c>
      <c r="L170" s="160">
        <f t="shared" si="159"/>
        <v>12638.217491202848</v>
      </c>
      <c r="M170" s="160">
        <f t="shared" si="159"/>
        <v>13006.320913276717</v>
      </c>
      <c r="N170" s="160">
        <f t="shared" si="159"/>
        <v>13385.467438012802</v>
      </c>
      <c r="O170" s="160">
        <f t="shared" si="159"/>
        <v>13775.657065411104</v>
      </c>
      <c r="P170" s="160">
        <f t="shared" si="159"/>
        <v>14177.221088551487</v>
      </c>
    </row>
    <row r="171" spans="1:17" s="11" customFormat="1" x14ac:dyDescent="0.2">
      <c r="A171" s="2">
        <v>56</v>
      </c>
      <c r="B171" s="44" t="s">
        <v>228</v>
      </c>
      <c r="C171" s="158"/>
      <c r="D171" s="158"/>
      <c r="E171" s="158"/>
      <c r="F171" s="158"/>
      <c r="G171" s="403"/>
      <c r="H171" s="158"/>
      <c r="I171" s="431"/>
      <c r="J171" s="158"/>
      <c r="K171" s="158"/>
      <c r="L171" s="158"/>
      <c r="M171" s="158"/>
      <c r="N171" s="158"/>
      <c r="O171" s="158"/>
      <c r="P171" s="158"/>
    </row>
    <row r="172" spans="1:17" s="23" customFormat="1" x14ac:dyDescent="0.2">
      <c r="A172" s="2">
        <v>57</v>
      </c>
      <c r="B172" s="184" t="s">
        <v>229</v>
      </c>
      <c r="C172" s="160">
        <f>+C169</f>
        <v>0</v>
      </c>
      <c r="D172" s="160">
        <f t="shared" ref="D172:P172" si="160">+D169</f>
        <v>0</v>
      </c>
      <c r="E172" s="160">
        <f>+E169</f>
        <v>135360.60405110894</v>
      </c>
      <c r="F172" s="160">
        <f t="shared" si="160"/>
        <v>289309.5413417262</v>
      </c>
      <c r="G172" s="402">
        <f t="shared" si="160"/>
        <v>536342.05230644299</v>
      </c>
      <c r="H172" s="160">
        <f t="shared" si="160"/>
        <v>837161.0956594809</v>
      </c>
      <c r="I172" s="181">
        <f t="shared" si="160"/>
        <v>837161.0956594809</v>
      </c>
      <c r="J172" s="160">
        <f t="shared" si="160"/>
        <v>1145992.6060379497</v>
      </c>
      <c r="K172" s="160">
        <f t="shared" si="160"/>
        <v>1419952.0209716717</v>
      </c>
      <c r="L172" s="160">
        <f t="shared" si="160"/>
        <v>1644920.9130574998</v>
      </c>
      <c r="M172" s="160">
        <f t="shared" si="160"/>
        <v>1813556.0226606017</v>
      </c>
      <c r="N172" s="160">
        <f t="shared" si="160"/>
        <v>1922216.8045162091</v>
      </c>
      <c r="O172" s="160">
        <f t="shared" si="160"/>
        <v>1986709.057313259</v>
      </c>
      <c r="P172" s="160">
        <f t="shared" si="160"/>
        <v>2024157.0833198417</v>
      </c>
      <c r="Q172" s="11"/>
    </row>
    <row r="173" spans="1:17" s="23" customFormat="1" x14ac:dyDescent="0.2">
      <c r="A173" s="2">
        <v>58</v>
      </c>
      <c r="B173" s="184" t="s">
        <v>23</v>
      </c>
      <c r="C173" s="160">
        <f t="shared" ref="C173:P173" si="161">IF(C172&lt;0,0,C172*20%)</f>
        <v>0</v>
      </c>
      <c r="D173" s="160">
        <f t="shared" si="161"/>
        <v>0</v>
      </c>
      <c r="E173" s="160">
        <f t="shared" si="161"/>
        <v>27072.12081022179</v>
      </c>
      <c r="F173" s="160">
        <f t="shared" si="161"/>
        <v>57861.908268345243</v>
      </c>
      <c r="G173" s="402">
        <f t="shared" si="161"/>
        <v>107268.4104612886</v>
      </c>
      <c r="H173" s="160">
        <f t="shared" si="161"/>
        <v>167432.21913189618</v>
      </c>
      <c r="I173" s="181">
        <f t="shared" si="161"/>
        <v>167432.21913189618</v>
      </c>
      <c r="J173" s="160">
        <f t="shared" si="161"/>
        <v>229198.52120758995</v>
      </c>
      <c r="K173" s="160">
        <f t="shared" si="161"/>
        <v>283990.40419433435</v>
      </c>
      <c r="L173" s="160">
        <f t="shared" si="161"/>
        <v>328984.18261149997</v>
      </c>
      <c r="M173" s="160">
        <f t="shared" si="161"/>
        <v>362711.20453212038</v>
      </c>
      <c r="N173" s="160">
        <f t="shared" si="161"/>
        <v>384443.36090324185</v>
      </c>
      <c r="O173" s="160">
        <f t="shared" si="161"/>
        <v>397341.81146265182</v>
      </c>
      <c r="P173" s="160">
        <f t="shared" si="161"/>
        <v>404831.41666396835</v>
      </c>
      <c r="Q173" s="11"/>
    </row>
    <row r="174" spans="1:17" s="54" customFormat="1" ht="12" thickBot="1" x14ac:dyDescent="0.25">
      <c r="A174" s="2">
        <v>59</v>
      </c>
      <c r="B174" s="185" t="s">
        <v>230</v>
      </c>
      <c r="C174" s="160">
        <f t="shared" ref="C174:P174" si="162">C167-C170-C171-C173</f>
        <v>83970.936219735537</v>
      </c>
      <c r="D174" s="160">
        <f t="shared" si="162"/>
        <v>107186.94897880172</v>
      </c>
      <c r="E174" s="160">
        <f t="shared" si="162"/>
        <v>108288.48324088714</v>
      </c>
      <c r="F174" s="160">
        <f t="shared" si="162"/>
        <v>96087.029022272021</v>
      </c>
      <c r="G174" s="402">
        <f t="shared" si="162"/>
        <v>139764.1005034282</v>
      </c>
      <c r="H174" s="160">
        <f t="shared" si="162"/>
        <v>133386.82422114172</v>
      </c>
      <c r="I174" s="181">
        <f t="shared" si="162"/>
        <v>209149.37157806809</v>
      </c>
      <c r="J174" s="160">
        <f t="shared" si="162"/>
        <v>79632.989170878718</v>
      </c>
      <c r="K174" s="160">
        <f t="shared" si="162"/>
        <v>-10030.989260612463</v>
      </c>
      <c r="L174" s="160">
        <f t="shared" si="162"/>
        <v>-104015.29052567194</v>
      </c>
      <c r="M174" s="160">
        <f t="shared" si="162"/>
        <v>-194076.09492901861</v>
      </c>
      <c r="N174" s="160">
        <f t="shared" si="162"/>
        <v>-275782.57904763438</v>
      </c>
      <c r="O174" s="160">
        <f t="shared" si="162"/>
        <v>-332849.55866560189</v>
      </c>
      <c r="P174" s="160">
        <f t="shared" si="162"/>
        <v>-367383.39065738575</v>
      </c>
      <c r="Q174" s="11"/>
    </row>
    <row r="175" spans="1:17" s="11" customFormat="1" x14ac:dyDescent="0.2">
      <c r="A175" s="2"/>
      <c r="B175" s="185"/>
      <c r="C175" s="55"/>
      <c r="D175" s="55"/>
      <c r="E175" s="55"/>
      <c r="F175" s="55"/>
      <c r="G175" s="417"/>
      <c r="H175" s="50"/>
      <c r="I175" s="183"/>
      <c r="J175" s="55"/>
      <c r="K175" s="55"/>
      <c r="L175" s="55"/>
      <c r="M175" s="55"/>
      <c r="N175" s="55"/>
      <c r="O175" s="55"/>
      <c r="P175" s="55"/>
    </row>
    <row r="176" spans="1:17" s="18" customFormat="1" ht="22.5" x14ac:dyDescent="0.2">
      <c r="A176" s="56"/>
      <c r="B176" s="168" t="s">
        <v>240</v>
      </c>
      <c r="C176" s="193">
        <f>SUM(C177:C179)</f>
        <v>1077347.9566789039</v>
      </c>
      <c r="D176" s="193">
        <f t="shared" ref="D176:P176" si="163">SUM(D177:D179)</f>
        <v>1253352.8059023591</v>
      </c>
      <c r="E176" s="193">
        <f t="shared" si="163"/>
        <v>1288110.9736970155</v>
      </c>
      <c r="F176" s="193">
        <f t="shared" si="163"/>
        <v>1327157.7422739528</v>
      </c>
      <c r="G176" s="414">
        <f t="shared" si="163"/>
        <v>1369879.1065211366</v>
      </c>
      <c r="H176" s="193">
        <f t="shared" si="163"/>
        <v>1406458.5782526832</v>
      </c>
      <c r="I176" s="436">
        <f t="shared" si="163"/>
        <v>1450373.3809559473</v>
      </c>
      <c r="J176" s="193">
        <f t="shared" si="163"/>
        <v>1496795.7041538118</v>
      </c>
      <c r="K176" s="193">
        <f t="shared" si="163"/>
        <v>1539389.1634968272</v>
      </c>
      <c r="L176" s="193">
        <f t="shared" si="163"/>
        <v>1582033.9775967239</v>
      </c>
      <c r="M176" s="193">
        <f t="shared" si="163"/>
        <v>1626553.3726186089</v>
      </c>
      <c r="N176" s="193">
        <f t="shared" si="163"/>
        <v>1672414.7660558936</v>
      </c>
      <c r="O176" s="193">
        <f t="shared" si="163"/>
        <v>1719659.5171992197</v>
      </c>
      <c r="P176" s="193">
        <f t="shared" si="163"/>
        <v>1768330.2781862537</v>
      </c>
      <c r="Q176" s="17"/>
    </row>
    <row r="177" spans="1:17" x14ac:dyDescent="0.2">
      <c r="A177" s="2"/>
      <c r="B177" s="44" t="s">
        <v>157</v>
      </c>
      <c r="C177" s="192">
        <f t="shared" ref="C177" si="164">+C143-C186-C195</f>
        <v>115740.70747259259</v>
      </c>
      <c r="D177" s="598">
        <f>+C177*D$104*(1-D$78)/(1-C$78)</f>
        <v>131889.6997013498</v>
      </c>
      <c r="E177" s="598">
        <f>+D177*E$104*(1-E$78)/(1-D$78)</f>
        <v>135582.96689070977</v>
      </c>
      <c r="F177" s="598">
        <f t="shared" ref="F177:P177" si="165">+E177*F$104*(1-F$78)/(1-E$78)</f>
        <v>142891.24613967552</v>
      </c>
      <c r="G177" s="598">
        <f t="shared" si="165"/>
        <v>149862.68581855667</v>
      </c>
      <c r="H177" s="598">
        <f t="shared" si="165"/>
        <v>156696.79449451456</v>
      </c>
      <c r="I177" s="598">
        <f t="shared" si="165"/>
        <v>163711.46527093815</v>
      </c>
      <c r="J177" s="598">
        <f t="shared" si="165"/>
        <v>170992.56705541236</v>
      </c>
      <c r="K177" s="598">
        <f t="shared" si="165"/>
        <v>175963.86498180858</v>
      </c>
      <c r="L177" s="598">
        <f t="shared" si="165"/>
        <v>181025.32513334451</v>
      </c>
      <c r="M177" s="598">
        <f t="shared" si="165"/>
        <v>186639.80620760078</v>
      </c>
      <c r="N177" s="598">
        <f t="shared" si="165"/>
        <v>192442.7840119446</v>
      </c>
      <c r="O177" s="598">
        <f t="shared" si="165"/>
        <v>198440.74640169676</v>
      </c>
      <c r="P177" s="598">
        <f t="shared" si="165"/>
        <v>204640.41050288876</v>
      </c>
    </row>
    <row r="178" spans="1:17" x14ac:dyDescent="0.2">
      <c r="A178" s="2"/>
      <c r="B178" s="44" t="s">
        <v>159</v>
      </c>
      <c r="C178" s="192">
        <f t="shared" ref="C178" si="166">+C151-C187-C196</f>
        <v>48465.360495083194</v>
      </c>
      <c r="D178" s="598">
        <f>+C178*D$104*(1-D$78)/(1-C$78)</f>
        <v>55227.602985992024</v>
      </c>
      <c r="E178" s="598">
        <f>+D178*E$104*(1-E$78)/(1-D$78)</f>
        <v>56774.12477288692</v>
      </c>
      <c r="F178" s="598">
        <f t="shared" ref="F178" si="167">+E178*F$104*(1-F$78)/(1-E$78)</f>
        <v>59834.399728297358</v>
      </c>
      <c r="G178" s="598">
        <f t="shared" ref="G178" si="168">+F178*G$104*(1-G$78)/(1-F$78)</f>
        <v>62753.626200856379</v>
      </c>
      <c r="H178" s="598">
        <f t="shared" ref="H178" si="169">+G178*H$104*(1-H$78)/(1-G$78)</f>
        <v>65615.346574574563</v>
      </c>
      <c r="I178" s="598">
        <f t="shared" ref="I178" si="170">+H178*I$104*(1-I$78)/(1-H$78)</f>
        <v>68552.675673018151</v>
      </c>
      <c r="J178" s="598">
        <f t="shared" ref="J178" si="171">+I178*J$104*(1-J$78)/(1-I$78)</f>
        <v>71601.570314253157</v>
      </c>
      <c r="K178" s="598">
        <f t="shared" ref="K178" si="172">+J178*K$104*(1-K$78)/(1-J$78)</f>
        <v>73683.255759180189</v>
      </c>
      <c r="L178" s="598">
        <f t="shared" ref="L178" si="173">+K178*L$104*(1-L$78)/(1-K$78)</f>
        <v>75802.69580955118</v>
      </c>
      <c r="M178" s="598">
        <f t="shared" ref="M178" si="174">+L178*M$104*(1-M$78)/(1-L$78)</f>
        <v>78153.708302896179</v>
      </c>
      <c r="N178" s="598">
        <f t="shared" ref="N178" si="175">+M178*N$104*(1-N$78)/(1-M$78)</f>
        <v>80583.652074400132</v>
      </c>
      <c r="O178" s="598">
        <f t="shared" ref="O178" si="176">+N178*O$104*(1-O$78)/(1-N$78)</f>
        <v>83095.243854017739</v>
      </c>
      <c r="P178" s="598">
        <f t="shared" ref="P178" si="177">+O178*P$104*(1-P$78)/(1-O$78)</f>
        <v>85691.296376712475</v>
      </c>
    </row>
    <row r="179" spans="1:17" x14ac:dyDescent="0.2">
      <c r="A179" s="2"/>
      <c r="B179" s="44" t="s">
        <v>235</v>
      </c>
      <c r="C179" s="192">
        <f>SUM(C180:C182)</f>
        <v>913141.88871122804</v>
      </c>
      <c r="D179" s="192">
        <f t="shared" ref="D179:P179" si="178">SUM(D180:D182)</f>
        <v>1066235.5032150173</v>
      </c>
      <c r="E179" s="192">
        <f t="shared" si="178"/>
        <v>1095753.8820334189</v>
      </c>
      <c r="F179" s="192">
        <f t="shared" si="178"/>
        <v>1124432.0964059799</v>
      </c>
      <c r="G179" s="415">
        <f t="shared" si="178"/>
        <v>1157262.7945017235</v>
      </c>
      <c r="H179" s="192">
        <f t="shared" si="178"/>
        <v>1184146.4371835941</v>
      </c>
      <c r="I179" s="437">
        <f t="shared" si="178"/>
        <v>1218109.240011991</v>
      </c>
      <c r="J179" s="192">
        <f t="shared" si="178"/>
        <v>1254201.5667841462</v>
      </c>
      <c r="K179" s="192">
        <f t="shared" si="178"/>
        <v>1289742.0427558385</v>
      </c>
      <c r="L179" s="192">
        <f t="shared" si="178"/>
        <v>1325205.9566538283</v>
      </c>
      <c r="M179" s="192">
        <f t="shared" si="178"/>
        <v>1361759.8581081119</v>
      </c>
      <c r="N179" s="192">
        <f t="shared" si="178"/>
        <v>1399388.3299695489</v>
      </c>
      <c r="O179" s="192">
        <f t="shared" si="178"/>
        <v>1438123.526943505</v>
      </c>
      <c r="P179" s="192">
        <f t="shared" si="178"/>
        <v>1477998.5713066524</v>
      </c>
    </row>
    <row r="180" spans="1:17" s="35" customFormat="1" x14ac:dyDescent="0.2">
      <c r="A180" s="33"/>
      <c r="B180" s="110" t="s">
        <v>161</v>
      </c>
      <c r="C180" s="218">
        <f>+C162-C189</f>
        <v>764513.79562098603</v>
      </c>
      <c r="D180" s="218">
        <f t="shared" ref="D180:P180" si="179">+D162-D189</f>
        <v>908275.73906933365</v>
      </c>
      <c r="E180" s="218">
        <f t="shared" si="179"/>
        <v>936252.70854636189</v>
      </c>
      <c r="F180" s="218">
        <f t="shared" si="179"/>
        <v>964332.06135781517</v>
      </c>
      <c r="G180" s="418">
        <f t="shared" si="179"/>
        <v>995098.10588631488</v>
      </c>
      <c r="H180" s="218">
        <f t="shared" si="179"/>
        <v>1024886.0554772227</v>
      </c>
      <c r="I180" s="439">
        <f t="shared" si="179"/>
        <v>1056837.0202461188</v>
      </c>
      <c r="J180" s="218">
        <f t="shared" si="179"/>
        <v>1090818.8590016183</v>
      </c>
      <c r="K180" s="218">
        <f t="shared" si="179"/>
        <v>1124597.5839386287</v>
      </c>
      <c r="L180" s="218">
        <f t="shared" si="179"/>
        <v>1158335.5114567876</v>
      </c>
      <c r="M180" s="218">
        <f t="shared" si="179"/>
        <v>1193085.5768004912</v>
      </c>
      <c r="N180" s="218">
        <f t="shared" si="179"/>
        <v>1228878.1441045064</v>
      </c>
      <c r="O180" s="218">
        <f t="shared" si="179"/>
        <v>1265744.4884276416</v>
      </c>
      <c r="P180" s="218">
        <f t="shared" si="179"/>
        <v>1303716.823080471</v>
      </c>
      <c r="Q180" s="32"/>
    </row>
    <row r="181" spans="1:17" s="219" customFormat="1" x14ac:dyDescent="0.2">
      <c r="A181" s="212"/>
      <c r="B181" s="110" t="s">
        <v>162</v>
      </c>
      <c r="C181" s="218">
        <f>+C163-C190-C199</f>
        <v>132678.91013545226</v>
      </c>
      <c r="D181" s="218">
        <f>+D163-D190-D199</f>
        <v>141372.61387270235</v>
      </c>
      <c r="E181" s="218">
        <f t="shared" ref="E181:P181" si="180">+E163-E190-E199</f>
        <v>142449.538284571</v>
      </c>
      <c r="F181" s="218">
        <f t="shared" si="180"/>
        <v>142129.27176809555</v>
      </c>
      <c r="G181" s="218">
        <f t="shared" si="180"/>
        <v>143317.15999403925</v>
      </c>
      <c r="H181" s="218">
        <f t="shared" si="180"/>
        <v>139553.35922121539</v>
      </c>
      <c r="I181" s="218">
        <f t="shared" si="180"/>
        <v>140682.99496660457</v>
      </c>
      <c r="J181" s="218">
        <f t="shared" si="180"/>
        <v>141877.77288819273</v>
      </c>
      <c r="K181" s="218">
        <f t="shared" si="180"/>
        <v>143014.30704889871</v>
      </c>
      <c r="L181" s="218">
        <f t="shared" si="180"/>
        <v>144103.73727366712</v>
      </c>
      <c r="M181" s="218">
        <f t="shared" si="180"/>
        <v>145201.46637593341</v>
      </c>
      <c r="N181" s="218">
        <f t="shared" si="180"/>
        <v>146307.55757348437</v>
      </c>
      <c r="O181" s="218">
        <f t="shared" si="180"/>
        <v>147422.07456567665</v>
      </c>
      <c r="P181" s="218">
        <f t="shared" si="180"/>
        <v>148545.08153710506</v>
      </c>
      <c r="Q181" s="213"/>
    </row>
    <row r="182" spans="1:17" s="35" customFormat="1" x14ac:dyDescent="0.2">
      <c r="A182" s="33"/>
      <c r="B182" s="110" t="s">
        <v>163</v>
      </c>
      <c r="C182" s="263">
        <v>15949.182954789758</v>
      </c>
      <c r="D182" s="160">
        <f>+C182*D$104</f>
        <v>16587.150272981347</v>
      </c>
      <c r="E182" s="600">
        <f>+D182*E$104*(1-E$78)/(1-D$78)</f>
        <v>17051.635202486108</v>
      </c>
      <c r="F182" s="600">
        <f t="shared" ref="F182:P182" si="181">+E182*F$104*(1-F$78)/(1-E$78)</f>
        <v>17970.76328006915</v>
      </c>
      <c r="G182" s="600">
        <f t="shared" si="181"/>
        <v>18847.528621369289</v>
      </c>
      <c r="H182" s="600">
        <f t="shared" si="181"/>
        <v>19707.022485156125</v>
      </c>
      <c r="I182" s="600">
        <f t="shared" si="181"/>
        <v>20589.224799267831</v>
      </c>
      <c r="J182" s="600">
        <f t="shared" si="181"/>
        <v>21504.934894335325</v>
      </c>
      <c r="K182" s="600">
        <f t="shared" si="181"/>
        <v>22130.1517683112</v>
      </c>
      <c r="L182" s="600">
        <f t="shared" si="181"/>
        <v>22766.707923373655</v>
      </c>
      <c r="M182" s="600">
        <f t="shared" si="181"/>
        <v>23472.814931687251</v>
      </c>
      <c r="N182" s="600">
        <f t="shared" si="181"/>
        <v>24202.6282915583</v>
      </c>
      <c r="O182" s="600">
        <f t="shared" si="181"/>
        <v>24956.963950186622</v>
      </c>
      <c r="P182" s="600">
        <f t="shared" si="181"/>
        <v>25736.666689076304</v>
      </c>
      <c r="Q182" s="32"/>
    </row>
    <row r="183" spans="1:17" s="223" customFormat="1" ht="12" customHeight="1" x14ac:dyDescent="0.2">
      <c r="A183" s="220"/>
      <c r="B183" s="221" t="s">
        <v>597</v>
      </c>
      <c r="C183" s="224">
        <f t="shared" ref="C183:P183" si="182">+C136+C137-C176</f>
        <v>-73816.553828303469</v>
      </c>
      <c r="D183" s="224">
        <f t="shared" si="182"/>
        <v>-82174.861797082936</v>
      </c>
      <c r="E183" s="224">
        <f t="shared" si="182"/>
        <v>-100526.65739187854</v>
      </c>
      <c r="F183" s="224">
        <f t="shared" si="182"/>
        <v>-122742.26190541778</v>
      </c>
      <c r="G183" s="419">
        <f t="shared" si="182"/>
        <v>-148192.42479334539</v>
      </c>
      <c r="H183" s="473">
        <f t="shared" si="182"/>
        <v>-189681.7019441803</v>
      </c>
      <c r="I183" s="440">
        <f t="shared" si="182"/>
        <v>-209877.43803982763</v>
      </c>
      <c r="J183" s="224">
        <f t="shared" si="182"/>
        <v>-232524.44033094007</v>
      </c>
      <c r="K183" s="224">
        <f t="shared" si="182"/>
        <v>-256403.70042604906</v>
      </c>
      <c r="L183" s="224">
        <f t="shared" si="182"/>
        <v>-279827.90575783933</v>
      </c>
      <c r="M183" s="224">
        <f t="shared" si="182"/>
        <v>-304601.85020462843</v>
      </c>
      <c r="N183" s="224">
        <f t="shared" si="182"/>
        <v>-330173.79475248978</v>
      </c>
      <c r="O183" s="224">
        <f t="shared" si="182"/>
        <v>-356565.18906190572</v>
      </c>
      <c r="P183" s="224">
        <f t="shared" si="182"/>
        <v>-383797.99245838169</v>
      </c>
      <c r="Q183" s="222"/>
    </row>
    <row r="184" spans="1:17" s="477" customFormat="1" x14ac:dyDescent="0.2">
      <c r="A184" s="475"/>
      <c r="B184" s="478" t="s">
        <v>462</v>
      </c>
      <c r="C184" s="479">
        <f>+C183+C$159*(1-C$78)</f>
        <v>-57594.055388883768</v>
      </c>
      <c r="D184" s="479">
        <f t="shared" ref="D184:P184" si="183">+D183+D159*(1-D78)</f>
        <v>-64399.880661844356</v>
      </c>
      <c r="E184" s="479">
        <f t="shared" si="183"/>
        <v>-82218.819104226248</v>
      </c>
      <c r="F184" s="479">
        <f t="shared" si="183"/>
        <v>-103489.96695707458</v>
      </c>
      <c r="G184" s="479">
        <f t="shared" si="183"/>
        <v>-128029.3161226277</v>
      </c>
      <c r="H184" s="479">
        <f t="shared" si="183"/>
        <v>-168618.24656359025</v>
      </c>
      <c r="I184" s="479">
        <f t="shared" si="183"/>
        <v>-187888.16163449743</v>
      </c>
      <c r="J184" s="479">
        <f t="shared" si="183"/>
        <v>-209574.03745518587</v>
      </c>
      <c r="K184" s="479">
        <f t="shared" si="183"/>
        <v>-233603.55014681633</v>
      </c>
      <c r="L184" s="479">
        <f t="shared" si="183"/>
        <v>-256327.41694860169</v>
      </c>
      <c r="M184" s="479">
        <f t="shared" si="183"/>
        <v>-280336.1944399635</v>
      </c>
      <c r="N184" s="479">
        <f t="shared" si="183"/>
        <v>-305116.88545723469</v>
      </c>
      <c r="O184" s="479">
        <f t="shared" si="183"/>
        <v>-330690.02675023576</v>
      </c>
      <c r="P184" s="479">
        <f t="shared" si="183"/>
        <v>-357076.63225657208</v>
      </c>
      <c r="Q184" s="476"/>
    </row>
    <row r="185" spans="1:17" s="18" customFormat="1" x14ac:dyDescent="0.2">
      <c r="A185" s="56"/>
      <c r="B185" s="168" t="s">
        <v>233</v>
      </c>
      <c r="C185" s="193">
        <f>SUM(C186:C188)</f>
        <v>1004354.1394312126</v>
      </c>
      <c r="D185" s="193">
        <f t="shared" ref="D185:P185" si="184">SUM(D186:D188)</f>
        <v>1033576.641856415</v>
      </c>
      <c r="E185" s="193">
        <f t="shared" si="184"/>
        <v>1091657.3643871555</v>
      </c>
      <c r="F185" s="193">
        <f t="shared" si="184"/>
        <v>1098940.6873239563</v>
      </c>
      <c r="G185" s="414">
        <f t="shared" si="184"/>
        <v>1117944.2940450297</v>
      </c>
      <c r="H185" s="193">
        <f t="shared" si="184"/>
        <v>1142289.4492779821</v>
      </c>
      <c r="I185" s="436">
        <f t="shared" si="184"/>
        <v>1169999.9366789395</v>
      </c>
      <c r="J185" s="193">
        <f t="shared" si="184"/>
        <v>1199849.8986651618</v>
      </c>
      <c r="K185" s="193">
        <f t="shared" si="184"/>
        <v>1265741.41735159</v>
      </c>
      <c r="L185" s="193">
        <f t="shared" si="184"/>
        <v>1334701.0217168881</v>
      </c>
      <c r="M185" s="193">
        <f t="shared" si="184"/>
        <v>1401193.0927892753</v>
      </c>
      <c r="N185" s="193">
        <f t="shared" si="184"/>
        <v>1470516.6659226962</v>
      </c>
      <c r="O185" s="193">
        <f t="shared" si="184"/>
        <v>1542784.3179672356</v>
      </c>
      <c r="P185" s="193">
        <f t="shared" si="184"/>
        <v>1618112.9322954891</v>
      </c>
      <c r="Q185" s="17"/>
    </row>
    <row r="186" spans="1:17" x14ac:dyDescent="0.2">
      <c r="A186" s="2"/>
      <c r="B186" s="44" t="s">
        <v>157</v>
      </c>
      <c r="C186" s="194">
        <f>+'[4]+Оп_i0'!$J$46</f>
        <v>136397.8569351882</v>
      </c>
      <c r="D186" s="192">
        <f>+D143-D177-D195</f>
        <v>173949.43738803195</v>
      </c>
      <c r="E186" s="598">
        <f>+D186*E$104*E$78/D$78</f>
        <v>183349.34007515441</v>
      </c>
      <c r="F186" s="598">
        <f>+E186*F$104*F$78/E$78</f>
        <v>187774.33800584023</v>
      </c>
      <c r="G186" s="598">
        <f t="shared" ref="G186:P186" si="185">+F186*G$104*G$78/F$78</f>
        <v>193347.30702546408</v>
      </c>
      <c r="H186" s="598">
        <f t="shared" si="185"/>
        <v>199785.48011452102</v>
      </c>
      <c r="I186" s="598">
        <f t="shared" si="185"/>
        <v>206624.39769966406</v>
      </c>
      <c r="J186" s="598">
        <f t="shared" si="185"/>
        <v>213758.71803917509</v>
      </c>
      <c r="K186" s="598">
        <f t="shared" si="185"/>
        <v>225192.49257749855</v>
      </c>
      <c r="L186" s="598">
        <f t="shared" si="185"/>
        <v>237251.35405644521</v>
      </c>
      <c r="M186" s="598">
        <f t="shared" si="185"/>
        <v>249251.5624811762</v>
      </c>
      <c r="N186" s="598">
        <f t="shared" si="185"/>
        <v>261787.46377744686</v>
      </c>
      <c r="O186" s="598">
        <f t="shared" si="185"/>
        <v>274882.10918627359</v>
      </c>
      <c r="P186" s="598">
        <f t="shared" si="185"/>
        <v>288559.51867176272</v>
      </c>
    </row>
    <row r="187" spans="1:17" x14ac:dyDescent="0.2">
      <c r="A187" s="2"/>
      <c r="B187" s="44" t="s">
        <v>159</v>
      </c>
      <c r="C187" s="194">
        <f>+C151*C$78</f>
        <v>62433.651512760829</v>
      </c>
      <c r="D187" s="181">
        <f>+D151-D178-D196</f>
        <v>66274.565229768457</v>
      </c>
      <c r="E187" s="598">
        <f>+D187*E$104*E$78/D$78</f>
        <v>69855.918944649951</v>
      </c>
      <c r="F187" s="598">
        <f>+E187*F$104*F$78/E$78</f>
        <v>71541.838821151963</v>
      </c>
      <c r="G187" s="598">
        <f t="shared" ref="G187" si="186">+F187*G$104*G$78/F$78</f>
        <v>73665.134557893165</v>
      </c>
      <c r="H187" s="598">
        <f t="shared" ref="H187" si="187">+G187*H$104*H$78/G$78</f>
        <v>76118.072197463829</v>
      </c>
      <c r="I187" s="598">
        <f t="shared" ref="I187" si="188">+H187*I$104*I$78/H$78</f>
        <v>78723.693097441268</v>
      </c>
      <c r="J187" s="598">
        <f t="shared" ref="J187" si="189">+I187*J$104*J$78/I$78</f>
        <v>81441.862157432261</v>
      </c>
      <c r="K187" s="598">
        <f t="shared" ref="K187" si="190">+J187*K$104*K$78/J$78</f>
        <v>85798.119055074407</v>
      </c>
      <c r="L187" s="598">
        <f t="shared" ref="L187" si="191">+K187*L$104*L$78/K$78</f>
        <v>90392.533464707769</v>
      </c>
      <c r="M187" s="598">
        <f t="shared" ref="M187" si="192">+L187*M$104*M$78/L$78</f>
        <v>94964.601118146296</v>
      </c>
      <c r="N187" s="598">
        <f t="shared" ref="N187" si="193">+M187*N$104*N$78/M$78</f>
        <v>99740.767230832964</v>
      </c>
      <c r="O187" s="598">
        <f t="shared" ref="O187" si="194">+N187*O$104*O$78/N$78</f>
        <v>104729.81430301213</v>
      </c>
      <c r="P187" s="598">
        <f t="shared" ref="P187" si="195">+O187*P$104*P$78/O$78</f>
        <v>109940.89391747639</v>
      </c>
    </row>
    <row r="188" spans="1:17" x14ac:dyDescent="0.2">
      <c r="A188" s="2"/>
      <c r="B188" s="44" t="s">
        <v>235</v>
      </c>
      <c r="C188" s="192">
        <f>SUM(C189:C191)</f>
        <v>805522.6309832636</v>
      </c>
      <c r="D188" s="192">
        <f t="shared" ref="D188:P188" si="196">SUM(D189:D191)</f>
        <v>793352.63923861459</v>
      </c>
      <c r="E188" s="192">
        <f t="shared" si="196"/>
        <v>838452.10536735109</v>
      </c>
      <c r="F188" s="192">
        <f t="shared" si="196"/>
        <v>839624.51049696421</v>
      </c>
      <c r="G188" s="415">
        <f t="shared" si="196"/>
        <v>850931.8524616725</v>
      </c>
      <c r="H188" s="192">
        <f t="shared" si="196"/>
        <v>866385.89696599729</v>
      </c>
      <c r="I188" s="437">
        <f t="shared" si="196"/>
        <v>884651.84588183428</v>
      </c>
      <c r="J188" s="192">
        <f t="shared" si="196"/>
        <v>904649.31846855441</v>
      </c>
      <c r="K188" s="192">
        <f t="shared" si="196"/>
        <v>954750.80571901693</v>
      </c>
      <c r="L188" s="192">
        <f t="shared" si="196"/>
        <v>1007057.134195735</v>
      </c>
      <c r="M188" s="192">
        <f t="shared" si="196"/>
        <v>1056976.9291899528</v>
      </c>
      <c r="N188" s="192">
        <f t="shared" si="196"/>
        <v>1108988.4349144164</v>
      </c>
      <c r="O188" s="192">
        <f t="shared" si="196"/>
        <v>1163172.3944779497</v>
      </c>
      <c r="P188" s="192">
        <f t="shared" si="196"/>
        <v>1219612.5197062499</v>
      </c>
    </row>
    <row r="189" spans="1:17" s="35" customFormat="1" x14ac:dyDescent="0.2">
      <c r="A189" s="33"/>
      <c r="B189" s="110" t="s">
        <v>161</v>
      </c>
      <c r="C189" s="218">
        <f t="shared" ref="C189:P189" si="197">+C61*C102/1000</f>
        <v>789061.34048205335</v>
      </c>
      <c r="D189" s="218">
        <f t="shared" si="197"/>
        <v>776232.89711735595</v>
      </c>
      <c r="E189" s="218">
        <f t="shared" si="197"/>
        <v>820407.2443587603</v>
      </c>
      <c r="F189" s="218">
        <f t="shared" si="197"/>
        <v>821144.15038818691</v>
      </c>
      <c r="G189" s="418">
        <f t="shared" si="197"/>
        <v>831903.01232388022</v>
      </c>
      <c r="H189" s="218">
        <f t="shared" si="197"/>
        <v>846723.42521276721</v>
      </c>
      <c r="I189" s="439">
        <f t="shared" si="197"/>
        <v>864316.30207269965</v>
      </c>
      <c r="J189" s="218">
        <f t="shared" si="197"/>
        <v>883611.62967834447</v>
      </c>
      <c r="K189" s="218">
        <f t="shared" si="197"/>
        <v>932587.82860072772</v>
      </c>
      <c r="L189" s="218">
        <f t="shared" si="197"/>
        <v>983707.34899174317</v>
      </c>
      <c r="M189" s="218">
        <f t="shared" si="197"/>
        <v>1032446.1084119597</v>
      </c>
      <c r="N189" s="218">
        <f t="shared" si="197"/>
        <v>1083223.8567832969</v>
      </c>
      <c r="O189" s="218">
        <f t="shared" si="197"/>
        <v>1136119.0685593432</v>
      </c>
      <c r="P189" s="218">
        <f t="shared" si="197"/>
        <v>1191213.0915708474</v>
      </c>
      <c r="Q189" s="32"/>
    </row>
    <row r="190" spans="1:17" s="219" customFormat="1" x14ac:dyDescent="0.2">
      <c r="A190" s="212"/>
      <c r="B190" s="110" t="s">
        <v>162</v>
      </c>
      <c r="C190" s="218">
        <f t="shared" ref="C190:P190" si="198">+C24*C90</f>
        <v>0</v>
      </c>
      <c r="D190" s="218">
        <f t="shared" si="198"/>
        <v>0</v>
      </c>
      <c r="E190" s="218">
        <f t="shared" si="198"/>
        <v>0</v>
      </c>
      <c r="F190" s="218">
        <f t="shared" si="198"/>
        <v>0</v>
      </c>
      <c r="G190" s="218">
        <f t="shared" si="198"/>
        <v>0</v>
      </c>
      <c r="H190" s="218">
        <f t="shared" si="198"/>
        <v>0</v>
      </c>
      <c r="I190" s="218">
        <f t="shared" si="198"/>
        <v>0</v>
      </c>
      <c r="J190" s="218">
        <f t="shared" si="198"/>
        <v>0</v>
      </c>
      <c r="K190" s="218">
        <f t="shared" si="198"/>
        <v>0</v>
      </c>
      <c r="L190" s="218">
        <f t="shared" si="198"/>
        <v>0</v>
      </c>
      <c r="M190" s="218">
        <f t="shared" si="198"/>
        <v>0</v>
      </c>
      <c r="N190" s="218">
        <f t="shared" si="198"/>
        <v>0</v>
      </c>
      <c r="O190" s="218">
        <f t="shared" si="198"/>
        <v>0</v>
      </c>
      <c r="P190" s="218">
        <f t="shared" si="198"/>
        <v>0</v>
      </c>
      <c r="Q190" s="213"/>
    </row>
    <row r="191" spans="1:17" s="35" customFormat="1" x14ac:dyDescent="0.2">
      <c r="A191" s="33"/>
      <c r="B191" s="110" t="s">
        <v>163</v>
      </c>
      <c r="C191" s="194">
        <v>16461.290501210249</v>
      </c>
      <c r="D191" s="160">
        <f t="shared" ref="D191" si="199">+C191*D$104</f>
        <v>17119.74212125866</v>
      </c>
      <c r="E191" s="598">
        <f>+D191*E$104*E$78/D$78</f>
        <v>18044.861008590771</v>
      </c>
      <c r="F191" s="598">
        <f t="shared" ref="F191:P191" si="200">+E191*F$104*F$78/E$78</f>
        <v>18480.360108777313</v>
      </c>
      <c r="G191" s="598">
        <f t="shared" si="200"/>
        <v>19028.840137792271</v>
      </c>
      <c r="H191" s="598">
        <f t="shared" si="200"/>
        <v>19662.471753230115</v>
      </c>
      <c r="I191" s="598">
        <f t="shared" si="200"/>
        <v>20335.543809134593</v>
      </c>
      <c r="J191" s="598">
        <f t="shared" si="200"/>
        <v>21037.688790209901</v>
      </c>
      <c r="K191" s="598">
        <f t="shared" si="200"/>
        <v>22162.977118289182</v>
      </c>
      <c r="L191" s="598">
        <f t="shared" si="200"/>
        <v>23349.785203991851</v>
      </c>
      <c r="M191" s="598">
        <f t="shared" si="200"/>
        <v>24530.820777992994</v>
      </c>
      <c r="N191" s="598">
        <f t="shared" si="200"/>
        <v>25764.578131119513</v>
      </c>
      <c r="O191" s="598">
        <f t="shared" si="200"/>
        <v>27053.32591860653</v>
      </c>
      <c r="P191" s="598">
        <f t="shared" si="200"/>
        <v>28399.428135402432</v>
      </c>
      <c r="Q191" s="32"/>
    </row>
    <row r="192" spans="1:17" s="223" customFormat="1" x14ac:dyDescent="0.2">
      <c r="A192" s="220"/>
      <c r="B192" s="221" t="s">
        <v>598</v>
      </c>
      <c r="C192" s="224">
        <f t="shared" ref="C192:P192" si="201">+C138-C185</f>
        <v>199506.75577165093</v>
      </c>
      <c r="D192" s="224">
        <f t="shared" si="201"/>
        <v>233547.17032581475</v>
      </c>
      <c r="E192" s="224">
        <f t="shared" si="201"/>
        <v>302684.43757664086</v>
      </c>
      <c r="F192" s="224">
        <f t="shared" si="201"/>
        <v>366513.51018143888</v>
      </c>
      <c r="G192" s="419">
        <f t="shared" si="201"/>
        <v>438667.9887636858</v>
      </c>
      <c r="H192" s="473">
        <f t="shared" si="201"/>
        <v>518875.60399855464</v>
      </c>
      <c r="I192" s="440">
        <f t="shared" si="201"/>
        <v>607922.54755142215</v>
      </c>
      <c r="J192" s="224">
        <f t="shared" si="201"/>
        <v>564763.35784405936</v>
      </c>
      <c r="K192" s="224">
        <f t="shared" si="201"/>
        <v>542633.22942890017</v>
      </c>
      <c r="L192" s="224">
        <f t="shared" si="201"/>
        <v>517435.0153348709</v>
      </c>
      <c r="M192" s="224">
        <f t="shared" si="201"/>
        <v>486243.28072100691</v>
      </c>
      <c r="N192" s="224">
        <f t="shared" si="201"/>
        <v>452220.04404610931</v>
      </c>
      <c r="O192" s="224">
        <f t="shared" si="201"/>
        <v>434833.09892436652</v>
      </c>
      <c r="P192" s="224">
        <f t="shared" si="201"/>
        <v>435423.2395535158</v>
      </c>
      <c r="Q192" s="222"/>
    </row>
    <row r="193" spans="1:18" s="266" customFormat="1" x14ac:dyDescent="0.2">
      <c r="A193" s="264"/>
      <c r="B193" s="478" t="s">
        <v>463</v>
      </c>
      <c r="C193" s="479">
        <f t="shared" ref="C193:P193" si="202">+C192+C$159*(C$78)</f>
        <v>216250.13756266117</v>
      </c>
      <c r="D193" s="479">
        <f t="shared" si="202"/>
        <v>248738.0694210061</v>
      </c>
      <c r="E193" s="479">
        <f t="shared" si="202"/>
        <v>318726.99000146502</v>
      </c>
      <c r="F193" s="479">
        <f t="shared" si="202"/>
        <v>382907.14678429178</v>
      </c>
      <c r="G193" s="479">
        <f t="shared" si="202"/>
        <v>455524.36778979574</v>
      </c>
      <c r="H193" s="479">
        <f t="shared" si="202"/>
        <v>536277.46149418131</v>
      </c>
      <c r="I193" s="479">
        <f t="shared" si="202"/>
        <v>625906.10575747688</v>
      </c>
      <c r="J193" s="479">
        <f t="shared" si="202"/>
        <v>583354.2015203234</v>
      </c>
      <c r="K193" s="479">
        <f t="shared" si="202"/>
        <v>561540.56387844693</v>
      </c>
      <c r="L193" s="479">
        <f t="shared" si="202"/>
        <v>537392.6211562372</v>
      </c>
      <c r="M193" s="479">
        <f t="shared" si="202"/>
        <v>507241.75924547069</v>
      </c>
      <c r="N193" s="479">
        <f t="shared" si="202"/>
        <v>474307.05247415346</v>
      </c>
      <c r="O193" s="479">
        <f t="shared" si="202"/>
        <v>458058.37509434199</v>
      </c>
      <c r="P193" s="479">
        <f t="shared" si="202"/>
        <v>459838.69046544371</v>
      </c>
      <c r="Q193" s="265"/>
    </row>
    <row r="194" spans="1:18" s="18" customFormat="1" x14ac:dyDescent="0.2">
      <c r="A194" s="56"/>
      <c r="B194" s="168" t="s">
        <v>409</v>
      </c>
      <c r="C194" s="193">
        <f>SUM(C195:C197)</f>
        <v>102780.49369</v>
      </c>
      <c r="D194" s="193">
        <f t="shared" ref="D194:P194" si="203">SUM(D195:D197)</f>
        <v>106639.04040922999</v>
      </c>
      <c r="E194" s="193">
        <f t="shared" si="203"/>
        <v>110650.00422732488</v>
      </c>
      <c r="F194" s="193">
        <f t="shared" si="203"/>
        <v>102513.34412740913</v>
      </c>
      <c r="G194" s="414">
        <f t="shared" si="203"/>
        <v>85167.189815804013</v>
      </c>
      <c r="H194" s="193">
        <f t="shared" si="203"/>
        <v>64857.067414109595</v>
      </c>
      <c r="I194" s="436">
        <f t="shared" si="203"/>
        <v>53093.026218110987</v>
      </c>
      <c r="J194" s="193">
        <f t="shared" si="203"/>
        <v>28014.007075397953</v>
      </c>
      <c r="K194" s="193">
        <f t="shared" si="203"/>
        <v>10063.215846693929</v>
      </c>
      <c r="L194" s="193">
        <f t="shared" si="203"/>
        <v>10465.744480561687</v>
      </c>
      <c r="M194" s="193">
        <f t="shared" si="203"/>
        <v>10884.374259784156</v>
      </c>
      <c r="N194" s="193">
        <f t="shared" si="203"/>
        <v>11319.749230175523</v>
      </c>
      <c r="O194" s="193">
        <f t="shared" si="203"/>
        <v>11772.539199382543</v>
      </c>
      <c r="P194" s="193">
        <f t="shared" si="203"/>
        <v>12243.440767357846</v>
      </c>
      <c r="Q194" s="17"/>
    </row>
    <row r="195" spans="1:18" x14ac:dyDescent="0.2">
      <c r="A195" s="2"/>
      <c r="B195" s="44" t="s">
        <v>157</v>
      </c>
      <c r="C195" s="194">
        <f>+[15]ГОД!$AO$33+[15]ГОД!$AO$40+[15]ГОД!$AO$49+[15]ГОД!$AO$62</f>
        <v>28319.299730000002</v>
      </c>
      <c r="D195" s="472">
        <f>IF(C$80=0,0,+C195*D$80/C$80*D$104)</f>
        <v>29452.071719200005</v>
      </c>
      <c r="E195" s="472">
        <f>IF(D$80=0,0,+D195*E$80/D$80*E$104)</f>
        <v>30630.154587968005</v>
      </c>
      <c r="F195" s="472">
        <f>IF(E$80=0,0,+E195*F$80/E$80*F$104)</f>
        <v>27985.19801958188</v>
      </c>
      <c r="G195" s="472">
        <f>IF(F$80=0,0,+F195*G$80/F$80*G$104)</f>
        <v>22414.820748685059</v>
      </c>
      <c r="H195" s="472">
        <f t="shared" ref="H195:P195" si="204">IF(G$80=0,0,+G195*H$80/G$80*H$104)</f>
        <v>15872.174508629527</v>
      </c>
      <c r="I195" s="472">
        <f t="shared" si="204"/>
        <v>11997.347426234897</v>
      </c>
      <c r="J195" s="472">
        <f t="shared" si="204"/>
        <v>3869.4517139463969</v>
      </c>
      <c r="K195" s="472">
        <f t="shared" si="204"/>
        <v>0</v>
      </c>
      <c r="L195" s="472">
        <f t="shared" si="204"/>
        <v>0</v>
      </c>
      <c r="M195" s="472">
        <f t="shared" si="204"/>
        <v>0</v>
      </c>
      <c r="N195" s="472">
        <f t="shared" si="204"/>
        <v>0</v>
      </c>
      <c r="O195" s="472">
        <f t="shared" si="204"/>
        <v>0</v>
      </c>
      <c r="P195" s="472">
        <f t="shared" si="204"/>
        <v>0</v>
      </c>
    </row>
    <row r="196" spans="1:18" x14ac:dyDescent="0.2">
      <c r="A196" s="2"/>
      <c r="B196" s="44" t="s">
        <v>159</v>
      </c>
      <c r="C196" s="194">
        <f>+[15]ГОД!$AO$51+[15]ГОД!$AO$53+[15]ГОД!$AO$60</f>
        <v>12025.992259999999</v>
      </c>
      <c r="D196" s="472">
        <f>IF(D139=0,D140,+C196*D$104)</f>
        <v>12507.0319504</v>
      </c>
      <c r="E196" s="472">
        <f>IF(E139=0,E140,+D196*E$104)</f>
        <v>13007.313228416</v>
      </c>
      <c r="F196" s="472">
        <f t="shared" ref="F196:H196" si="205">IF(F139=0,F140,+E196*F$104)</f>
        <v>13527.605757552641</v>
      </c>
      <c r="G196" s="472">
        <f t="shared" si="205"/>
        <v>14068.709987854747</v>
      </c>
      <c r="H196" s="472">
        <f t="shared" si="205"/>
        <v>14631.458387368937</v>
      </c>
      <c r="I196" s="472">
        <f>IF(I139=0,I140,+H196*I$104)</f>
        <v>15216.716722863695</v>
      </c>
      <c r="J196" s="472">
        <f>IF(J139=0,J140,+I196*J$104)</f>
        <v>15825.385391778244</v>
      </c>
      <c r="K196" s="472">
        <f>IF(K139=0,K140,+J196*K$104)</f>
        <v>10063.215846693929</v>
      </c>
      <c r="L196" s="472">
        <f>IF(L139=0,L140,+K196*L$104)</f>
        <v>10465.744480561687</v>
      </c>
      <c r="M196" s="472">
        <f t="shared" ref="M196:O196" si="206">IF(M139=0,M140,+L196*M$104)</f>
        <v>10884.374259784156</v>
      </c>
      <c r="N196" s="472">
        <f t="shared" si="206"/>
        <v>11319.749230175523</v>
      </c>
      <c r="O196" s="472">
        <f t="shared" si="206"/>
        <v>11772.539199382543</v>
      </c>
      <c r="P196" s="472">
        <f>IF(P139=0,P140,+O196*P$104)</f>
        <v>12243.440767357846</v>
      </c>
      <c r="R196" s="369"/>
    </row>
    <row r="197" spans="1:18" x14ac:dyDescent="0.2">
      <c r="A197" s="2"/>
      <c r="B197" s="44" t="s">
        <v>235</v>
      </c>
      <c r="C197" s="192">
        <f>SUM(C198:C200)</f>
        <v>62435.201699999998</v>
      </c>
      <c r="D197" s="192">
        <f t="shared" ref="D197:P197" si="207">SUM(D198:D200)</f>
        <v>64679.936739629979</v>
      </c>
      <c r="E197" s="192">
        <f t="shared" si="207"/>
        <v>67012.536410940884</v>
      </c>
      <c r="F197" s="192">
        <f t="shared" si="207"/>
        <v>61000.540350274605</v>
      </c>
      <c r="G197" s="415">
        <f t="shared" si="207"/>
        <v>48683.659079264216</v>
      </c>
      <c r="H197" s="192">
        <f t="shared" si="207"/>
        <v>34353.434518111135</v>
      </c>
      <c r="I197" s="437">
        <f t="shared" si="207"/>
        <v>25878.962069012392</v>
      </c>
      <c r="J197" s="192">
        <f t="shared" si="207"/>
        <v>8319.1699696733103</v>
      </c>
      <c r="K197" s="192">
        <f t="shared" si="207"/>
        <v>0</v>
      </c>
      <c r="L197" s="192">
        <f t="shared" si="207"/>
        <v>0</v>
      </c>
      <c r="M197" s="192">
        <f t="shared" si="207"/>
        <v>0</v>
      </c>
      <c r="N197" s="192">
        <f t="shared" si="207"/>
        <v>0</v>
      </c>
      <c r="O197" s="192">
        <f t="shared" si="207"/>
        <v>0</v>
      </c>
      <c r="P197" s="192">
        <f t="shared" si="207"/>
        <v>0</v>
      </c>
      <c r="R197" s="369"/>
    </row>
    <row r="198" spans="1:18" s="35" customFormat="1" x14ac:dyDescent="0.2">
      <c r="A198" s="33"/>
      <c r="B198" s="110" t="s">
        <v>161</v>
      </c>
      <c r="C198" s="267"/>
      <c r="D198" s="267"/>
      <c r="E198" s="267"/>
      <c r="F198" s="267"/>
      <c r="G198" s="420"/>
      <c r="H198" s="267"/>
      <c r="I198" s="441"/>
      <c r="J198" s="267"/>
      <c r="K198" s="267"/>
      <c r="L198" s="267"/>
      <c r="M198" s="267"/>
      <c r="N198" s="267"/>
      <c r="O198" s="267"/>
      <c r="P198" s="267"/>
      <c r="Q198" s="32"/>
      <c r="R198" s="369"/>
    </row>
    <row r="199" spans="1:18" s="219" customFormat="1" x14ac:dyDescent="0.2">
      <c r="A199" s="212"/>
      <c r="B199" s="110" t="s">
        <v>162</v>
      </c>
      <c r="C199" s="263">
        <f>+[15]ГОД!$AP$21</f>
        <v>7802.7962900000002</v>
      </c>
      <c r="D199" s="472">
        <f>IF(C$80=0,0,+C199*D$80/C$80*D$91)</f>
        <v>7862.2351132299755</v>
      </c>
      <c r="E199" s="472">
        <f>IF(D$80=0,0,+D199*E$80/D$80*E$91)</f>
        <v>7922.1267194848633</v>
      </c>
      <c r="F199" s="472">
        <f>IF(E$80=0,0,+E199*F$80/E$80*F$91)</f>
        <v>7012.6699487586193</v>
      </c>
      <c r="G199" s="472">
        <f>IF(F$80=0,0,+F199*G$80/F$80*G$91)</f>
        <v>5441.9269033308447</v>
      </c>
      <c r="H199" s="472">
        <f>IF(G$80=0,0,+G199*H$80/G$80*H$91)</f>
        <v>3733.5010889268619</v>
      </c>
      <c r="I199" s="472">
        <f t="shared" ref="I199:P199" si="208">IF(H$80=0,0,+H199*I$80/H$80*I$91)</f>
        <v>2734.1825481988253</v>
      </c>
      <c r="J199" s="472">
        <f t="shared" si="208"/>
        <v>854.38599668560857</v>
      </c>
      <c r="K199" s="472">
        <f t="shared" si="208"/>
        <v>0</v>
      </c>
      <c r="L199" s="472">
        <f t="shared" si="208"/>
        <v>0</v>
      </c>
      <c r="M199" s="472">
        <f t="shared" si="208"/>
        <v>0</v>
      </c>
      <c r="N199" s="472">
        <f t="shared" si="208"/>
        <v>0</v>
      </c>
      <c r="O199" s="472">
        <f t="shared" si="208"/>
        <v>0</v>
      </c>
      <c r="P199" s="472">
        <f t="shared" si="208"/>
        <v>0</v>
      </c>
      <c r="Q199" s="213"/>
    </row>
    <row r="200" spans="1:18" s="35" customFormat="1" x14ac:dyDescent="0.2">
      <c r="A200" s="33"/>
      <c r="B200" s="110" t="s">
        <v>163</v>
      </c>
      <c r="C200" s="263">
        <f>+[15]ГОД!$AO$30</f>
        <v>54632.405409999999</v>
      </c>
      <c r="D200" s="472">
        <f>IF(C$80=0,0,+C200*D$80/C$80*D$104)</f>
        <v>56817.701626400005</v>
      </c>
      <c r="E200" s="472">
        <f t="shared" ref="E200:P200" si="209">IF(D80=0,0,+D200*E80/D80*E$104)</f>
        <v>59090.409691456014</v>
      </c>
      <c r="F200" s="472">
        <f t="shared" si="209"/>
        <v>53987.870401515989</v>
      </c>
      <c r="G200" s="472">
        <f t="shared" si="209"/>
        <v>43241.732175933372</v>
      </c>
      <c r="H200" s="472">
        <f t="shared" si="209"/>
        <v>30619.933429184275</v>
      </c>
      <c r="I200" s="472">
        <f t="shared" si="209"/>
        <v>23144.779520813569</v>
      </c>
      <c r="J200" s="472">
        <f t="shared" si="209"/>
        <v>7464.7839729877023</v>
      </c>
      <c r="K200" s="472">
        <f t="shared" si="209"/>
        <v>0</v>
      </c>
      <c r="L200" s="472">
        <f t="shared" si="209"/>
        <v>0</v>
      </c>
      <c r="M200" s="472">
        <f t="shared" si="209"/>
        <v>0</v>
      </c>
      <c r="N200" s="472">
        <f t="shared" si="209"/>
        <v>0</v>
      </c>
      <c r="O200" s="472">
        <f t="shared" si="209"/>
        <v>0</v>
      </c>
      <c r="P200" s="472">
        <f t="shared" si="209"/>
        <v>0</v>
      </c>
      <c r="Q200" s="32"/>
    </row>
    <row r="201" spans="1:18" s="223" customFormat="1" x14ac:dyDescent="0.2">
      <c r="A201" s="220"/>
      <c r="B201" s="221" t="s">
        <v>599</v>
      </c>
      <c r="C201" s="224">
        <f>C139+C140-C194</f>
        <v>-41719.265723611476</v>
      </c>
      <c r="D201" s="224">
        <f t="shared" ref="D201:P201" si="210">D139+D140-D194</f>
        <v>-44185.359549929999</v>
      </c>
      <c r="E201" s="224">
        <f t="shared" si="210"/>
        <v>-45698.176133652887</v>
      </c>
      <c r="F201" s="224">
        <f t="shared" si="210"/>
        <v>-42165.310985403412</v>
      </c>
      <c r="G201" s="224">
        <f t="shared" si="210"/>
        <v>-34854.05300562342</v>
      </c>
      <c r="H201" s="224">
        <f t="shared" si="210"/>
        <v>-26374.858701336314</v>
      </c>
      <c r="I201" s="224">
        <f t="shared" si="210"/>
        <v>-21463.51880162974</v>
      </c>
      <c r="J201" s="224">
        <f t="shared" si="210"/>
        <v>-11137.293065521466</v>
      </c>
      <c r="K201" s="224">
        <f t="shared" si="210"/>
        <v>0</v>
      </c>
      <c r="L201" s="224">
        <f t="shared" si="210"/>
        <v>0</v>
      </c>
      <c r="M201" s="224">
        <f t="shared" si="210"/>
        <v>0</v>
      </c>
      <c r="N201" s="224">
        <f t="shared" si="210"/>
        <v>0</v>
      </c>
      <c r="O201" s="224">
        <f t="shared" si="210"/>
        <v>0</v>
      </c>
      <c r="P201" s="224">
        <f t="shared" si="210"/>
        <v>0</v>
      </c>
      <c r="Q201" s="222"/>
    </row>
    <row r="202" spans="1:18" s="223" customFormat="1" x14ac:dyDescent="0.2">
      <c r="A202" s="220"/>
      <c r="B202" s="478" t="s">
        <v>474</v>
      </c>
      <c r="C202" s="491">
        <f>+C201+[15]ГОД!$AO$53</f>
        <v>-35296.655763611474</v>
      </c>
      <c r="D202" s="491">
        <f>+D201+[15]ГОД!$AO$53</f>
        <v>-37762.749589929997</v>
      </c>
      <c r="E202" s="491">
        <f>+E201+[15]ГОД!$AO$53</f>
        <v>-39275.566173652885</v>
      </c>
      <c r="F202" s="491">
        <f>+F201+[15]ГОД!$AO$53</f>
        <v>-35742.70102540341</v>
      </c>
      <c r="G202" s="491">
        <f>+G201+[15]ГОД!$AO$53</f>
        <v>-28431.443045623419</v>
      </c>
      <c r="H202" s="491">
        <f>+H201+[15]ГОД!$AO$53</f>
        <v>-19952.248741336312</v>
      </c>
      <c r="I202" s="491">
        <f>+I201+[15]ГОД!$AO$53</f>
        <v>-15040.90884162974</v>
      </c>
      <c r="J202" s="491">
        <f>+J201+[15]ГОД!$AO$53</f>
        <v>-4714.6831055214661</v>
      </c>
      <c r="K202" s="491">
        <f>+K201+[15]ГОД!$AO$53</f>
        <v>6422.6099599999998</v>
      </c>
      <c r="L202" s="491">
        <f>+L201+[15]ГОД!$AO$53</f>
        <v>6422.6099599999998</v>
      </c>
      <c r="M202" s="491">
        <f>+M201+[15]ГОД!$AO$53</f>
        <v>6422.6099599999998</v>
      </c>
      <c r="N202" s="491">
        <f>+N201+[15]ГОД!$AO$53</f>
        <v>6422.6099599999998</v>
      </c>
      <c r="O202" s="491">
        <f>+O201+[15]ГОД!$AO$53</f>
        <v>6422.6099599999998</v>
      </c>
      <c r="P202" s="491">
        <f>+P201+[15]ГОД!$AO$53</f>
        <v>6422.6099599999998</v>
      </c>
      <c r="Q202" s="222"/>
    </row>
    <row r="203" spans="1:18" s="266" customFormat="1" x14ac:dyDescent="0.2">
      <c r="A203" s="264"/>
      <c r="B203" s="221" t="s">
        <v>596</v>
      </c>
      <c r="C203" s="203">
        <f t="shared" ref="C203:P203" si="211">+C135-C142</f>
        <v>83970.936219735537</v>
      </c>
      <c r="D203" s="203">
        <f t="shared" si="211"/>
        <v>107186.94897880172</v>
      </c>
      <c r="E203" s="203">
        <f t="shared" si="211"/>
        <v>156459.60405110894</v>
      </c>
      <c r="F203" s="203">
        <f t="shared" si="211"/>
        <v>201605.93729061726</v>
      </c>
      <c r="G203" s="416">
        <f t="shared" si="211"/>
        <v>255621.51096471678</v>
      </c>
      <c r="H203" s="474">
        <f t="shared" si="211"/>
        <v>302819.04335303791</v>
      </c>
      <c r="I203" s="438">
        <f t="shared" si="211"/>
        <v>376581.59070996428</v>
      </c>
      <c r="J203" s="203">
        <f t="shared" si="211"/>
        <v>321101.62444759766</v>
      </c>
      <c r="K203" s="203">
        <f t="shared" si="211"/>
        <v>286229.52900285088</v>
      </c>
      <c r="L203" s="203">
        <f t="shared" si="211"/>
        <v>237607.10957703087</v>
      </c>
      <c r="M203" s="203">
        <f t="shared" si="211"/>
        <v>181641.43051637849</v>
      </c>
      <c r="N203" s="203">
        <f t="shared" si="211"/>
        <v>122046.24929362023</v>
      </c>
      <c r="O203" s="203">
        <f t="shared" si="211"/>
        <v>78267.909862461034</v>
      </c>
      <c r="P203" s="203">
        <f t="shared" si="211"/>
        <v>51625.247095134109</v>
      </c>
      <c r="Q203" s="265"/>
    </row>
    <row r="204" spans="1:18" s="350" customFormat="1" x14ac:dyDescent="0.2">
      <c r="A204" s="348"/>
      <c r="B204" s="478" t="s">
        <v>464</v>
      </c>
      <c r="C204" s="480">
        <f>+C184+C193+C202</f>
        <v>123359.42641016592</v>
      </c>
      <c r="D204" s="480">
        <f t="shared" ref="D204:P204" si="212">+D184+D193+D202</f>
        <v>146575.43916923174</v>
      </c>
      <c r="E204" s="480">
        <f t="shared" si="212"/>
        <v>197232.60472358589</v>
      </c>
      <c r="F204" s="480">
        <f t="shared" si="212"/>
        <v>243674.47880181379</v>
      </c>
      <c r="G204" s="480">
        <f t="shared" si="212"/>
        <v>299063.60862154461</v>
      </c>
      <c r="H204" s="480">
        <f t="shared" si="212"/>
        <v>347706.96618925477</v>
      </c>
      <c r="I204" s="480">
        <f t="shared" si="212"/>
        <v>422977.03528134967</v>
      </c>
      <c r="J204" s="480">
        <f t="shared" si="212"/>
        <v>369065.48095961602</v>
      </c>
      <c r="K204" s="480">
        <f t="shared" si="212"/>
        <v>334359.62369163061</v>
      </c>
      <c r="L204" s="480">
        <f t="shared" si="212"/>
        <v>287487.81416763546</v>
      </c>
      <c r="M204" s="480">
        <f t="shared" si="212"/>
        <v>233328.1747655072</v>
      </c>
      <c r="N204" s="480">
        <f t="shared" si="212"/>
        <v>175612.77697691877</v>
      </c>
      <c r="O204" s="480">
        <f t="shared" si="212"/>
        <v>133790.95830410623</v>
      </c>
      <c r="P204" s="480">
        <f t="shared" si="212"/>
        <v>109184.66816887163</v>
      </c>
      <c r="Q204" s="349"/>
    </row>
    <row r="205" spans="1:18" s="11" customFormat="1" x14ac:dyDescent="0.2">
      <c r="A205" s="7"/>
      <c r="B205" s="869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8" s="21" customFormat="1" x14ac:dyDescent="0.2">
      <c r="A206" s="19"/>
      <c r="B206" s="20"/>
      <c r="C206" s="868"/>
      <c r="D206" s="868"/>
      <c r="E206" s="868"/>
      <c r="F206" s="868"/>
      <c r="G206" s="868"/>
      <c r="H206" s="868"/>
      <c r="I206" s="868"/>
      <c r="J206" s="868"/>
      <c r="K206" s="868"/>
      <c r="L206" s="868"/>
      <c r="M206" s="868"/>
      <c r="N206" s="868"/>
      <c r="O206" s="868"/>
      <c r="P206" s="868"/>
      <c r="Q206" s="868"/>
    </row>
    <row r="207" spans="1:18" s="59" customFormat="1" x14ac:dyDescent="0.2">
      <c r="A207" s="58"/>
      <c r="B207" s="86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</row>
    <row r="208" spans="1:18" s="12" customFormat="1" x14ac:dyDescent="0.2">
      <c r="A208" s="19"/>
      <c r="B208" s="20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21"/>
    </row>
    <row r="209" spans="1:17" s="60" customFormat="1" x14ac:dyDescent="0.2">
      <c r="A209" s="58"/>
      <c r="B209" s="86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59"/>
    </row>
    <row r="210" spans="1:17" s="11" customFormat="1" x14ac:dyDescent="0.2">
      <c r="A210" s="7"/>
      <c r="B210" s="10"/>
      <c r="C210" s="232"/>
      <c r="D210" s="51"/>
      <c r="E210" s="232"/>
      <c r="F210" s="232"/>
      <c r="G210" s="52"/>
      <c r="H210" s="57"/>
      <c r="I210" s="232"/>
      <c r="J210" s="232"/>
      <c r="K210" s="232"/>
      <c r="L210" s="232"/>
      <c r="M210" s="232"/>
    </row>
    <row r="220" spans="1:17" x14ac:dyDescent="0.2">
      <c r="A220" s="232"/>
      <c r="B220" s="232"/>
      <c r="G220" s="232"/>
      <c r="H220" s="232"/>
      <c r="N220" s="232"/>
      <c r="O220" s="232"/>
      <c r="P220" s="232"/>
      <c r="Q220" s="232"/>
    </row>
    <row r="221" spans="1:17" x14ac:dyDescent="0.2">
      <c r="A221" s="232"/>
      <c r="B221" s="232"/>
      <c r="G221" s="232"/>
      <c r="H221" s="232"/>
      <c r="N221" s="232"/>
      <c r="O221" s="232"/>
      <c r="P221" s="232"/>
      <c r="Q221" s="232"/>
    </row>
    <row r="227" spans="2:4" x14ac:dyDescent="0.2">
      <c r="C227" s="232" t="s">
        <v>450</v>
      </c>
      <c r="D227" s="232" t="s">
        <v>451</v>
      </c>
    </row>
    <row r="228" spans="2:4" x14ac:dyDescent="0.2">
      <c r="B228" s="10" t="str">
        <f>+B183</f>
        <v>Валовая прибыль ЭЭ</v>
      </c>
      <c r="C228" s="369">
        <f>+H183/1000</f>
        <v>-189.6817019441803</v>
      </c>
    </row>
    <row r="229" spans="2:4" x14ac:dyDescent="0.2">
      <c r="B229" s="10" t="str">
        <f>+B192</f>
        <v>Валовая прибыль ТЭ</v>
      </c>
      <c r="C229" s="369">
        <f>+H192/1000</f>
        <v>518.87560399855465</v>
      </c>
      <c r="D229" s="369" t="e">
        <f>+C229+#REF!+#REF!+#REF!+#REF!+#REF!</f>
        <v>#REF!</v>
      </c>
    </row>
  </sheetData>
  <sheetProtection formatCells="0" formatColumns="0" formatRows="0" insertColumns="0" insertRows="0" insertHyperlinks="0" deleteColumns="0" deleteRows="0" sort="0" autoFilter="0" pivotTables="0"/>
  <pageMargins left="0.74803149606299213" right="0.74803149606299213" top="0.98425196850393704" bottom="0.98425196850393704" header="0.51181102362204722" footer="0.51181102362204722"/>
  <pageSetup paperSize="8" scale="40" fitToHeight="0"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tabColor rgb="FFFF0000"/>
  </sheetPr>
  <dimension ref="A1:AR236"/>
  <sheetViews>
    <sheetView view="pageBreakPreview" zoomScaleNormal="100" zoomScaleSheetLayoutView="100" workbookViewId="0">
      <pane xSplit="2" ySplit="3" topLeftCell="C208" activePane="bottomRight" state="frozen"/>
      <selection pane="topRight" activeCell="C1" sqref="C1"/>
      <selection pane="bottomLeft" activeCell="A4" sqref="A4"/>
      <selection pane="bottomRight" activeCell="H265" sqref="H265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232" customWidth="1"/>
    <col min="7" max="7" width="10.7109375" style="52" customWidth="1"/>
    <col min="8" max="8" width="10.7109375" style="57" customWidth="1"/>
    <col min="9" max="13" width="10.7109375" style="232" customWidth="1"/>
    <col min="14" max="16" width="10.7109375" style="11" customWidth="1"/>
    <col min="17" max="17" width="2.140625" style="11" customWidth="1"/>
    <col min="18" max="16384" width="9.140625" style="232"/>
  </cols>
  <sheetData>
    <row r="1" spans="1:44" collapsed="1" x14ac:dyDescent="0.2">
      <c r="B1" s="232" t="s">
        <v>475</v>
      </c>
      <c r="G1" s="232"/>
      <c r="H1" s="232"/>
      <c r="N1" s="13"/>
      <c r="O1" s="13"/>
      <c r="P1" s="13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2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70">
        <f>COLUMN()</f>
        <v>7</v>
      </c>
      <c r="H4" s="61">
        <f>COLUMN()</f>
        <v>8</v>
      </c>
      <c r="I4" s="421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88</v>
      </c>
      <c r="D5" s="76">
        <f t="shared" si="0"/>
        <v>88</v>
      </c>
      <c r="E5" s="76">
        <f t="shared" si="0"/>
        <v>88</v>
      </c>
      <c r="F5" s="76">
        <f t="shared" si="0"/>
        <v>88</v>
      </c>
      <c r="G5" s="371">
        <f t="shared" si="0"/>
        <v>88</v>
      </c>
      <c r="H5" s="76">
        <f t="shared" si="0"/>
        <v>88</v>
      </c>
      <c r="I5" s="422">
        <f t="shared" si="0"/>
        <v>88</v>
      </c>
      <c r="J5" s="76">
        <f t="shared" si="0"/>
        <v>88</v>
      </c>
      <c r="K5" s="76">
        <f t="shared" si="0"/>
        <v>88</v>
      </c>
      <c r="L5" s="76">
        <f t="shared" si="0"/>
        <v>88</v>
      </c>
      <c r="M5" s="76">
        <f t="shared" si="0"/>
        <v>88</v>
      </c>
      <c r="N5" s="76">
        <f t="shared" si="0"/>
        <v>88</v>
      </c>
      <c r="O5" s="76">
        <f t="shared" si="0"/>
        <v>88</v>
      </c>
      <c r="P5" s="76">
        <f t="shared" si="0"/>
        <v>88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355</v>
      </c>
      <c r="C6" s="89">
        <f>+'[2]ТЭЦ-4-ПГУ'!$G$64</f>
        <v>88</v>
      </c>
      <c r="D6" s="90">
        <f>+C6</f>
        <v>88</v>
      </c>
      <c r="E6" s="90">
        <f t="shared" ref="E6:P6" si="1">+D6</f>
        <v>88</v>
      </c>
      <c r="F6" s="90">
        <f t="shared" si="1"/>
        <v>88</v>
      </c>
      <c r="G6" s="372">
        <f t="shared" si="1"/>
        <v>88</v>
      </c>
      <c r="H6" s="90">
        <f t="shared" si="1"/>
        <v>88</v>
      </c>
      <c r="I6" s="443">
        <f t="shared" si="1"/>
        <v>88</v>
      </c>
      <c r="J6" s="372">
        <f t="shared" si="1"/>
        <v>88</v>
      </c>
      <c r="K6" s="372">
        <f t="shared" si="1"/>
        <v>88</v>
      </c>
      <c r="L6" s="372">
        <f t="shared" si="1"/>
        <v>88</v>
      </c>
      <c r="M6" s="372">
        <f t="shared" si="1"/>
        <v>88</v>
      </c>
      <c r="N6" s="372">
        <f t="shared" si="1"/>
        <v>88</v>
      </c>
      <c r="O6" s="372">
        <f t="shared" si="1"/>
        <v>88</v>
      </c>
      <c r="P6" s="372">
        <f t="shared" si="1"/>
        <v>88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3"/>
      <c r="H7" s="373"/>
      <c r="I7" s="373"/>
      <c r="J7" s="373"/>
      <c r="K7" s="373"/>
      <c r="L7" s="373"/>
      <c r="M7" s="373"/>
      <c r="N7" s="373"/>
      <c r="O7" s="373"/>
      <c r="P7" s="373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2">SUM(C9:C10)</f>
        <v>70.251382539682538</v>
      </c>
      <c r="D8" s="92">
        <f t="shared" si="2"/>
        <v>72.757405224867725</v>
      </c>
      <c r="E8" s="92">
        <f t="shared" si="2"/>
        <v>72.757405224867725</v>
      </c>
      <c r="F8" s="92">
        <f t="shared" si="2"/>
        <v>72.757405224867725</v>
      </c>
      <c r="G8" s="374">
        <f t="shared" si="2"/>
        <v>72.757405224867725</v>
      </c>
      <c r="H8" s="444">
        <f t="shared" si="2"/>
        <v>72.757405224867725</v>
      </c>
      <c r="I8" s="92">
        <f t="shared" si="2"/>
        <v>72.757405224867725</v>
      </c>
      <c r="J8" s="92">
        <f t="shared" si="2"/>
        <v>72.757405224867725</v>
      </c>
      <c r="K8" s="92">
        <f t="shared" si="2"/>
        <v>72.757405224867725</v>
      </c>
      <c r="L8" s="92">
        <f t="shared" si="2"/>
        <v>72.757405224867725</v>
      </c>
      <c r="M8" s="92">
        <f t="shared" si="2"/>
        <v>72.757405224867725</v>
      </c>
      <c r="N8" s="92">
        <f t="shared" si="2"/>
        <v>72.757405224867725</v>
      </c>
      <c r="O8" s="92">
        <f t="shared" si="2"/>
        <v>72.757405224867725</v>
      </c>
      <c r="P8" s="92">
        <f t="shared" si="2"/>
        <v>72.757405224867725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5" t="s">
        <v>355</v>
      </c>
      <c r="C9" s="95">
        <f>+C16/$R9*1000</f>
        <v>70.251382539682538</v>
      </c>
      <c r="D9" s="95">
        <f t="shared" ref="D9:P9" si="3">+D16/$R9*1000</f>
        <v>72.757405224867725</v>
      </c>
      <c r="E9" s="95">
        <f t="shared" si="3"/>
        <v>72.757405224867725</v>
      </c>
      <c r="F9" s="95">
        <f t="shared" si="3"/>
        <v>72.757405224867725</v>
      </c>
      <c r="G9" s="95">
        <f t="shared" si="3"/>
        <v>72.757405224867725</v>
      </c>
      <c r="H9" s="95">
        <f t="shared" si="3"/>
        <v>72.757405224867725</v>
      </c>
      <c r="I9" s="95">
        <f t="shared" si="3"/>
        <v>72.757405224867725</v>
      </c>
      <c r="J9" s="95">
        <f t="shared" si="3"/>
        <v>72.757405224867725</v>
      </c>
      <c r="K9" s="95">
        <f t="shared" si="3"/>
        <v>72.757405224867725</v>
      </c>
      <c r="L9" s="95">
        <f t="shared" si="3"/>
        <v>72.757405224867725</v>
      </c>
      <c r="M9" s="95">
        <f t="shared" si="3"/>
        <v>72.757405224867725</v>
      </c>
      <c r="N9" s="95">
        <f t="shared" si="3"/>
        <v>72.757405224867725</v>
      </c>
      <c r="O9" s="95">
        <f t="shared" si="3"/>
        <v>72.757405224867725</v>
      </c>
      <c r="P9" s="95">
        <f t="shared" si="3"/>
        <v>72.757405224867725</v>
      </c>
      <c r="Q9" s="11"/>
      <c r="R9" s="23">
        <f>7*30*24</f>
        <v>5040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0.79831116522366519</v>
      </c>
      <c r="D11" s="70">
        <f t="shared" ref="D11:P11" si="4">+D8/D5</f>
        <v>0.82678869573713321</v>
      </c>
      <c r="E11" s="70">
        <f t="shared" si="4"/>
        <v>0.82678869573713321</v>
      </c>
      <c r="F11" s="70">
        <f t="shared" si="4"/>
        <v>0.82678869573713321</v>
      </c>
      <c r="G11" s="375">
        <f t="shared" si="4"/>
        <v>0.82678869573713321</v>
      </c>
      <c r="H11" s="174">
        <f t="shared" si="4"/>
        <v>0.82678869573713321</v>
      </c>
      <c r="I11" s="70">
        <f t="shared" si="4"/>
        <v>0.82678869573713321</v>
      </c>
      <c r="J11" s="70">
        <f t="shared" si="4"/>
        <v>0.82678869573713321</v>
      </c>
      <c r="K11" s="70">
        <f t="shared" si="4"/>
        <v>0.82678869573713321</v>
      </c>
      <c r="L11" s="70">
        <f t="shared" si="4"/>
        <v>0.82678869573713321</v>
      </c>
      <c r="M11" s="70">
        <f t="shared" si="4"/>
        <v>0.82678869573713321</v>
      </c>
      <c r="N11" s="70">
        <f t="shared" si="4"/>
        <v>0.82678869573713321</v>
      </c>
      <c r="O11" s="70">
        <f t="shared" si="4"/>
        <v>0.82678869573713321</v>
      </c>
      <c r="P11" s="70">
        <f t="shared" si="4"/>
        <v>0.82678869573713321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17.748617460317462</v>
      </c>
      <c r="D12" s="92">
        <f t="shared" ref="D12:P12" si="5">SUM(D13:D14)</f>
        <v>15.242594775132275</v>
      </c>
      <c r="E12" s="92">
        <f t="shared" si="5"/>
        <v>15.242594775132275</v>
      </c>
      <c r="F12" s="92">
        <f t="shared" si="5"/>
        <v>15.242594775132275</v>
      </c>
      <c r="G12" s="374">
        <f t="shared" si="5"/>
        <v>15.242594775132275</v>
      </c>
      <c r="H12" s="444">
        <f t="shared" si="5"/>
        <v>15.242594775132275</v>
      </c>
      <c r="I12" s="92">
        <f t="shared" si="5"/>
        <v>15.242594775132275</v>
      </c>
      <c r="J12" s="92">
        <f t="shared" si="5"/>
        <v>15.242594775132275</v>
      </c>
      <c r="K12" s="92">
        <f t="shared" si="5"/>
        <v>15.242594775132275</v>
      </c>
      <c r="L12" s="92">
        <f t="shared" si="5"/>
        <v>15.242594775132275</v>
      </c>
      <c r="M12" s="92">
        <f t="shared" si="5"/>
        <v>15.242594775132275</v>
      </c>
      <c r="N12" s="92">
        <f t="shared" si="5"/>
        <v>15.242594775132275</v>
      </c>
      <c r="O12" s="92">
        <f t="shared" si="5"/>
        <v>15.242594775132275</v>
      </c>
      <c r="P12" s="92">
        <f t="shared" si="5"/>
        <v>15.242594775132275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5" t="s">
        <v>355</v>
      </c>
      <c r="C13" s="95">
        <f>+C6-C9</f>
        <v>17.748617460317462</v>
      </c>
      <c r="D13" s="95">
        <f t="shared" ref="D13:P14" si="6">+D6-D9</f>
        <v>15.242594775132275</v>
      </c>
      <c r="E13" s="95">
        <f t="shared" si="6"/>
        <v>15.242594775132275</v>
      </c>
      <c r="F13" s="95">
        <f t="shared" si="6"/>
        <v>15.242594775132275</v>
      </c>
      <c r="G13" s="376">
        <f t="shared" si="6"/>
        <v>15.242594775132275</v>
      </c>
      <c r="H13" s="175">
        <f t="shared" si="6"/>
        <v>15.242594775132275</v>
      </c>
      <c r="I13" s="95">
        <f t="shared" si="6"/>
        <v>15.242594775132275</v>
      </c>
      <c r="J13" s="95">
        <f t="shared" si="6"/>
        <v>15.242594775132275</v>
      </c>
      <c r="K13" s="95">
        <f t="shared" si="6"/>
        <v>15.242594775132275</v>
      </c>
      <c r="L13" s="95">
        <f t="shared" si="6"/>
        <v>15.242594775132275</v>
      </c>
      <c r="M13" s="95">
        <f t="shared" si="6"/>
        <v>15.242594775132275</v>
      </c>
      <c r="N13" s="95">
        <f t="shared" si="6"/>
        <v>15.242594775132275</v>
      </c>
      <c r="O13" s="95">
        <f t="shared" si="6"/>
        <v>15.242594775132275</v>
      </c>
      <c r="P13" s="95">
        <f t="shared" si="6"/>
        <v>15.242594775132275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si="6"/>
        <v>0</v>
      </c>
      <c r="E14" s="95">
        <f t="shared" si="6"/>
        <v>0</v>
      </c>
      <c r="F14" s="95">
        <f t="shared" si="6"/>
        <v>0</v>
      </c>
      <c r="G14" s="376">
        <f t="shared" si="6"/>
        <v>0</v>
      </c>
      <c r="H14" s="175">
        <f t="shared" si="6"/>
        <v>0</v>
      </c>
      <c r="I14" s="95">
        <f t="shared" si="6"/>
        <v>0</v>
      </c>
      <c r="J14" s="95">
        <f t="shared" si="6"/>
        <v>0</v>
      </c>
      <c r="K14" s="95">
        <f t="shared" si="6"/>
        <v>0</v>
      </c>
      <c r="L14" s="95">
        <f t="shared" si="6"/>
        <v>0</v>
      </c>
      <c r="M14" s="95">
        <f t="shared" si="6"/>
        <v>0</v>
      </c>
      <c r="N14" s="95">
        <f t="shared" si="6"/>
        <v>0</v>
      </c>
      <c r="O14" s="95">
        <f t="shared" si="6"/>
        <v>0</v>
      </c>
      <c r="P14" s="95">
        <f t="shared" si="6"/>
        <v>0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354.06696799999997</v>
      </c>
      <c r="D15" s="76">
        <f t="shared" ref="D15:P15" si="7">+D16</f>
        <v>366.69732233333332</v>
      </c>
      <c r="E15" s="76">
        <f t="shared" si="7"/>
        <v>366.69732233333332</v>
      </c>
      <c r="F15" s="76">
        <f t="shared" si="7"/>
        <v>366.69732233333332</v>
      </c>
      <c r="G15" s="371">
        <f t="shared" si="7"/>
        <v>366.69732233333332</v>
      </c>
      <c r="H15" s="76">
        <f t="shared" si="7"/>
        <v>366.69732233333332</v>
      </c>
      <c r="I15" s="422">
        <f t="shared" si="7"/>
        <v>366.69732233333332</v>
      </c>
      <c r="J15" s="76">
        <f t="shared" si="7"/>
        <v>366.69732233333332</v>
      </c>
      <c r="K15" s="76">
        <f t="shared" si="7"/>
        <v>366.69732233333332</v>
      </c>
      <c r="L15" s="76">
        <f t="shared" si="7"/>
        <v>366.69732233333332</v>
      </c>
      <c r="M15" s="76">
        <f t="shared" si="7"/>
        <v>366.69732233333332</v>
      </c>
      <c r="N15" s="76">
        <f t="shared" si="7"/>
        <v>366.69732233333332</v>
      </c>
      <c r="O15" s="76">
        <f t="shared" si="7"/>
        <v>366.69732233333332</v>
      </c>
      <c r="P15" s="76">
        <f t="shared" si="7"/>
        <v>366.69732233333332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+'[4]4.4.Р_т'!$G$5</f>
        <v>354.06696799999997</v>
      </c>
      <c r="D16" s="93">
        <f>+'[4]4.4.Р_т'!$Q$5</f>
        <v>366.69732233333332</v>
      </c>
      <c r="E16" s="90">
        <f t="shared" ref="D16:P24" si="8">+D16</f>
        <v>366.69732233333332</v>
      </c>
      <c r="F16" s="90">
        <f t="shared" si="8"/>
        <v>366.69732233333332</v>
      </c>
      <c r="G16" s="90">
        <f t="shared" si="8"/>
        <v>366.69732233333332</v>
      </c>
      <c r="H16" s="90">
        <f t="shared" si="8"/>
        <v>366.69732233333332</v>
      </c>
      <c r="I16" s="90">
        <f t="shared" si="8"/>
        <v>366.69732233333332</v>
      </c>
      <c r="J16" s="90">
        <f t="shared" si="8"/>
        <v>366.69732233333332</v>
      </c>
      <c r="K16" s="90">
        <f t="shared" si="8"/>
        <v>366.69732233333332</v>
      </c>
      <c r="L16" s="90">
        <f t="shared" si="8"/>
        <v>366.69732233333332</v>
      </c>
      <c r="M16" s="90">
        <f t="shared" si="8"/>
        <v>366.69732233333332</v>
      </c>
      <c r="N16" s="90">
        <f t="shared" si="8"/>
        <v>366.69732233333332</v>
      </c>
      <c r="O16" s="90">
        <f t="shared" si="8"/>
        <v>366.69732233333332</v>
      </c>
      <c r="P16" s="90">
        <f t="shared" si="8"/>
        <v>366.69732233333332</v>
      </c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SUM(C18:C23)</f>
        <v>76.180953000000002</v>
      </c>
      <c r="D17" s="95">
        <f t="shared" ref="D17:P17" si="9">SUM(D18:D23)</f>
        <v>75.946273966666666</v>
      </c>
      <c r="E17" s="95">
        <f t="shared" si="9"/>
        <v>75.946273966666666</v>
      </c>
      <c r="F17" s="95">
        <f t="shared" si="9"/>
        <v>75.946273966666666</v>
      </c>
      <c r="G17" s="95">
        <f t="shared" si="9"/>
        <v>75.559865086666662</v>
      </c>
      <c r="H17" s="95">
        <f t="shared" si="9"/>
        <v>75.559865086666662</v>
      </c>
      <c r="I17" s="95">
        <f t="shared" si="9"/>
        <v>67.069865086666667</v>
      </c>
      <c r="J17" s="95">
        <f t="shared" si="9"/>
        <v>66.956445086666662</v>
      </c>
      <c r="K17" s="95">
        <f t="shared" si="9"/>
        <v>66.956445086666662</v>
      </c>
      <c r="L17" s="95">
        <f t="shared" si="9"/>
        <v>66.956445086666662</v>
      </c>
      <c r="M17" s="95">
        <f t="shared" si="9"/>
        <v>66.956445086666662</v>
      </c>
      <c r="N17" s="95">
        <f t="shared" si="9"/>
        <v>66.956445086666662</v>
      </c>
      <c r="O17" s="95">
        <f t="shared" si="9"/>
        <v>66.956445086666662</v>
      </c>
      <c r="P17" s="95">
        <f t="shared" si="9"/>
        <v>66.956445086666662</v>
      </c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6" customFormat="1" x14ac:dyDescent="0.2">
      <c r="A18" s="244"/>
      <c r="B18" s="248" t="s">
        <v>403</v>
      </c>
      <c r="C18" s="93">
        <f>+'[4]4.4.Р_т'!$G$6</f>
        <v>76.180953000000002</v>
      </c>
      <c r="D18" s="93">
        <f>+'[4]4.4.Р_т'!$Q$6</f>
        <v>75.946273966666666</v>
      </c>
      <c r="E18" s="90">
        <f t="shared" si="8"/>
        <v>75.946273966666666</v>
      </c>
      <c r="F18" s="90">
        <f t="shared" si="8"/>
        <v>75.946273966666666</v>
      </c>
      <c r="G18" s="90">
        <f t="shared" si="8"/>
        <v>75.946273966666666</v>
      </c>
      <c r="H18" s="90">
        <f t="shared" si="8"/>
        <v>75.946273966666666</v>
      </c>
      <c r="I18" s="90">
        <f t="shared" si="8"/>
        <v>75.946273966666666</v>
      </c>
      <c r="J18" s="90">
        <f t="shared" si="8"/>
        <v>75.946273966666666</v>
      </c>
      <c r="K18" s="90">
        <f t="shared" si="8"/>
        <v>75.946273966666666</v>
      </c>
      <c r="L18" s="90">
        <f t="shared" si="8"/>
        <v>75.946273966666666</v>
      </c>
      <c r="M18" s="90">
        <f t="shared" si="8"/>
        <v>75.946273966666666</v>
      </c>
      <c r="N18" s="90">
        <f t="shared" si="8"/>
        <v>75.946273966666666</v>
      </c>
      <c r="O18" s="90">
        <f t="shared" si="8"/>
        <v>75.946273966666666</v>
      </c>
      <c r="P18" s="90">
        <f t="shared" si="8"/>
        <v>75.946273966666666</v>
      </c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6" customFormat="1" ht="45" x14ac:dyDescent="0.2">
      <c r="A19" s="244"/>
      <c r="B19" s="248" t="s">
        <v>509</v>
      </c>
      <c r="C19" s="337"/>
      <c r="D19" s="337"/>
      <c r="E19" s="337"/>
      <c r="F19" s="338"/>
      <c r="G19" s="338"/>
      <c r="H19" s="338"/>
      <c r="I19" s="338"/>
      <c r="J19" s="529">
        <f>-212*535/1000000</f>
        <v>-0.11342000000000001</v>
      </c>
      <c r="K19" s="530">
        <f>+J19</f>
        <v>-0.11342000000000001</v>
      </c>
      <c r="L19" s="530">
        <f t="shared" si="8"/>
        <v>-0.11342000000000001</v>
      </c>
      <c r="M19" s="530">
        <f t="shared" si="8"/>
        <v>-0.11342000000000001</v>
      </c>
      <c r="N19" s="530">
        <f t="shared" si="8"/>
        <v>-0.11342000000000001</v>
      </c>
      <c r="O19" s="530">
        <f t="shared" si="8"/>
        <v>-0.11342000000000001</v>
      </c>
      <c r="P19" s="530">
        <f t="shared" si="8"/>
        <v>-0.11342000000000001</v>
      </c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336" customFormat="1" x14ac:dyDescent="0.2">
      <c r="A20" s="244"/>
      <c r="B20" s="248" t="s">
        <v>523</v>
      </c>
      <c r="C20" s="337"/>
      <c r="D20" s="337"/>
      <c r="E20" s="337"/>
      <c r="F20" s="338"/>
      <c r="G20" s="549"/>
      <c r="H20" s="549"/>
      <c r="I20" s="539">
        <v>-0.49</v>
      </c>
      <c r="J20" s="530">
        <f>+I20</f>
        <v>-0.49</v>
      </c>
      <c r="K20" s="530">
        <f>+J20</f>
        <v>-0.49</v>
      </c>
      <c r="L20" s="530">
        <f t="shared" ref="L20:L21" si="10">+K20</f>
        <v>-0.49</v>
      </c>
      <c r="M20" s="530">
        <f t="shared" ref="M20:M21" si="11">+L20</f>
        <v>-0.49</v>
      </c>
      <c r="N20" s="530">
        <f t="shared" ref="N20:N21" si="12">+M20</f>
        <v>-0.49</v>
      </c>
      <c r="O20" s="530">
        <f t="shared" ref="O20:O21" si="13">+N20</f>
        <v>-0.49</v>
      </c>
      <c r="P20" s="530">
        <f t="shared" ref="P20:P21" si="14">+O20</f>
        <v>-0.49</v>
      </c>
      <c r="Q20" s="247"/>
      <c r="R20" s="247"/>
      <c r="S20" s="247"/>
      <c r="T20" s="247"/>
      <c r="U20" s="247"/>
      <c r="V20" s="247"/>
      <c r="W20" s="247"/>
      <c r="X20" s="247"/>
      <c r="Y20" s="247"/>
      <c r="Z20" s="247"/>
      <c r="AA20" s="247"/>
      <c r="AB20" s="247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</row>
    <row r="21" spans="1:44" s="336" customFormat="1" ht="22.5" x14ac:dyDescent="0.2">
      <c r="A21" s="244"/>
      <c r="B21" s="248" t="s">
        <v>525</v>
      </c>
      <c r="C21" s="337"/>
      <c r="D21" s="337"/>
      <c r="E21" s="337"/>
      <c r="F21" s="337"/>
      <c r="G21" s="539">
        <f>-0.9*0.2*16263*132/1000000</f>
        <v>-0.38640888000000001</v>
      </c>
      <c r="H21" s="530">
        <f t="shared" ref="H21:K22" si="15">+G21</f>
        <v>-0.38640888000000001</v>
      </c>
      <c r="I21" s="530">
        <f t="shared" si="15"/>
        <v>-0.38640888000000001</v>
      </c>
      <c r="J21" s="530">
        <f t="shared" si="15"/>
        <v>-0.38640888000000001</v>
      </c>
      <c r="K21" s="530">
        <f t="shared" si="15"/>
        <v>-0.38640888000000001</v>
      </c>
      <c r="L21" s="530">
        <f t="shared" si="10"/>
        <v>-0.38640888000000001</v>
      </c>
      <c r="M21" s="530">
        <f t="shared" si="11"/>
        <v>-0.38640888000000001</v>
      </c>
      <c r="N21" s="530">
        <f t="shared" si="12"/>
        <v>-0.38640888000000001</v>
      </c>
      <c r="O21" s="530">
        <f t="shared" si="13"/>
        <v>-0.38640888000000001</v>
      </c>
      <c r="P21" s="530">
        <f t="shared" si="14"/>
        <v>-0.38640888000000001</v>
      </c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247"/>
      <c r="AD21" s="247"/>
      <c r="AE21" s="247"/>
      <c r="AF21" s="247"/>
      <c r="AG21" s="247"/>
      <c r="AH21" s="247"/>
      <c r="AI21" s="247"/>
      <c r="AJ21" s="247"/>
      <c r="AK21" s="247"/>
      <c r="AL21" s="247"/>
      <c r="AM21" s="247"/>
      <c r="AN21" s="247"/>
      <c r="AO21" s="247"/>
      <c r="AP21" s="247"/>
      <c r="AQ21" s="247"/>
      <c r="AR21" s="247"/>
    </row>
    <row r="22" spans="1:44" s="336" customFormat="1" x14ac:dyDescent="0.2">
      <c r="A22" s="244"/>
      <c r="B22" s="248" t="s">
        <v>526</v>
      </c>
      <c r="C22" s="337"/>
      <c r="D22" s="337"/>
      <c r="E22" s="337"/>
      <c r="F22" s="337"/>
      <c r="G22" s="337"/>
      <c r="H22" s="337"/>
      <c r="I22" s="539">
        <v>-8</v>
      </c>
      <c r="J22" s="530">
        <f t="shared" si="15"/>
        <v>-8</v>
      </c>
      <c r="K22" s="530">
        <f t="shared" si="15"/>
        <v>-8</v>
      </c>
      <c r="L22" s="530">
        <f t="shared" ref="L22" si="16">+K22</f>
        <v>-8</v>
      </c>
      <c r="M22" s="530">
        <f t="shared" ref="M22" si="17">+L22</f>
        <v>-8</v>
      </c>
      <c r="N22" s="530">
        <f t="shared" ref="N22" si="18">+M22</f>
        <v>-8</v>
      </c>
      <c r="O22" s="530">
        <f t="shared" ref="O22" si="19">+N22</f>
        <v>-8</v>
      </c>
      <c r="P22" s="530">
        <f t="shared" ref="P22" si="20">+O22</f>
        <v>-8</v>
      </c>
      <c r="Q22" s="247"/>
      <c r="R22" s="247"/>
      <c r="S22" s="247"/>
      <c r="T22" s="247"/>
      <c r="U22" s="247"/>
      <c r="V22" s="247"/>
      <c r="W22" s="247"/>
      <c r="X22" s="247"/>
      <c r="Y22" s="247"/>
      <c r="Z22" s="247"/>
      <c r="AA22" s="247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/>
      <c r="AP22" s="247"/>
      <c r="AQ22" s="247"/>
      <c r="AR22" s="247"/>
    </row>
    <row r="23" spans="1:44" s="336" customFormat="1" x14ac:dyDescent="0.2">
      <c r="A23" s="244"/>
      <c r="B23" s="248"/>
      <c r="C23" s="337"/>
      <c r="D23" s="337"/>
      <c r="E23" s="337"/>
      <c r="F23" s="338"/>
      <c r="G23" s="549"/>
      <c r="H23" s="549"/>
      <c r="I23" s="549"/>
      <c r="J23" s="549"/>
      <c r="K23" s="549"/>
      <c r="L23" s="549"/>
      <c r="M23" s="549"/>
      <c r="N23" s="549"/>
      <c r="O23" s="549"/>
      <c r="P23" s="549"/>
      <c r="Q23" s="247"/>
      <c r="R23" s="247"/>
      <c r="S23" s="247"/>
      <c r="T23" s="247"/>
      <c r="U23" s="247"/>
      <c r="V23" s="247"/>
      <c r="W23" s="247"/>
      <c r="X23" s="247"/>
      <c r="Y23" s="247"/>
      <c r="Z23" s="247"/>
      <c r="AA23" s="247"/>
      <c r="AB23" s="247"/>
      <c r="AC23" s="247"/>
      <c r="AD23" s="247"/>
      <c r="AE23" s="247"/>
      <c r="AF23" s="247"/>
      <c r="AG23" s="247"/>
      <c r="AH23" s="247"/>
      <c r="AI23" s="247"/>
      <c r="AJ23" s="247"/>
      <c r="AK23" s="247"/>
      <c r="AL23" s="247"/>
      <c r="AM23" s="247"/>
      <c r="AN23" s="247"/>
      <c r="AO23" s="247"/>
      <c r="AP23" s="247"/>
      <c r="AQ23" s="247"/>
      <c r="AR23" s="247"/>
    </row>
    <row r="24" spans="1:44" s="23" customFormat="1" ht="22.5" x14ac:dyDescent="0.2">
      <c r="A24" s="2" t="s">
        <v>1</v>
      </c>
      <c r="B24" s="5" t="s">
        <v>169</v>
      </c>
      <c r="C24" s="93">
        <f>+'[4]4.4.Р_т'!$G$12+'[4]4.4.Р_т'!$G$14</f>
        <v>3.7978770000000002</v>
      </c>
      <c r="D24" s="90">
        <f t="shared" si="8"/>
        <v>3.7978770000000002</v>
      </c>
      <c r="E24" s="90">
        <f t="shared" si="8"/>
        <v>3.7978770000000002</v>
      </c>
      <c r="F24" s="90">
        <f t="shared" si="8"/>
        <v>3.7978770000000002</v>
      </c>
      <c r="G24" s="372">
        <f t="shared" si="8"/>
        <v>3.7978770000000002</v>
      </c>
      <c r="H24" s="372">
        <f t="shared" si="8"/>
        <v>3.7978770000000002</v>
      </c>
      <c r="I24" s="372">
        <f t="shared" si="8"/>
        <v>3.7978770000000002</v>
      </c>
      <c r="J24" s="372">
        <f t="shared" si="8"/>
        <v>3.7978770000000002</v>
      </c>
      <c r="K24" s="372">
        <f t="shared" si="8"/>
        <v>3.7978770000000002</v>
      </c>
      <c r="L24" s="90">
        <f t="shared" si="8"/>
        <v>3.7978770000000002</v>
      </c>
      <c r="M24" s="90">
        <f t="shared" si="8"/>
        <v>3.7978770000000002</v>
      </c>
      <c r="N24" s="90">
        <f t="shared" si="8"/>
        <v>3.7978770000000002</v>
      </c>
      <c r="O24" s="90">
        <f t="shared" si="8"/>
        <v>3.7978770000000002</v>
      </c>
      <c r="P24" s="90">
        <f t="shared" si="8"/>
        <v>3.7978770000000002</v>
      </c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</row>
    <row r="25" spans="1:44" s="69" customFormat="1" x14ac:dyDescent="0.2">
      <c r="A25" s="142"/>
      <c r="B25" s="133"/>
      <c r="C25" s="488"/>
      <c r="D25" s="210"/>
      <c r="E25" s="210"/>
      <c r="F25" s="210"/>
      <c r="G25" s="489"/>
      <c r="H25" s="489"/>
      <c r="I25" s="489"/>
      <c r="J25" s="489"/>
      <c r="K25" s="489"/>
      <c r="L25" s="210"/>
      <c r="M25" s="210"/>
      <c r="N25" s="210"/>
      <c r="O25" s="210"/>
      <c r="P25" s="210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</row>
    <row r="26" spans="1:44" s="69" customFormat="1" x14ac:dyDescent="0.2">
      <c r="A26" s="33" t="s">
        <v>3</v>
      </c>
      <c r="B26" s="100" t="s">
        <v>174</v>
      </c>
      <c r="C26" s="98">
        <f>+(C17+C24)/C15</f>
        <v>0.22588616625767816</v>
      </c>
      <c r="D26" s="98">
        <f t="shared" ref="D26:P26" si="21">+(D17+D24)/D15</f>
        <v>0.21746586656059094</v>
      </c>
      <c r="E26" s="98">
        <f t="shared" si="21"/>
        <v>0.21746586656059094</v>
      </c>
      <c r="F26" s="98">
        <f t="shared" si="21"/>
        <v>0.21746586656059094</v>
      </c>
      <c r="G26" s="378">
        <f t="shared" si="21"/>
        <v>0.21641211226115606</v>
      </c>
      <c r="H26" s="98">
        <f t="shared" si="21"/>
        <v>0.21641211226115606</v>
      </c>
      <c r="I26" s="424">
        <f t="shared" si="21"/>
        <v>0.19325950251212043</v>
      </c>
      <c r="J26" s="98">
        <f t="shared" si="21"/>
        <v>0.19295020109895958</v>
      </c>
      <c r="K26" s="98">
        <f t="shared" si="21"/>
        <v>0.19295020109895958</v>
      </c>
      <c r="L26" s="98">
        <f t="shared" si="21"/>
        <v>0.19295020109895958</v>
      </c>
      <c r="M26" s="98">
        <f t="shared" si="21"/>
        <v>0.19295020109895958</v>
      </c>
      <c r="N26" s="98">
        <f t="shared" si="21"/>
        <v>0.19295020109895958</v>
      </c>
      <c r="O26" s="98">
        <f t="shared" si="21"/>
        <v>0.19295020109895958</v>
      </c>
      <c r="P26" s="98">
        <f t="shared" si="21"/>
        <v>0.19295020109895958</v>
      </c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</row>
    <row r="27" spans="1:44" s="99" customFormat="1" x14ac:dyDescent="0.2">
      <c r="A27" s="66">
        <v>5</v>
      </c>
      <c r="B27" s="101" t="s">
        <v>170</v>
      </c>
      <c r="C27" s="103">
        <f>+C15-C17-C24</f>
        <v>274.08813799999996</v>
      </c>
      <c r="D27" s="103">
        <f t="shared" ref="D27:P27" si="22">+D15-D17-D24</f>
        <v>286.9531713666666</v>
      </c>
      <c r="E27" s="103">
        <f t="shared" si="22"/>
        <v>286.9531713666666</v>
      </c>
      <c r="F27" s="103">
        <f t="shared" si="22"/>
        <v>286.9531713666666</v>
      </c>
      <c r="G27" s="379">
        <f t="shared" si="22"/>
        <v>287.33958024666663</v>
      </c>
      <c r="H27" s="103">
        <f t="shared" si="22"/>
        <v>287.33958024666663</v>
      </c>
      <c r="I27" s="78">
        <f t="shared" si="22"/>
        <v>295.82958024666664</v>
      </c>
      <c r="J27" s="103">
        <f t="shared" si="22"/>
        <v>295.9430002466666</v>
      </c>
      <c r="K27" s="103">
        <f t="shared" si="22"/>
        <v>295.9430002466666</v>
      </c>
      <c r="L27" s="103">
        <f t="shared" si="22"/>
        <v>295.9430002466666</v>
      </c>
      <c r="M27" s="103">
        <f t="shared" si="22"/>
        <v>295.9430002466666</v>
      </c>
      <c r="N27" s="103">
        <f t="shared" si="22"/>
        <v>295.9430002466666</v>
      </c>
      <c r="O27" s="103">
        <f t="shared" si="22"/>
        <v>295.9430002466666</v>
      </c>
      <c r="P27" s="103">
        <f t="shared" si="22"/>
        <v>295.9430002466666</v>
      </c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</row>
    <row r="28" spans="1:44" s="74" customFormat="1" x14ac:dyDescent="0.2">
      <c r="A28" s="71">
        <v>6</v>
      </c>
      <c r="B28" s="101" t="s">
        <v>465</v>
      </c>
      <c r="C28" s="103">
        <f>+C31+C34+C35+C36</f>
        <v>620</v>
      </c>
      <c r="D28" s="103">
        <f t="shared" ref="D28:P28" si="23">+D31+D34+D35+D36</f>
        <v>620</v>
      </c>
      <c r="E28" s="103">
        <f t="shared" si="23"/>
        <v>620</v>
      </c>
      <c r="F28" s="103">
        <f t="shared" si="23"/>
        <v>620</v>
      </c>
      <c r="G28" s="379">
        <f t="shared" si="23"/>
        <v>620</v>
      </c>
      <c r="H28" s="103">
        <f t="shared" si="23"/>
        <v>620</v>
      </c>
      <c r="I28" s="78">
        <f t="shared" si="23"/>
        <v>620</v>
      </c>
      <c r="J28" s="103">
        <f t="shared" si="23"/>
        <v>620</v>
      </c>
      <c r="K28" s="103">
        <f t="shared" si="23"/>
        <v>620</v>
      </c>
      <c r="L28" s="103">
        <f t="shared" si="23"/>
        <v>620</v>
      </c>
      <c r="M28" s="103">
        <f t="shared" si="23"/>
        <v>620</v>
      </c>
      <c r="N28" s="103">
        <f t="shared" si="23"/>
        <v>620</v>
      </c>
      <c r="O28" s="103">
        <f t="shared" si="23"/>
        <v>620</v>
      </c>
      <c r="P28" s="103">
        <f t="shared" si="23"/>
        <v>620</v>
      </c>
    </row>
    <row r="29" spans="1:44" s="32" customFormat="1" x14ac:dyDescent="0.2">
      <c r="A29" s="33"/>
      <c r="B29" s="205" t="s">
        <v>214</v>
      </c>
      <c r="C29" s="207">
        <f>+C28-C30</f>
        <v>491</v>
      </c>
      <c r="D29" s="207">
        <f t="shared" ref="D29:P29" si="24">+D28-D30</f>
        <v>491</v>
      </c>
      <c r="E29" s="207">
        <f t="shared" si="24"/>
        <v>491</v>
      </c>
      <c r="F29" s="207">
        <f t="shared" si="24"/>
        <v>491</v>
      </c>
      <c r="G29" s="380">
        <f t="shared" si="24"/>
        <v>491</v>
      </c>
      <c r="H29" s="207">
        <f t="shared" si="24"/>
        <v>491</v>
      </c>
      <c r="I29" s="425">
        <f t="shared" si="24"/>
        <v>491</v>
      </c>
      <c r="J29" s="207">
        <f t="shared" si="24"/>
        <v>491</v>
      </c>
      <c r="K29" s="207">
        <f t="shared" si="24"/>
        <v>491</v>
      </c>
      <c r="L29" s="207">
        <f t="shared" si="24"/>
        <v>491</v>
      </c>
      <c r="M29" s="207">
        <f t="shared" si="24"/>
        <v>491</v>
      </c>
      <c r="N29" s="207">
        <f t="shared" si="24"/>
        <v>491</v>
      </c>
      <c r="O29" s="207">
        <f t="shared" si="24"/>
        <v>491</v>
      </c>
      <c r="P29" s="207">
        <f t="shared" si="24"/>
        <v>491</v>
      </c>
    </row>
    <row r="30" spans="1:44" s="32" customFormat="1" x14ac:dyDescent="0.2">
      <c r="A30" s="33"/>
      <c r="B30" s="205" t="s">
        <v>215</v>
      </c>
      <c r="C30" s="207">
        <f>+C33</f>
        <v>129</v>
      </c>
      <c r="D30" s="207">
        <f t="shared" ref="D30:P30" si="25">+D33</f>
        <v>129</v>
      </c>
      <c r="E30" s="207">
        <f t="shared" si="25"/>
        <v>129</v>
      </c>
      <c r="F30" s="207">
        <f t="shared" si="25"/>
        <v>129</v>
      </c>
      <c r="G30" s="380">
        <f t="shared" si="25"/>
        <v>129</v>
      </c>
      <c r="H30" s="380">
        <f t="shared" si="25"/>
        <v>129</v>
      </c>
      <c r="I30" s="380">
        <f t="shared" si="25"/>
        <v>129</v>
      </c>
      <c r="J30" s="380">
        <f t="shared" si="25"/>
        <v>129</v>
      </c>
      <c r="K30" s="380">
        <f t="shared" si="25"/>
        <v>129</v>
      </c>
      <c r="L30" s="380">
        <f t="shared" si="25"/>
        <v>129</v>
      </c>
      <c r="M30" s="380">
        <f t="shared" si="25"/>
        <v>129</v>
      </c>
      <c r="N30" s="380">
        <f t="shared" si="25"/>
        <v>129</v>
      </c>
      <c r="O30" s="380">
        <f t="shared" si="25"/>
        <v>129</v>
      </c>
      <c r="P30" s="380">
        <f t="shared" si="25"/>
        <v>129</v>
      </c>
    </row>
    <row r="31" spans="1:44" s="11" customFormat="1" x14ac:dyDescent="0.2">
      <c r="A31" s="2" t="s">
        <v>171</v>
      </c>
      <c r="B31" s="83" t="s">
        <v>213</v>
      </c>
      <c r="C31" s="106">
        <f>+'[2]ТЭЦ-4-ПГУ'!$G$88</f>
        <v>320</v>
      </c>
      <c r="D31" s="90">
        <f>+C31</f>
        <v>320</v>
      </c>
      <c r="E31" s="90">
        <f t="shared" ref="E31:P32" si="26">+D31</f>
        <v>320</v>
      </c>
      <c r="F31" s="90">
        <f t="shared" si="26"/>
        <v>320</v>
      </c>
      <c r="G31" s="372">
        <f t="shared" si="26"/>
        <v>320</v>
      </c>
      <c r="H31" s="372">
        <f t="shared" si="26"/>
        <v>320</v>
      </c>
      <c r="I31" s="372">
        <f t="shared" si="26"/>
        <v>320</v>
      </c>
      <c r="J31" s="372">
        <f t="shared" si="26"/>
        <v>320</v>
      </c>
      <c r="K31" s="372">
        <f t="shared" si="26"/>
        <v>320</v>
      </c>
      <c r="L31" s="372">
        <f t="shared" si="26"/>
        <v>320</v>
      </c>
      <c r="M31" s="372">
        <f t="shared" si="26"/>
        <v>320</v>
      </c>
      <c r="N31" s="372">
        <f t="shared" si="26"/>
        <v>320</v>
      </c>
      <c r="O31" s="372">
        <f t="shared" si="26"/>
        <v>320</v>
      </c>
      <c r="P31" s="372">
        <f t="shared" si="26"/>
        <v>320</v>
      </c>
    </row>
    <row r="32" spans="1:44" s="32" customFormat="1" x14ac:dyDescent="0.2">
      <c r="A32" s="33"/>
      <c r="B32" s="205" t="s">
        <v>214</v>
      </c>
      <c r="C32" s="207">
        <f>+C31-C33</f>
        <v>191</v>
      </c>
      <c r="D32" s="105">
        <f>+C32</f>
        <v>191</v>
      </c>
      <c r="E32" s="105">
        <f t="shared" si="26"/>
        <v>191</v>
      </c>
      <c r="F32" s="105">
        <f t="shared" si="26"/>
        <v>191</v>
      </c>
      <c r="G32" s="377">
        <f t="shared" si="26"/>
        <v>191</v>
      </c>
      <c r="H32" s="377">
        <f t="shared" si="26"/>
        <v>191</v>
      </c>
      <c r="I32" s="377">
        <f t="shared" si="26"/>
        <v>191</v>
      </c>
      <c r="J32" s="377">
        <f t="shared" si="26"/>
        <v>191</v>
      </c>
      <c r="K32" s="377">
        <f t="shared" si="26"/>
        <v>191</v>
      </c>
      <c r="L32" s="377">
        <f t="shared" si="26"/>
        <v>191</v>
      </c>
      <c r="M32" s="377">
        <f t="shared" si="26"/>
        <v>191</v>
      </c>
      <c r="N32" s="377">
        <f t="shared" si="26"/>
        <v>191</v>
      </c>
      <c r="O32" s="377">
        <f t="shared" si="26"/>
        <v>191</v>
      </c>
      <c r="P32" s="377">
        <f t="shared" si="26"/>
        <v>191</v>
      </c>
    </row>
    <row r="33" spans="1:17" s="32" customFormat="1" x14ac:dyDescent="0.2">
      <c r="A33" s="33"/>
      <c r="B33" s="205" t="s">
        <v>215</v>
      </c>
      <c r="C33" s="106">
        <f>+'[2]ТЭЦ-4-ПГУ'!$G$90</f>
        <v>129</v>
      </c>
      <c r="D33" s="90">
        <f>+C33</f>
        <v>129</v>
      </c>
      <c r="E33" s="90">
        <f t="shared" ref="E33" si="27">+D33</f>
        <v>129</v>
      </c>
      <c r="F33" s="90">
        <f t="shared" ref="F33" si="28">+E33</f>
        <v>129</v>
      </c>
      <c r="G33" s="372">
        <f t="shared" ref="G33" si="29">+F33</f>
        <v>129</v>
      </c>
      <c r="H33" s="372">
        <f t="shared" ref="H33" si="30">+G33</f>
        <v>129</v>
      </c>
      <c r="I33" s="372">
        <f t="shared" ref="I33" si="31">+H33</f>
        <v>129</v>
      </c>
      <c r="J33" s="372">
        <f t="shared" ref="J33" si="32">+I33</f>
        <v>129</v>
      </c>
      <c r="K33" s="372">
        <f t="shared" ref="K33" si="33">+J33</f>
        <v>129</v>
      </c>
      <c r="L33" s="372">
        <f t="shared" ref="L33" si="34">+K33</f>
        <v>129</v>
      </c>
      <c r="M33" s="372">
        <f t="shared" ref="M33" si="35">+L33</f>
        <v>129</v>
      </c>
      <c r="N33" s="372">
        <f t="shared" ref="N33" si="36">+M33</f>
        <v>129</v>
      </c>
      <c r="O33" s="372">
        <f t="shared" ref="O33" si="37">+N33</f>
        <v>129</v>
      </c>
      <c r="P33" s="372">
        <f t="shared" ref="P33" si="38">+O33</f>
        <v>129</v>
      </c>
    </row>
    <row r="34" spans="1:17" s="32" customFormat="1" x14ac:dyDescent="0.2">
      <c r="A34" s="2" t="s">
        <v>172</v>
      </c>
      <c r="B34" s="206" t="s">
        <v>217</v>
      </c>
      <c r="C34" s="208"/>
      <c r="D34" s="211"/>
      <c r="E34" s="211"/>
      <c r="F34" s="211"/>
      <c r="G34" s="381"/>
      <c r="H34" s="381"/>
      <c r="I34" s="381"/>
      <c r="J34" s="381"/>
      <c r="K34" s="381"/>
      <c r="L34" s="381"/>
      <c r="M34" s="381"/>
      <c r="N34" s="381"/>
      <c r="O34" s="381"/>
      <c r="P34" s="381"/>
    </row>
    <row r="35" spans="1:17" s="11" customFormat="1" x14ac:dyDescent="0.2">
      <c r="A35" s="2" t="s">
        <v>204</v>
      </c>
      <c r="B35" s="44" t="s">
        <v>205</v>
      </c>
      <c r="C35" s="107">
        <f>+'[2]ТЭЦ-4-ПГУ'!$G$92</f>
        <v>300</v>
      </c>
      <c r="D35" s="90">
        <f>+C35</f>
        <v>300</v>
      </c>
      <c r="E35" s="90">
        <f t="shared" ref="E35:P35" si="39">+D35</f>
        <v>300</v>
      </c>
      <c r="F35" s="90">
        <f t="shared" si="39"/>
        <v>300</v>
      </c>
      <c r="G35" s="372">
        <f t="shared" si="39"/>
        <v>300</v>
      </c>
      <c r="H35" s="90">
        <f t="shared" si="39"/>
        <v>300</v>
      </c>
      <c r="I35" s="423">
        <f t="shared" si="39"/>
        <v>300</v>
      </c>
      <c r="J35" s="90">
        <f t="shared" si="39"/>
        <v>300</v>
      </c>
      <c r="K35" s="90">
        <f t="shared" si="39"/>
        <v>300</v>
      </c>
      <c r="L35" s="90">
        <f t="shared" si="39"/>
        <v>300</v>
      </c>
      <c r="M35" s="90">
        <f t="shared" si="39"/>
        <v>300</v>
      </c>
      <c r="N35" s="90">
        <f t="shared" si="39"/>
        <v>300</v>
      </c>
      <c r="O35" s="90">
        <f t="shared" si="39"/>
        <v>300</v>
      </c>
      <c r="P35" s="90">
        <f t="shared" si="39"/>
        <v>300</v>
      </c>
    </row>
    <row r="36" spans="1:17" s="11" customFormat="1" x14ac:dyDescent="0.2">
      <c r="A36" s="2" t="s">
        <v>216</v>
      </c>
      <c r="B36" s="44" t="s">
        <v>467</v>
      </c>
      <c r="C36" s="208"/>
      <c r="D36" s="211"/>
      <c r="E36" s="211"/>
      <c r="F36" s="211"/>
      <c r="G36" s="381"/>
      <c r="H36" s="381"/>
      <c r="I36" s="381"/>
      <c r="J36" s="381"/>
      <c r="K36" s="381"/>
      <c r="L36" s="381"/>
      <c r="M36" s="381"/>
      <c r="N36" s="381"/>
      <c r="O36" s="381"/>
      <c r="P36" s="381"/>
    </row>
    <row r="37" spans="1:17" s="11" customFormat="1" ht="22.5" x14ac:dyDescent="0.2">
      <c r="A37" s="2" t="s">
        <v>218</v>
      </c>
      <c r="B37" s="44" t="s">
        <v>219</v>
      </c>
      <c r="C37" s="270">
        <f>SUM(C38:C39)</f>
        <v>520</v>
      </c>
      <c r="D37" s="270">
        <f t="shared" ref="D37:P37" si="40">SUM(D38:D39)</f>
        <v>520</v>
      </c>
      <c r="E37" s="270">
        <f t="shared" si="40"/>
        <v>520</v>
      </c>
      <c r="F37" s="270">
        <f t="shared" si="40"/>
        <v>520</v>
      </c>
      <c r="G37" s="382">
        <f t="shared" si="40"/>
        <v>520</v>
      </c>
      <c r="H37" s="382">
        <f t="shared" si="40"/>
        <v>520</v>
      </c>
      <c r="I37" s="382">
        <f t="shared" si="40"/>
        <v>520</v>
      </c>
      <c r="J37" s="382">
        <f t="shared" si="40"/>
        <v>520</v>
      </c>
      <c r="K37" s="382">
        <f t="shared" si="40"/>
        <v>520</v>
      </c>
      <c r="L37" s="382">
        <f t="shared" si="40"/>
        <v>520</v>
      </c>
      <c r="M37" s="382">
        <f t="shared" si="40"/>
        <v>520</v>
      </c>
      <c r="N37" s="382">
        <f t="shared" si="40"/>
        <v>520</v>
      </c>
      <c r="O37" s="382">
        <f t="shared" si="40"/>
        <v>520</v>
      </c>
      <c r="P37" s="382">
        <f t="shared" si="40"/>
        <v>520</v>
      </c>
    </row>
    <row r="38" spans="1:17" s="32" customFormat="1" x14ac:dyDescent="0.2">
      <c r="A38" s="33"/>
      <c r="B38" s="205" t="s">
        <v>214</v>
      </c>
      <c r="C38" s="204">
        <f>+'[2]ТЭЦ-4-ПГУ'!$G$95</f>
        <v>391</v>
      </c>
      <c r="D38" s="105">
        <f>+C38</f>
        <v>391</v>
      </c>
      <c r="E38" s="105">
        <f t="shared" ref="E38:P38" si="41">+D38</f>
        <v>391</v>
      </c>
      <c r="F38" s="105">
        <f t="shared" si="41"/>
        <v>391</v>
      </c>
      <c r="G38" s="377">
        <f t="shared" si="41"/>
        <v>391</v>
      </c>
      <c r="H38" s="377">
        <f t="shared" si="41"/>
        <v>391</v>
      </c>
      <c r="I38" s="377">
        <f t="shared" si="41"/>
        <v>391</v>
      </c>
      <c r="J38" s="377">
        <f t="shared" si="41"/>
        <v>391</v>
      </c>
      <c r="K38" s="377">
        <f t="shared" si="41"/>
        <v>391</v>
      </c>
      <c r="L38" s="377">
        <f t="shared" si="41"/>
        <v>391</v>
      </c>
      <c r="M38" s="377">
        <f t="shared" si="41"/>
        <v>391</v>
      </c>
      <c r="N38" s="377">
        <f t="shared" si="41"/>
        <v>391</v>
      </c>
      <c r="O38" s="377">
        <f t="shared" si="41"/>
        <v>391</v>
      </c>
      <c r="P38" s="377">
        <f t="shared" si="41"/>
        <v>391</v>
      </c>
    </row>
    <row r="39" spans="1:17" s="32" customFormat="1" x14ac:dyDescent="0.2">
      <c r="A39" s="33"/>
      <c r="B39" s="205" t="s">
        <v>215</v>
      </c>
      <c r="C39" s="204">
        <f>+'[2]ТЭЦ-4-ПГУ'!$G$96</f>
        <v>129</v>
      </c>
      <c r="D39" s="105">
        <f>+C39</f>
        <v>129</v>
      </c>
      <c r="E39" s="105">
        <f t="shared" ref="E39" si="42">+D39</f>
        <v>129</v>
      </c>
      <c r="F39" s="105">
        <f t="shared" ref="F39" si="43">+E39</f>
        <v>129</v>
      </c>
      <c r="G39" s="377">
        <f t="shared" ref="G39" si="44">+F39</f>
        <v>129</v>
      </c>
      <c r="H39" s="377">
        <f t="shared" ref="H39" si="45">+G39</f>
        <v>129</v>
      </c>
      <c r="I39" s="377">
        <f t="shared" ref="I39" si="46">+H39</f>
        <v>129</v>
      </c>
      <c r="J39" s="377">
        <f t="shared" ref="J39" si="47">+I39</f>
        <v>129</v>
      </c>
      <c r="K39" s="377">
        <f t="shared" ref="K39" si="48">+J39</f>
        <v>129</v>
      </c>
      <c r="L39" s="377">
        <f t="shared" ref="L39" si="49">+K39</f>
        <v>129</v>
      </c>
      <c r="M39" s="377">
        <f t="shared" ref="M39" si="50">+L39</f>
        <v>129</v>
      </c>
      <c r="N39" s="377">
        <f t="shared" ref="N39" si="51">+M39</f>
        <v>129</v>
      </c>
      <c r="O39" s="377">
        <f t="shared" ref="O39" si="52">+N39</f>
        <v>129</v>
      </c>
      <c r="P39" s="377">
        <f t="shared" ref="P39" si="53">+O39</f>
        <v>129</v>
      </c>
    </row>
    <row r="40" spans="1:17" s="67" customFormat="1" x14ac:dyDescent="0.2">
      <c r="A40" s="108">
        <v>7</v>
      </c>
      <c r="B40" s="109" t="s">
        <v>402</v>
      </c>
      <c r="C40" s="102">
        <f>+C41+C44</f>
        <v>404.423</v>
      </c>
      <c r="D40" s="102">
        <f t="shared" ref="D40:P40" si="54">+D41+D44</f>
        <v>404.423</v>
      </c>
      <c r="E40" s="102">
        <f t="shared" si="54"/>
        <v>404.423</v>
      </c>
      <c r="F40" s="102">
        <f t="shared" si="54"/>
        <v>404.423</v>
      </c>
      <c r="G40" s="102">
        <f t="shared" si="54"/>
        <v>415.15699999999998</v>
      </c>
      <c r="H40" s="102">
        <f t="shared" si="54"/>
        <v>425.911</v>
      </c>
      <c r="I40" s="102">
        <f t="shared" si="54"/>
        <v>436.66500000000002</v>
      </c>
      <c r="J40" s="102">
        <f t="shared" si="54"/>
        <v>447.41900000000004</v>
      </c>
      <c r="K40" s="102">
        <f t="shared" si="54"/>
        <v>458.173</v>
      </c>
      <c r="L40" s="102">
        <f t="shared" si="54"/>
        <v>459.37700000000001</v>
      </c>
      <c r="M40" s="102">
        <f t="shared" si="54"/>
        <v>460.58100000000002</v>
      </c>
      <c r="N40" s="102">
        <f t="shared" si="54"/>
        <v>461.78500000000003</v>
      </c>
      <c r="O40" s="102">
        <f t="shared" si="54"/>
        <v>462.98899999999998</v>
      </c>
      <c r="P40" s="102">
        <f t="shared" si="54"/>
        <v>464.19299999999998</v>
      </c>
    </row>
    <row r="41" spans="1:17" s="96" customFormat="1" x14ac:dyDescent="0.2">
      <c r="A41" s="131"/>
      <c r="B41" s="225" t="s">
        <v>214</v>
      </c>
      <c r="C41" s="228">
        <f>SUM(C42:C43)</f>
        <v>368.85300000000001</v>
      </c>
      <c r="D41" s="228">
        <f>SUM(D42:D43)</f>
        <v>368.85300000000001</v>
      </c>
      <c r="E41" s="228">
        <f t="shared" ref="E41:P41" si="55">SUM(E42:E43)</f>
        <v>368.85300000000001</v>
      </c>
      <c r="F41" s="228">
        <f t="shared" si="55"/>
        <v>368.85300000000001</v>
      </c>
      <c r="G41" s="228">
        <f t="shared" si="55"/>
        <v>379.58699999999999</v>
      </c>
      <c r="H41" s="228">
        <f t="shared" si="55"/>
        <v>390.34100000000001</v>
      </c>
      <c r="I41" s="228">
        <f t="shared" si="55"/>
        <v>401.09500000000003</v>
      </c>
      <c r="J41" s="228">
        <f t="shared" si="55"/>
        <v>411.84900000000005</v>
      </c>
      <c r="K41" s="228">
        <f t="shared" si="55"/>
        <v>422.60300000000001</v>
      </c>
      <c r="L41" s="228">
        <f t="shared" si="55"/>
        <v>423.80700000000002</v>
      </c>
      <c r="M41" s="228">
        <f t="shared" si="55"/>
        <v>425.01100000000002</v>
      </c>
      <c r="N41" s="228">
        <f t="shared" si="55"/>
        <v>426.21500000000003</v>
      </c>
      <c r="O41" s="228">
        <f t="shared" si="55"/>
        <v>427.41899999999998</v>
      </c>
      <c r="P41" s="228">
        <f t="shared" si="55"/>
        <v>428.62299999999999</v>
      </c>
    </row>
    <row r="42" spans="1:17" s="236" customFormat="1" x14ac:dyDescent="0.2">
      <c r="A42" s="353"/>
      <c r="B42" s="354" t="s">
        <v>470</v>
      </c>
      <c r="C42" s="355">
        <f>+'[2]ТЭЦ-4-ПГУ'!$G$99</f>
        <v>368.85300000000001</v>
      </c>
      <c r="D42" s="356">
        <f>+C42</f>
        <v>368.85300000000001</v>
      </c>
      <c r="E42" s="356">
        <f t="shared" ref="E42:P42" si="56">+D42</f>
        <v>368.85300000000001</v>
      </c>
      <c r="F42" s="356">
        <f t="shared" si="56"/>
        <v>368.85300000000001</v>
      </c>
      <c r="G42" s="384">
        <f t="shared" si="56"/>
        <v>368.85300000000001</v>
      </c>
      <c r="H42" s="384">
        <f t="shared" si="56"/>
        <v>368.85300000000001</v>
      </c>
      <c r="I42" s="242">
        <f t="shared" si="56"/>
        <v>368.85300000000001</v>
      </c>
      <c r="J42" s="356">
        <f t="shared" si="56"/>
        <v>368.85300000000001</v>
      </c>
      <c r="K42" s="356">
        <f t="shared" si="56"/>
        <v>368.85300000000001</v>
      </c>
      <c r="L42" s="356">
        <f t="shared" si="56"/>
        <v>368.85300000000001</v>
      </c>
      <c r="M42" s="356">
        <f t="shared" si="56"/>
        <v>368.85300000000001</v>
      </c>
      <c r="N42" s="356">
        <f t="shared" si="56"/>
        <v>368.85300000000001</v>
      </c>
      <c r="O42" s="356">
        <f t="shared" si="56"/>
        <v>368.85300000000001</v>
      </c>
      <c r="P42" s="356">
        <f t="shared" si="56"/>
        <v>368.85300000000001</v>
      </c>
    </row>
    <row r="43" spans="1:17" s="349" customFormat="1" x14ac:dyDescent="0.2">
      <c r="A43" s="357"/>
      <c r="B43" s="358" t="s">
        <v>469</v>
      </c>
      <c r="C43" s="352"/>
      <c r="D43" s="352"/>
      <c r="E43" s="352"/>
      <c r="F43" s="352"/>
      <c r="G43" s="351">
        <f>+'[2]ТЭЦ-4-ПГУ'!L$100-22</f>
        <v>10.734000000000002</v>
      </c>
      <c r="H43" s="351">
        <f>+'[2]ТЭЦ-4-ПГУ'!M$100-22</f>
        <v>21.488</v>
      </c>
      <c r="I43" s="351">
        <f>+'[2]ТЭЦ-4-ПГУ'!N$100-22</f>
        <v>32.242000000000004</v>
      </c>
      <c r="J43" s="351">
        <f>+'[2]ТЭЦ-4-ПГУ'!O$100-22</f>
        <v>42.996000000000009</v>
      </c>
      <c r="K43" s="351">
        <f>+'[2]ТЭЦ-4-ПГУ'!P$100-22</f>
        <v>53.750000000000014</v>
      </c>
      <c r="L43" s="351">
        <f>+'[2]ТЭЦ-4-ПГУ'!Q$100-22</f>
        <v>54.954000000000008</v>
      </c>
      <c r="M43" s="351">
        <f>+'[2]ТЭЦ-4-ПГУ'!R$100-22</f>
        <v>56.158000000000001</v>
      </c>
      <c r="N43" s="351">
        <f>+'[2]ТЭЦ-4-ПГУ'!S$100-22</f>
        <v>57.361999999999995</v>
      </c>
      <c r="O43" s="351">
        <f>+'[2]ТЭЦ-4-ПГУ'!T$100-22</f>
        <v>58.565999999999988</v>
      </c>
      <c r="P43" s="351">
        <f>+'[2]ТЭЦ-4-ПГУ'!U$100-22</f>
        <v>59.769999999999982</v>
      </c>
    </row>
    <row r="44" spans="1:17" s="96" customFormat="1" x14ac:dyDescent="0.2">
      <c r="A44" s="131"/>
      <c r="B44" s="225" t="s">
        <v>215</v>
      </c>
      <c r="C44" s="355">
        <f>+'[2]ТЭЦ-4-ПГУ'!$G$101</f>
        <v>35.57</v>
      </c>
      <c r="D44" s="356">
        <f>+C44</f>
        <v>35.57</v>
      </c>
      <c r="E44" s="356">
        <f t="shared" ref="E44" si="57">+D44</f>
        <v>35.57</v>
      </c>
      <c r="F44" s="356">
        <f t="shared" ref="F44" si="58">+E44</f>
        <v>35.57</v>
      </c>
      <c r="G44" s="384">
        <f t="shared" ref="G44" si="59">+F44</f>
        <v>35.57</v>
      </c>
      <c r="H44" s="384">
        <f t="shared" ref="H44" si="60">+G44</f>
        <v>35.57</v>
      </c>
      <c r="I44" s="242">
        <f t="shared" ref="I44" si="61">+H44</f>
        <v>35.57</v>
      </c>
      <c r="J44" s="356">
        <f t="shared" ref="J44" si="62">+I44</f>
        <v>35.57</v>
      </c>
      <c r="K44" s="356">
        <f t="shared" ref="K44" si="63">+J44</f>
        <v>35.57</v>
      </c>
      <c r="L44" s="356">
        <f t="shared" ref="L44" si="64">+K44</f>
        <v>35.57</v>
      </c>
      <c r="M44" s="356">
        <f t="shared" ref="M44" si="65">+L44</f>
        <v>35.57</v>
      </c>
      <c r="N44" s="356">
        <f t="shared" ref="N44" si="66">+M44</f>
        <v>35.57</v>
      </c>
      <c r="O44" s="356">
        <f t="shared" ref="O44" si="67">+N44</f>
        <v>35.57</v>
      </c>
      <c r="P44" s="356">
        <f t="shared" ref="P44" si="68">+O44</f>
        <v>35.57</v>
      </c>
    </row>
    <row r="45" spans="1:17" s="453" customFormat="1" ht="22.5" x14ac:dyDescent="0.2">
      <c r="A45" s="451"/>
      <c r="B45" s="452" t="s">
        <v>468</v>
      </c>
      <c r="C45" s="454">
        <f>(+'[5]1'!AC$55/744+'[5]1'!AD$55/744+[7]январь!$AC$55/744)/3</f>
        <v>215.83467741935485</v>
      </c>
      <c r="D45" s="461">
        <f t="shared" ref="D45:P45" si="69">+C45+D43*($C45/$C42)</f>
        <v>215.83467741935485</v>
      </c>
      <c r="E45" s="461">
        <f t="shared" si="69"/>
        <v>215.83467741935485</v>
      </c>
      <c r="F45" s="461">
        <f t="shared" si="69"/>
        <v>215.83467741935485</v>
      </c>
      <c r="G45" s="461">
        <f t="shared" si="69"/>
        <v>222.1156875437658</v>
      </c>
      <c r="H45" s="461">
        <f t="shared" si="69"/>
        <v>234.68941081126559</v>
      </c>
      <c r="I45" s="461">
        <f t="shared" si="69"/>
        <v>253.55584722185421</v>
      </c>
      <c r="J45" s="461">
        <f t="shared" si="69"/>
        <v>278.71499677553163</v>
      </c>
      <c r="K45" s="461">
        <f t="shared" si="69"/>
        <v>310.16685947229792</v>
      </c>
      <c r="L45" s="461">
        <f t="shared" si="69"/>
        <v>342.32324389347173</v>
      </c>
      <c r="M45" s="461">
        <f t="shared" si="69"/>
        <v>375.18415003905312</v>
      </c>
      <c r="N45" s="461">
        <f t="shared" si="69"/>
        <v>408.74957790904205</v>
      </c>
      <c r="O45" s="461">
        <f t="shared" si="69"/>
        <v>443.01952750343855</v>
      </c>
      <c r="P45" s="461">
        <f t="shared" si="69"/>
        <v>477.99399882224259</v>
      </c>
    </row>
    <row r="46" spans="1:17" s="35" customFormat="1" x14ac:dyDescent="0.2">
      <c r="A46" s="33" t="s">
        <v>175</v>
      </c>
      <c r="B46" s="110" t="s">
        <v>220</v>
      </c>
      <c r="C46" s="174">
        <f t="shared" ref="C46:P46" si="70">C40/C29</f>
        <v>0.82367209775967409</v>
      </c>
      <c r="D46" s="174">
        <f t="shared" si="70"/>
        <v>0.82367209775967409</v>
      </c>
      <c r="E46" s="174">
        <f t="shared" si="70"/>
        <v>0.82367209775967409</v>
      </c>
      <c r="F46" s="174">
        <f t="shared" si="70"/>
        <v>0.82367209775967409</v>
      </c>
      <c r="G46" s="386">
        <f t="shared" si="70"/>
        <v>0.84553360488798368</v>
      </c>
      <c r="H46" s="174">
        <f t="shared" si="70"/>
        <v>0.86743584521384931</v>
      </c>
      <c r="I46" s="70">
        <f t="shared" si="70"/>
        <v>0.88933808553971494</v>
      </c>
      <c r="J46" s="174">
        <f t="shared" si="70"/>
        <v>0.91124032586558057</v>
      </c>
      <c r="K46" s="174">
        <f t="shared" si="70"/>
        <v>0.93314256619144598</v>
      </c>
      <c r="L46" s="174">
        <f t="shared" si="70"/>
        <v>0.93559470468431771</v>
      </c>
      <c r="M46" s="174">
        <f t="shared" si="70"/>
        <v>0.93804684317718945</v>
      </c>
      <c r="N46" s="174">
        <f t="shared" si="70"/>
        <v>0.94049898167006118</v>
      </c>
      <c r="O46" s="174">
        <f t="shared" si="70"/>
        <v>0.9429511201629327</v>
      </c>
      <c r="P46" s="174">
        <f t="shared" si="70"/>
        <v>0.94540325865580443</v>
      </c>
      <c r="Q46" s="32"/>
    </row>
    <row r="47" spans="1:17" s="35" customFormat="1" x14ac:dyDescent="0.2">
      <c r="A47" s="33" t="s">
        <v>221</v>
      </c>
      <c r="B47" s="110" t="s">
        <v>222</v>
      </c>
      <c r="C47" s="174">
        <f t="shared" ref="C47:P47" si="71">+C41/C38</f>
        <v>0.94335805626598468</v>
      </c>
      <c r="D47" s="174">
        <f t="shared" si="71"/>
        <v>0.94335805626598468</v>
      </c>
      <c r="E47" s="174">
        <f t="shared" si="71"/>
        <v>0.94335805626598468</v>
      </c>
      <c r="F47" s="174">
        <f t="shared" si="71"/>
        <v>0.94335805626598468</v>
      </c>
      <c r="G47" s="386">
        <f t="shared" si="71"/>
        <v>0.97081074168797954</v>
      </c>
      <c r="H47" s="174">
        <f t="shared" si="71"/>
        <v>0.99831457800511514</v>
      </c>
      <c r="I47" s="70">
        <f t="shared" si="71"/>
        <v>1.0258184143222506</v>
      </c>
      <c r="J47" s="174">
        <f t="shared" si="71"/>
        <v>1.0533222506393862</v>
      </c>
      <c r="K47" s="174">
        <f t="shared" si="71"/>
        <v>1.0808260869565218</v>
      </c>
      <c r="L47" s="174">
        <f t="shared" si="71"/>
        <v>1.0839053708439899</v>
      </c>
      <c r="M47" s="174">
        <f t="shared" si="71"/>
        <v>1.0869846547314579</v>
      </c>
      <c r="N47" s="174">
        <f t="shared" si="71"/>
        <v>1.0900639386189259</v>
      </c>
      <c r="O47" s="174">
        <f t="shared" si="71"/>
        <v>1.0931432225063937</v>
      </c>
      <c r="P47" s="174">
        <f t="shared" si="71"/>
        <v>1.0962225063938618</v>
      </c>
      <c r="Q47" s="32"/>
    </row>
    <row r="48" spans="1:17" s="35" customFormat="1" ht="22.5" x14ac:dyDescent="0.2">
      <c r="A48" s="33" t="s">
        <v>223</v>
      </c>
      <c r="B48" s="110" t="s">
        <v>459</v>
      </c>
      <c r="C48" s="331">
        <f>+(C45)/C38</f>
        <v>0.55200684761983332</v>
      </c>
      <c r="D48" s="331">
        <f t="shared" ref="D48:P48" si="72">+(D45)/D38</f>
        <v>0.55200684761983332</v>
      </c>
      <c r="E48" s="331">
        <f t="shared" si="72"/>
        <v>0.55200684761983332</v>
      </c>
      <c r="F48" s="331">
        <f t="shared" si="72"/>
        <v>0.55200684761983332</v>
      </c>
      <c r="G48" s="331">
        <f t="shared" si="72"/>
        <v>0.5680708121323933</v>
      </c>
      <c r="H48" s="331">
        <f t="shared" si="72"/>
        <v>0.60022867215157438</v>
      </c>
      <c r="I48" s="331">
        <f t="shared" si="72"/>
        <v>0.64848042767737646</v>
      </c>
      <c r="J48" s="331">
        <f t="shared" si="72"/>
        <v>0.71282607870979953</v>
      </c>
      <c r="K48" s="331">
        <f t="shared" si="72"/>
        <v>0.79326562524884381</v>
      </c>
      <c r="L48" s="331">
        <f t="shared" si="72"/>
        <v>0.87550701763036243</v>
      </c>
      <c r="M48" s="331">
        <f t="shared" si="72"/>
        <v>0.95955025585435583</v>
      </c>
      <c r="N48" s="331">
        <f t="shared" si="72"/>
        <v>1.0453953399208236</v>
      </c>
      <c r="O48" s="331">
        <f t="shared" si="72"/>
        <v>1.1330422698297662</v>
      </c>
      <c r="P48" s="331">
        <f t="shared" si="72"/>
        <v>1.222491045581183</v>
      </c>
      <c r="Q48" s="32"/>
    </row>
    <row r="49" spans="1:17" s="74" customFormat="1" x14ac:dyDescent="0.2">
      <c r="A49" s="71">
        <v>8</v>
      </c>
      <c r="B49" s="101" t="s">
        <v>176</v>
      </c>
      <c r="C49" s="103">
        <f>+C50</f>
        <v>1165.211</v>
      </c>
      <c r="D49" s="103">
        <f t="shared" ref="D49:P49" si="73">+D50</f>
        <v>1033.843395259682</v>
      </c>
      <c r="E49" s="103">
        <f t="shared" si="73"/>
        <v>1094.6666666666667</v>
      </c>
      <c r="F49" s="103">
        <f t="shared" si="73"/>
        <v>1062.1162920806801</v>
      </c>
      <c r="G49" s="103">
        <f t="shared" si="73"/>
        <v>1024.3222219264032</v>
      </c>
      <c r="H49" s="103">
        <f t="shared" si="73"/>
        <v>1017.929239241445</v>
      </c>
      <c r="I49" s="103">
        <f t="shared" si="73"/>
        <v>1014.7794459004498</v>
      </c>
      <c r="J49" s="103">
        <f t="shared" si="73"/>
        <v>1013.2843722715991</v>
      </c>
      <c r="K49" s="103">
        <f t="shared" si="73"/>
        <v>1045.1996483662313</v>
      </c>
      <c r="L49" s="103">
        <f t="shared" si="73"/>
        <v>1077.1149244608632</v>
      </c>
      <c r="M49" s="103">
        <f t="shared" si="73"/>
        <v>1080.6881058276047</v>
      </c>
      <c r="N49" s="103">
        <f t="shared" si="73"/>
        <v>1084.2612871943461</v>
      </c>
      <c r="O49" s="103">
        <f t="shared" si="73"/>
        <v>1087.8344685610875</v>
      </c>
      <c r="P49" s="103">
        <f t="shared" si="73"/>
        <v>1091.407649927829</v>
      </c>
    </row>
    <row r="50" spans="1:17" s="130" customFormat="1" x14ac:dyDescent="0.2">
      <c r="A50" s="29" t="s">
        <v>177</v>
      </c>
      <c r="B50" s="149" t="s">
        <v>209</v>
      </c>
      <c r="C50" s="198">
        <f>SUM(C51:C53)</f>
        <v>1165.211</v>
      </c>
      <c r="D50" s="198">
        <f t="shared" ref="D50:P50" si="74">SUM(D51:D53)</f>
        <v>1033.843395259682</v>
      </c>
      <c r="E50" s="198">
        <f t="shared" si="74"/>
        <v>1094.6666666666667</v>
      </c>
      <c r="F50" s="198">
        <f t="shared" si="74"/>
        <v>1062.1162920806801</v>
      </c>
      <c r="G50" s="388">
        <f t="shared" si="74"/>
        <v>1024.3222219264032</v>
      </c>
      <c r="H50" s="228">
        <f t="shared" si="74"/>
        <v>1017.929239241445</v>
      </c>
      <c r="I50" s="198">
        <f t="shared" si="74"/>
        <v>1014.7794459004498</v>
      </c>
      <c r="J50" s="198">
        <f t="shared" si="74"/>
        <v>1013.2843722715991</v>
      </c>
      <c r="K50" s="198">
        <f t="shared" si="74"/>
        <v>1045.1996483662313</v>
      </c>
      <c r="L50" s="198">
        <f t="shared" si="74"/>
        <v>1077.1149244608632</v>
      </c>
      <c r="M50" s="198">
        <f t="shared" si="74"/>
        <v>1080.6881058276047</v>
      </c>
      <c r="N50" s="198">
        <f t="shared" si="74"/>
        <v>1084.2612871943461</v>
      </c>
      <c r="O50" s="198">
        <f t="shared" si="74"/>
        <v>1087.8344685610875</v>
      </c>
      <c r="P50" s="198">
        <f t="shared" si="74"/>
        <v>1091.407649927829</v>
      </c>
    </row>
    <row r="51" spans="1:17" s="341" customFormat="1" x14ac:dyDescent="0.2">
      <c r="A51" s="339"/>
      <c r="B51" s="340" t="s">
        <v>356</v>
      </c>
      <c r="C51" s="111">
        <f>+'[4]4.4.Р_т'!$G$17</f>
        <v>1165.211</v>
      </c>
      <c r="D51" s="111">
        <f>+'[4]4.1.РчПО_ТЭ'!$K$10</f>
        <v>1033.843395259682</v>
      </c>
      <c r="E51" s="111">
        <f>+'[4]4.1.РчПО_ТЭ'!$S$10</f>
        <v>1094.6666666666667</v>
      </c>
      <c r="F51" s="198">
        <f t="shared" ref="F51:P52" si="75">+E51</f>
        <v>1094.6666666666667</v>
      </c>
      <c r="G51" s="388">
        <f t="shared" si="75"/>
        <v>1094.6666666666667</v>
      </c>
      <c r="H51" s="228">
        <f t="shared" si="75"/>
        <v>1094.6666666666667</v>
      </c>
      <c r="I51" s="198">
        <f t="shared" si="75"/>
        <v>1094.6666666666667</v>
      </c>
      <c r="J51" s="198">
        <f t="shared" si="75"/>
        <v>1094.6666666666667</v>
      </c>
      <c r="K51" s="198">
        <f t="shared" si="75"/>
        <v>1094.6666666666667</v>
      </c>
      <c r="L51" s="198">
        <f t="shared" si="75"/>
        <v>1094.6666666666667</v>
      </c>
      <c r="M51" s="198">
        <f t="shared" si="75"/>
        <v>1094.6666666666667</v>
      </c>
      <c r="N51" s="198">
        <f t="shared" si="75"/>
        <v>1094.6666666666667</v>
      </c>
      <c r="O51" s="198">
        <f t="shared" si="75"/>
        <v>1094.6666666666667</v>
      </c>
      <c r="P51" s="198">
        <f t="shared" si="75"/>
        <v>1094.6666666666667</v>
      </c>
    </row>
    <row r="52" spans="1:17" s="240" customFormat="1" ht="22.5" x14ac:dyDescent="0.2">
      <c r="A52" s="237"/>
      <c r="B52" s="238" t="s">
        <v>357</v>
      </c>
      <c r="C52" s="241"/>
      <c r="D52" s="241"/>
      <c r="E52" s="241"/>
      <c r="F52" s="462">
        <f>F51*Сети!F$31</f>
        <v>-32.550374585986617</v>
      </c>
      <c r="G52" s="462">
        <f>G51*Сети!G$31</f>
        <v>-70.344444740263597</v>
      </c>
      <c r="H52" s="462">
        <f>H51*Сети!H$31</f>
        <v>-108.59334834764887</v>
      </c>
      <c r="I52" s="462">
        <f>I51*Сети!I$31</f>
        <v>-143.65841778327615</v>
      </c>
      <c r="J52" s="462">
        <f>J51*Сети!J$31</f>
        <v>-177.06876750675892</v>
      </c>
      <c r="K52" s="198">
        <f t="shared" si="75"/>
        <v>-177.06876750675892</v>
      </c>
      <c r="L52" s="198">
        <f t="shared" si="75"/>
        <v>-177.06876750675892</v>
      </c>
      <c r="M52" s="198">
        <f t="shared" si="75"/>
        <v>-177.06876750675892</v>
      </c>
      <c r="N52" s="198">
        <f t="shared" si="75"/>
        <v>-177.06876750675892</v>
      </c>
      <c r="O52" s="198">
        <f t="shared" si="75"/>
        <v>-177.06876750675892</v>
      </c>
      <c r="P52" s="198">
        <f t="shared" si="75"/>
        <v>-177.06876750675892</v>
      </c>
    </row>
    <row r="53" spans="1:17" s="265" customFormat="1" x14ac:dyDescent="0.2">
      <c r="A53" s="359"/>
      <c r="B53" s="360" t="s">
        <v>358</v>
      </c>
      <c r="C53" s="241"/>
      <c r="D53" s="117">
        <f>D51/C42*C43</f>
        <v>0</v>
      </c>
      <c r="E53" s="117">
        <f t="shared" ref="E53:P53" si="76">E51/D42*D43</f>
        <v>0</v>
      </c>
      <c r="F53" s="117">
        <f t="shared" si="76"/>
        <v>0</v>
      </c>
      <c r="G53" s="117">
        <f t="shared" si="76"/>
        <v>0</v>
      </c>
      <c r="H53" s="117">
        <f t="shared" si="76"/>
        <v>31.855920922427096</v>
      </c>
      <c r="I53" s="117">
        <f t="shared" si="76"/>
        <v>63.771197017059187</v>
      </c>
      <c r="J53" s="117">
        <f t="shared" si="76"/>
        <v>95.686473111691299</v>
      </c>
      <c r="K53" s="117">
        <f t="shared" si="76"/>
        <v>127.60174920632342</v>
      </c>
      <c r="L53" s="117">
        <f t="shared" si="76"/>
        <v>159.51702530095554</v>
      </c>
      <c r="M53" s="117">
        <f t="shared" si="76"/>
        <v>163.09020666769692</v>
      </c>
      <c r="N53" s="117">
        <f t="shared" si="76"/>
        <v>166.6633880344383</v>
      </c>
      <c r="O53" s="117">
        <f t="shared" si="76"/>
        <v>170.23656940117968</v>
      </c>
      <c r="P53" s="117">
        <f t="shared" si="76"/>
        <v>173.80975076792106</v>
      </c>
    </row>
    <row r="54" spans="1:17" x14ac:dyDescent="0.2">
      <c r="A54" s="29" t="s">
        <v>207</v>
      </c>
      <c r="B54" s="3" t="s">
        <v>178</v>
      </c>
      <c r="C54" s="111">
        <f>+'[4]4.4.Р_т'!$G$18</f>
        <v>3.8090000000000002</v>
      </c>
      <c r="D54" s="111">
        <f>+'[4]4.4.Р_т'!$AA$18</f>
        <v>3.7360000000000002</v>
      </c>
      <c r="E54" s="90">
        <f t="shared" ref="E54:P54" si="77">+D54</f>
        <v>3.7360000000000002</v>
      </c>
      <c r="F54" s="90">
        <f t="shared" si="77"/>
        <v>3.7360000000000002</v>
      </c>
      <c r="G54" s="372">
        <f t="shared" si="77"/>
        <v>3.7360000000000002</v>
      </c>
      <c r="H54" s="90">
        <f t="shared" si="77"/>
        <v>3.7360000000000002</v>
      </c>
      <c r="I54" s="423">
        <f t="shared" si="77"/>
        <v>3.7360000000000002</v>
      </c>
      <c r="J54" s="90">
        <f t="shared" si="77"/>
        <v>3.7360000000000002</v>
      </c>
      <c r="K54" s="90">
        <f t="shared" si="77"/>
        <v>3.7360000000000002</v>
      </c>
      <c r="L54" s="90">
        <f t="shared" si="77"/>
        <v>3.7360000000000002</v>
      </c>
      <c r="M54" s="90">
        <f t="shared" si="77"/>
        <v>3.7360000000000002</v>
      </c>
      <c r="N54" s="90">
        <f t="shared" si="77"/>
        <v>3.7360000000000002</v>
      </c>
      <c r="O54" s="90">
        <f t="shared" si="77"/>
        <v>3.7360000000000002</v>
      </c>
      <c r="P54" s="90">
        <f t="shared" si="77"/>
        <v>3.7360000000000002</v>
      </c>
    </row>
    <row r="55" spans="1:17" s="35" customFormat="1" x14ac:dyDescent="0.2">
      <c r="A55" s="112" t="s">
        <v>208</v>
      </c>
      <c r="B55" s="34" t="s">
        <v>179</v>
      </c>
      <c r="C55" s="70">
        <f t="shared" ref="C55:P55" si="78">C54/C49</f>
        <v>3.2689358408047983E-3</v>
      </c>
      <c r="D55" s="70">
        <f t="shared" si="78"/>
        <v>3.6137001185383472E-3</v>
      </c>
      <c r="E55" s="70">
        <f t="shared" si="78"/>
        <v>3.4129110840438489E-3</v>
      </c>
      <c r="F55" s="70">
        <f t="shared" si="78"/>
        <v>3.5175055950617201E-3</v>
      </c>
      <c r="G55" s="375">
        <f t="shared" si="78"/>
        <v>3.6472898078632418E-3</v>
      </c>
      <c r="H55" s="174">
        <f t="shared" si="78"/>
        <v>3.6701961747204019E-3</v>
      </c>
      <c r="I55" s="70">
        <f t="shared" si="78"/>
        <v>3.6815881668601546E-3</v>
      </c>
      <c r="J55" s="70">
        <f t="shared" si="78"/>
        <v>3.68702025042049E-3</v>
      </c>
      <c r="K55" s="70">
        <f t="shared" si="78"/>
        <v>3.5744367172719617E-3</v>
      </c>
      <c r="L55" s="70">
        <f t="shared" si="78"/>
        <v>3.4685249597391009E-3</v>
      </c>
      <c r="M55" s="70">
        <f t="shared" si="78"/>
        <v>3.4570566473838666E-3</v>
      </c>
      <c r="N55" s="70">
        <f t="shared" si="78"/>
        <v>3.4456639226392934E-3</v>
      </c>
      <c r="O55" s="70">
        <f t="shared" si="78"/>
        <v>3.4343460406634509E-3</v>
      </c>
      <c r="P55" s="70">
        <f t="shared" si="78"/>
        <v>3.4231022663686194E-3</v>
      </c>
      <c r="Q55" s="32"/>
    </row>
    <row r="56" spans="1:17" s="114" customFormat="1" x14ac:dyDescent="0.2">
      <c r="A56" s="113">
        <v>9</v>
      </c>
      <c r="B56" s="72" t="s">
        <v>77</v>
      </c>
      <c r="C56" s="78">
        <f t="shared" ref="C56:P56" si="79">+C49-C54</f>
        <v>1161.402</v>
      </c>
      <c r="D56" s="78">
        <f t="shared" si="79"/>
        <v>1030.1073952596819</v>
      </c>
      <c r="E56" s="78">
        <f t="shared" si="79"/>
        <v>1090.9306666666666</v>
      </c>
      <c r="F56" s="78">
        <f t="shared" si="79"/>
        <v>1058.38029208068</v>
      </c>
      <c r="G56" s="389">
        <f t="shared" si="79"/>
        <v>1020.5862219264033</v>
      </c>
      <c r="H56" s="103">
        <f t="shared" si="79"/>
        <v>1014.193239241445</v>
      </c>
      <c r="I56" s="78">
        <f t="shared" si="79"/>
        <v>1011.0434459004498</v>
      </c>
      <c r="J56" s="78">
        <f t="shared" si="79"/>
        <v>1009.5483722715991</v>
      </c>
      <c r="K56" s="78">
        <f t="shared" si="79"/>
        <v>1041.4636483662312</v>
      </c>
      <c r="L56" s="78">
        <f t="shared" si="79"/>
        <v>1073.3789244608631</v>
      </c>
      <c r="M56" s="78">
        <f t="shared" si="79"/>
        <v>1076.9521058276046</v>
      </c>
      <c r="N56" s="78">
        <f t="shared" si="79"/>
        <v>1080.525287194346</v>
      </c>
      <c r="O56" s="78">
        <f t="shared" si="79"/>
        <v>1084.0984685610874</v>
      </c>
      <c r="P56" s="78">
        <f t="shared" si="79"/>
        <v>1087.6716499278289</v>
      </c>
      <c r="Q56" s="74"/>
    </row>
    <row r="57" spans="1:17" s="32" customFormat="1" x14ac:dyDescent="0.2">
      <c r="A57" s="30"/>
      <c r="B57" s="31" t="s">
        <v>21</v>
      </c>
      <c r="C57" s="116">
        <f>+('[5]6 мес.'!$AC$55)/1000</f>
        <v>644.803</v>
      </c>
      <c r="D57" s="118">
        <f>+C57*D56/C56</f>
        <v>571.90907092086002</v>
      </c>
      <c r="E57" s="118">
        <f>+D57*E56/D56</f>
        <v>605.67776416664231</v>
      </c>
      <c r="F57" s="118">
        <f t="shared" ref="F57:P57" si="80">+E57*F56/E56</f>
        <v>587.60600332572074</v>
      </c>
      <c r="G57" s="390">
        <f t="shared" si="80"/>
        <v>566.62297607272126</v>
      </c>
      <c r="H57" s="445">
        <f t="shared" si="80"/>
        <v>563.07363276677791</v>
      </c>
      <c r="I57" s="118">
        <f t="shared" si="80"/>
        <v>561.3248875470747</v>
      </c>
      <c r="J57" s="118">
        <f t="shared" si="80"/>
        <v>560.49483218200396</v>
      </c>
      <c r="K57" s="118">
        <f t="shared" si="80"/>
        <v>578.21399038187542</v>
      </c>
      <c r="L57" s="118">
        <f t="shared" si="80"/>
        <v>595.93314858174676</v>
      </c>
      <c r="M57" s="118">
        <f t="shared" si="80"/>
        <v>597.9169561391808</v>
      </c>
      <c r="N57" s="118">
        <f t="shared" si="80"/>
        <v>599.90076369661483</v>
      </c>
      <c r="O57" s="118">
        <f t="shared" si="80"/>
        <v>601.88457125404886</v>
      </c>
      <c r="P57" s="118">
        <f t="shared" si="80"/>
        <v>603.8683788114829</v>
      </c>
    </row>
    <row r="58" spans="1:17" s="32" customFormat="1" x14ac:dyDescent="0.2">
      <c r="A58" s="33"/>
      <c r="B58" s="34" t="s">
        <v>22</v>
      </c>
      <c r="C58" s="117">
        <f>+C56-C57</f>
        <v>516.59900000000005</v>
      </c>
      <c r="D58" s="117">
        <f t="shared" ref="D58:P58" si="81">+D56-D57</f>
        <v>458.19832433882186</v>
      </c>
      <c r="E58" s="117">
        <f t="shared" si="81"/>
        <v>485.25290250002433</v>
      </c>
      <c r="F58" s="117">
        <f t="shared" si="81"/>
        <v>470.77428875495923</v>
      </c>
      <c r="G58" s="391">
        <f t="shared" si="81"/>
        <v>453.963245853682</v>
      </c>
      <c r="H58" s="445">
        <f t="shared" si="81"/>
        <v>451.11960647466708</v>
      </c>
      <c r="I58" s="117">
        <f t="shared" si="81"/>
        <v>449.7185583533751</v>
      </c>
      <c r="J58" s="117">
        <f t="shared" si="81"/>
        <v>449.05354008959512</v>
      </c>
      <c r="K58" s="117">
        <f t="shared" si="81"/>
        <v>463.24965798435574</v>
      </c>
      <c r="L58" s="117">
        <f t="shared" si="81"/>
        <v>477.44577587911635</v>
      </c>
      <c r="M58" s="117">
        <f t="shared" si="81"/>
        <v>479.03514968842376</v>
      </c>
      <c r="N58" s="117">
        <f t="shared" si="81"/>
        <v>480.62452349773116</v>
      </c>
      <c r="O58" s="117">
        <f t="shared" si="81"/>
        <v>482.21389730703856</v>
      </c>
      <c r="P58" s="117">
        <f t="shared" si="81"/>
        <v>483.80327111634597</v>
      </c>
    </row>
    <row r="59" spans="1:17" s="24" customFormat="1" x14ac:dyDescent="0.2">
      <c r="A59" s="1"/>
      <c r="B59" s="466"/>
      <c r="C59" s="115"/>
      <c r="D59" s="115"/>
      <c r="E59" s="115"/>
      <c r="F59" s="115"/>
      <c r="G59" s="392"/>
      <c r="H59" s="115"/>
      <c r="I59" s="427"/>
      <c r="J59" s="115"/>
      <c r="K59" s="115"/>
      <c r="L59" s="115"/>
      <c r="M59" s="115"/>
      <c r="N59" s="115"/>
      <c r="O59" s="115"/>
      <c r="P59" s="115"/>
    </row>
    <row r="60" spans="1:17" s="37" customFormat="1" x14ac:dyDescent="0.2">
      <c r="A60" s="1">
        <v>12</v>
      </c>
      <c r="B60" s="466" t="s">
        <v>183</v>
      </c>
      <c r="C60" s="481">
        <f t="shared" ref="C60:P60" si="82">C61+C62</f>
        <v>229558.28875033691</v>
      </c>
      <c r="D60" s="481">
        <f t="shared" si="82"/>
        <v>218467.63090490736</v>
      </c>
      <c r="E60" s="481">
        <f t="shared" si="82"/>
        <v>226264.14689861942</v>
      </c>
      <c r="F60" s="481">
        <f t="shared" si="82"/>
        <v>222270.49622549192</v>
      </c>
      <c r="G60" s="482">
        <f t="shared" si="82"/>
        <v>217290.47152050814</v>
      </c>
      <c r="H60" s="481">
        <f t="shared" si="82"/>
        <v>216322.79000413162</v>
      </c>
      <c r="I60" s="483">
        <f t="shared" si="82"/>
        <v>215819.28104770218</v>
      </c>
      <c r="J60" s="481">
        <f t="shared" si="82"/>
        <v>215603.93559881754</v>
      </c>
      <c r="K60" s="481">
        <f t="shared" si="82"/>
        <v>220200.69308052311</v>
      </c>
      <c r="L60" s="481">
        <f t="shared" si="82"/>
        <v>224797.45056222868</v>
      </c>
      <c r="M60" s="481">
        <f t="shared" si="82"/>
        <v>225312.09590423849</v>
      </c>
      <c r="N60" s="481">
        <f t="shared" si="82"/>
        <v>225826.74124624833</v>
      </c>
      <c r="O60" s="481">
        <f t="shared" si="82"/>
        <v>226341.38658825814</v>
      </c>
      <c r="P60" s="481">
        <f t="shared" si="82"/>
        <v>226856.03193026796</v>
      </c>
      <c r="Q60" s="36"/>
    </row>
    <row r="61" spans="1:17" s="37" customFormat="1" x14ac:dyDescent="0.2">
      <c r="A61" s="1" t="s">
        <v>48</v>
      </c>
      <c r="B61" s="3" t="s">
        <v>181</v>
      </c>
      <c r="C61" s="484">
        <f t="shared" ref="C61:P61" si="83">+(C15-C17)*C64</f>
        <v>87818.13392005903</v>
      </c>
      <c r="D61" s="484">
        <f t="shared" si="83"/>
        <v>91883.769332046053</v>
      </c>
      <c r="E61" s="484">
        <f t="shared" si="83"/>
        <v>86221.889000018637</v>
      </c>
      <c r="F61" s="484">
        <f t="shared" si="83"/>
        <v>80560.00866799122</v>
      </c>
      <c r="G61" s="485">
        <f t="shared" si="83"/>
        <v>74997.668138303212</v>
      </c>
      <c r="H61" s="486">
        <f t="shared" si="83"/>
        <v>69328.263152968153</v>
      </c>
      <c r="I61" s="484">
        <f t="shared" si="83"/>
        <v>69660.589003408619</v>
      </c>
      <c r="J61" s="484">
        <f t="shared" si="83"/>
        <v>69660.579021738551</v>
      </c>
      <c r="K61" s="484">
        <f t="shared" si="83"/>
        <v>69660.579021738551</v>
      </c>
      <c r="L61" s="484">
        <f t="shared" si="83"/>
        <v>69660.579021738551</v>
      </c>
      <c r="M61" s="484">
        <f t="shared" si="83"/>
        <v>69660.579021738551</v>
      </c>
      <c r="N61" s="484">
        <f t="shared" si="83"/>
        <v>69660.579021738551</v>
      </c>
      <c r="O61" s="484">
        <f t="shared" si="83"/>
        <v>69660.579021738551</v>
      </c>
      <c r="P61" s="484">
        <f t="shared" si="83"/>
        <v>69660.579021738551</v>
      </c>
      <c r="Q61" s="36"/>
    </row>
    <row r="62" spans="1:17" s="32" customFormat="1" ht="12" thickBot="1" x14ac:dyDescent="0.25">
      <c r="A62" s="39" t="s">
        <v>49</v>
      </c>
      <c r="B62" s="3" t="s">
        <v>182</v>
      </c>
      <c r="C62" s="487">
        <f>+C50*C66</f>
        <v>141740.1548302779</v>
      </c>
      <c r="D62" s="487">
        <f t="shared" ref="D62:P62" si="84">+D50*D66</f>
        <v>126583.86157286131</v>
      </c>
      <c r="E62" s="487">
        <f t="shared" si="84"/>
        <v>140042.25789860077</v>
      </c>
      <c r="F62" s="487">
        <f t="shared" si="84"/>
        <v>141710.48755750072</v>
      </c>
      <c r="G62" s="487">
        <f t="shared" si="84"/>
        <v>142292.80338220493</v>
      </c>
      <c r="H62" s="487">
        <f t="shared" si="84"/>
        <v>146994.52685116345</v>
      </c>
      <c r="I62" s="487">
        <f t="shared" si="84"/>
        <v>146158.69204429357</v>
      </c>
      <c r="J62" s="487">
        <f t="shared" si="84"/>
        <v>145943.35657707899</v>
      </c>
      <c r="K62" s="487">
        <f t="shared" si="84"/>
        <v>150540.11405878456</v>
      </c>
      <c r="L62" s="487">
        <f t="shared" si="84"/>
        <v>155136.87154049013</v>
      </c>
      <c r="M62" s="487">
        <f t="shared" si="84"/>
        <v>155651.51688249994</v>
      </c>
      <c r="N62" s="487">
        <f t="shared" si="84"/>
        <v>156166.16222450978</v>
      </c>
      <c r="O62" s="487">
        <f t="shared" si="84"/>
        <v>156680.80756651959</v>
      </c>
      <c r="P62" s="487">
        <f t="shared" si="84"/>
        <v>157195.45290852941</v>
      </c>
    </row>
    <row r="63" spans="1:17" s="32" customFormat="1" ht="12" thickBot="1" x14ac:dyDescent="0.25">
      <c r="A63" s="33" t="s">
        <v>39</v>
      </c>
      <c r="B63" s="455" t="s">
        <v>471</v>
      </c>
      <c r="C63" s="490">
        <f>+'[4]4.4.Р_т'!$G$22</f>
        <v>365.7326907941013</v>
      </c>
      <c r="D63" s="492">
        <f>+'[4]4.4.Р_т'!$Q$22</f>
        <v>365.7326907941013</v>
      </c>
      <c r="E63" s="458">
        <f>+'[4]4.4.Р_т'!$AA$22</f>
        <v>343.19623257259053</v>
      </c>
      <c r="F63" s="556">
        <f>+'[4]4.4.Р_т'!$Y$172*(1+F70)</f>
        <v>320.65977435107976</v>
      </c>
      <c r="G63" s="556">
        <f>+'[4]4.4.Р_т'!$Y$173*(1+F70)</f>
        <v>298.12331612956899</v>
      </c>
      <c r="H63" s="557">
        <f>+'[4]4.4.Р_т'!$Y$174*(1+F70)</f>
        <v>275.58685790805822</v>
      </c>
      <c r="I63" s="550">
        <f>H63*(1+I67)</f>
        <v>269.0616500505551</v>
      </c>
      <c r="J63" s="550">
        <f>I63*(1+J67)</f>
        <v>268.9598003314768</v>
      </c>
      <c r="K63" s="122">
        <f t="shared" ref="J63:P65" si="85">J63</f>
        <v>268.9598003314768</v>
      </c>
      <c r="L63" s="122">
        <f t="shared" si="85"/>
        <v>268.9598003314768</v>
      </c>
      <c r="M63" s="122">
        <f t="shared" si="85"/>
        <v>268.9598003314768</v>
      </c>
      <c r="N63" s="122">
        <f t="shared" si="85"/>
        <v>268.9598003314768</v>
      </c>
      <c r="O63" s="122">
        <f t="shared" si="85"/>
        <v>268.9598003314768</v>
      </c>
      <c r="P63" s="122">
        <f t="shared" si="85"/>
        <v>268.9598003314768</v>
      </c>
    </row>
    <row r="64" spans="1:17" s="32" customFormat="1" ht="12" thickBot="1" x14ac:dyDescent="0.25">
      <c r="A64" s="33"/>
      <c r="B64" s="455" t="s">
        <v>472</v>
      </c>
      <c r="C64" s="446">
        <f>+C63/C$77</f>
        <v>316.02214282017405</v>
      </c>
      <c r="D64" s="446">
        <f t="shared" ref="D64:P64" si="86">+D63/D77</f>
        <v>316.02214282017405</v>
      </c>
      <c r="E64" s="494">
        <f t="shared" si="86"/>
        <v>296.54884989884567</v>
      </c>
      <c r="F64" s="494">
        <f t="shared" si="86"/>
        <v>277.07555697751729</v>
      </c>
      <c r="G64" s="457">
        <f t="shared" si="86"/>
        <v>257.60226405618886</v>
      </c>
      <c r="H64" s="457">
        <f t="shared" si="86"/>
        <v>238.12897113486045</v>
      </c>
      <c r="I64" s="122">
        <f t="shared" si="86"/>
        <v>232.49067239542376</v>
      </c>
      <c r="J64" s="122">
        <f t="shared" si="86"/>
        <v>232.40266613489814</v>
      </c>
      <c r="K64" s="122">
        <f t="shared" si="86"/>
        <v>232.40266613489814</v>
      </c>
      <c r="L64" s="122">
        <f t="shared" si="86"/>
        <v>232.40266613489814</v>
      </c>
      <c r="M64" s="122">
        <f t="shared" si="86"/>
        <v>232.40266613489814</v>
      </c>
      <c r="N64" s="122">
        <f t="shared" si="86"/>
        <v>232.40266613489814</v>
      </c>
      <c r="O64" s="122">
        <f t="shared" si="86"/>
        <v>232.40266613489814</v>
      </c>
      <c r="P64" s="122">
        <f t="shared" si="86"/>
        <v>232.40266613489814</v>
      </c>
    </row>
    <row r="65" spans="1:19" s="32" customFormat="1" ht="12" thickBot="1" x14ac:dyDescent="0.25">
      <c r="A65" s="33"/>
      <c r="B65" s="455" t="s">
        <v>379</v>
      </c>
      <c r="C65" s="490">
        <f>+'[4]4.4.Р_т'!$G$25</f>
        <v>140.7779363565912</v>
      </c>
      <c r="D65" s="492">
        <f>+'[4]4.4.Р_т'!$Q$25</f>
        <v>141.69999999999999</v>
      </c>
      <c r="E65" s="458">
        <f>+'[4]4.4.Р_т'!$AA$25</f>
        <v>148.05513622809971</v>
      </c>
      <c r="F65" s="459">
        <f>+'[4]4.4.Р_т'!$Z$172</f>
        <v>154.41027245619944</v>
      </c>
      <c r="G65" s="459">
        <f>+'[4]4.4.Р_т'!$Z$173</f>
        <v>160.76540868429916</v>
      </c>
      <c r="H65" s="460">
        <f>+'[4]4.4.Р_т'!$Z$174</f>
        <v>167.12054491239888</v>
      </c>
      <c r="I65" s="544">
        <f>H65*(1+I74)</f>
        <v>166.68604937259565</v>
      </c>
      <c r="J65" s="122">
        <f t="shared" si="85"/>
        <v>166.68604937259565</v>
      </c>
      <c r="K65" s="122">
        <f t="shared" si="85"/>
        <v>166.68604937259565</v>
      </c>
      <c r="L65" s="122">
        <f t="shared" si="85"/>
        <v>166.68604937259565</v>
      </c>
      <c r="M65" s="122">
        <f t="shared" si="85"/>
        <v>166.68604937259565</v>
      </c>
      <c r="N65" s="122">
        <f t="shared" si="85"/>
        <v>166.68604937259565</v>
      </c>
      <c r="O65" s="122">
        <f t="shared" si="85"/>
        <v>166.68604937259565</v>
      </c>
      <c r="P65" s="122">
        <f t="shared" si="85"/>
        <v>166.68604937259565</v>
      </c>
    </row>
    <row r="66" spans="1:19" s="32" customFormat="1" x14ac:dyDescent="0.2">
      <c r="A66" s="33"/>
      <c r="B66" s="121" t="s">
        <v>380</v>
      </c>
      <c r="C66" s="456">
        <f t="shared" ref="C66:P66" si="87">+C65/C$77</f>
        <v>121.64333741294745</v>
      </c>
      <c r="D66" s="456">
        <f t="shared" si="87"/>
        <v>122.44007376094503</v>
      </c>
      <c r="E66" s="456">
        <f t="shared" si="87"/>
        <v>127.93141708154759</v>
      </c>
      <c r="F66" s="456">
        <f t="shared" si="87"/>
        <v>133.42276040215017</v>
      </c>
      <c r="G66" s="495">
        <f t="shared" si="87"/>
        <v>138.91410372275274</v>
      </c>
      <c r="H66" s="493">
        <f t="shared" si="87"/>
        <v>144.40544704335531</v>
      </c>
      <c r="I66" s="122">
        <f t="shared" si="87"/>
        <v>144.0300083281661</v>
      </c>
      <c r="J66" s="122">
        <f t="shared" si="87"/>
        <v>144.0300083281661</v>
      </c>
      <c r="K66" s="122">
        <f t="shared" si="87"/>
        <v>144.0300083281661</v>
      </c>
      <c r="L66" s="122">
        <f t="shared" si="87"/>
        <v>144.0300083281661</v>
      </c>
      <c r="M66" s="122">
        <f t="shared" si="87"/>
        <v>144.0300083281661</v>
      </c>
      <c r="N66" s="122">
        <f t="shared" si="87"/>
        <v>144.0300083281661</v>
      </c>
      <c r="O66" s="122">
        <f t="shared" si="87"/>
        <v>144.0300083281661</v>
      </c>
      <c r="P66" s="122">
        <f t="shared" si="87"/>
        <v>144.0300083281661</v>
      </c>
    </row>
    <row r="67" spans="1:19" s="295" customFormat="1" ht="22.5" x14ac:dyDescent="0.2">
      <c r="A67" s="293"/>
      <c r="B67" s="246" t="s">
        <v>517</v>
      </c>
      <c r="C67" s="344"/>
      <c r="D67" s="344"/>
      <c r="E67" s="344"/>
      <c r="F67" s="465">
        <f>-(F$15-F$17)/(E$15-E$17)+1</f>
        <v>0</v>
      </c>
      <c r="G67" s="546">
        <f>SUM(G68:G73)</f>
        <v>0</v>
      </c>
      <c r="H67" s="546">
        <f t="shared" ref="H67:J67" si="88">SUM(H68:H73)</f>
        <v>0</v>
      </c>
      <c r="I67" s="546">
        <f t="shared" si="88"/>
        <v>-2.367750010662717E-2</v>
      </c>
      <c r="J67" s="555">
        <f t="shared" si="88"/>
        <v>-3.7853673706078617E-4</v>
      </c>
      <c r="K67" s="345"/>
      <c r="L67" s="345"/>
      <c r="M67" s="345"/>
      <c r="N67" s="345"/>
      <c r="O67" s="345"/>
      <c r="P67" s="345"/>
    </row>
    <row r="68" spans="1:19" s="295" customFormat="1" ht="45" x14ac:dyDescent="0.2">
      <c r="A68" s="293"/>
      <c r="B68" s="248" t="s">
        <v>509</v>
      </c>
      <c r="C68" s="344"/>
      <c r="D68" s="344"/>
      <c r="E68" s="344"/>
      <c r="F68" s="541"/>
      <c r="G68" s="541"/>
      <c r="H68" s="541"/>
      <c r="I68" s="541"/>
      <c r="J68" s="554">
        <f>-(J$15-J$17)/(I$15-I$17)+1</f>
        <v>-3.7853673706078617E-4</v>
      </c>
      <c r="K68" s="541"/>
      <c r="L68" s="345"/>
      <c r="M68" s="345"/>
      <c r="N68" s="345"/>
      <c r="O68" s="345"/>
      <c r="P68" s="345"/>
    </row>
    <row r="69" spans="1:19" s="295" customFormat="1" x14ac:dyDescent="0.2">
      <c r="A69" s="293"/>
      <c r="B69" s="248" t="s">
        <v>523</v>
      </c>
      <c r="C69" s="344"/>
      <c r="D69" s="344"/>
      <c r="E69" s="344"/>
      <c r="F69" s="541"/>
      <c r="G69" s="541"/>
      <c r="H69" s="541"/>
      <c r="I69" s="465">
        <f>-(H$15-H$17-I20)/(H$15-H$17)+1</f>
        <v>-1.6830537871492801E-3</v>
      </c>
      <c r="J69" s="345"/>
      <c r="K69" s="345"/>
      <c r="L69" s="345"/>
      <c r="M69" s="345"/>
      <c r="N69" s="345"/>
      <c r="O69" s="345"/>
      <c r="P69" s="345"/>
    </row>
    <row r="70" spans="1:19" s="295" customFormat="1" ht="22.5" x14ac:dyDescent="0.2">
      <c r="A70" s="293"/>
      <c r="B70" s="248" t="s">
        <v>525</v>
      </c>
      <c r="C70" s="344"/>
      <c r="D70" s="344"/>
      <c r="E70" s="344"/>
      <c r="F70" s="465">
        <f>-(F$15-F$17)/(E$15-E$17)+1</f>
        <v>0</v>
      </c>
      <c r="G70" s="344"/>
      <c r="H70" s="344"/>
      <c r="I70" s="344"/>
      <c r="J70" s="345"/>
      <c r="K70" s="345"/>
      <c r="L70" s="345"/>
      <c r="M70" s="345"/>
      <c r="N70" s="345"/>
      <c r="O70" s="345"/>
      <c r="P70" s="345"/>
    </row>
    <row r="71" spans="1:19" s="295" customFormat="1" x14ac:dyDescent="0.2">
      <c r="A71" s="293"/>
      <c r="B71" s="248" t="s">
        <v>526</v>
      </c>
      <c r="C71" s="344"/>
      <c r="D71" s="344"/>
      <c r="E71" s="344"/>
      <c r="F71" s="344"/>
      <c r="G71" s="344"/>
      <c r="H71" s="344"/>
      <c r="I71" s="465">
        <f>-(I$15-I$17)/(H$15-H$17)+1-I69</f>
        <v>-2.7478429177946628E-2</v>
      </c>
      <c r="J71" s="345"/>
      <c r="K71" s="345"/>
      <c r="L71" s="345"/>
      <c r="M71" s="345"/>
      <c r="N71" s="345"/>
      <c r="O71" s="345"/>
      <c r="P71" s="345"/>
    </row>
    <row r="72" spans="1:19" s="295" customFormat="1" x14ac:dyDescent="0.2">
      <c r="A72" s="293"/>
      <c r="B72" s="248" t="s">
        <v>526</v>
      </c>
      <c r="C72" s="344"/>
      <c r="D72" s="344"/>
      <c r="E72" s="344"/>
      <c r="F72" s="344"/>
      <c r="G72" s="344"/>
      <c r="H72" s="344"/>
      <c r="I72" s="465">
        <f>+(H79+440)/H79-1</f>
        <v>5.4839828584687389E-3</v>
      </c>
      <c r="J72" s="345"/>
      <c r="K72" s="345"/>
      <c r="L72" s="345"/>
      <c r="M72" s="345"/>
      <c r="N72" s="345"/>
      <c r="O72" s="345"/>
      <c r="P72" s="345"/>
    </row>
    <row r="73" spans="1:19" s="247" customFormat="1" x14ac:dyDescent="0.2">
      <c r="A73" s="244"/>
      <c r="B73" s="246"/>
      <c r="C73" s="342"/>
      <c r="D73" s="342"/>
      <c r="E73" s="342"/>
      <c r="F73" s="342"/>
      <c r="G73" s="342"/>
      <c r="H73" s="342"/>
      <c r="I73" s="243"/>
      <c r="J73" s="243"/>
      <c r="K73" s="243"/>
      <c r="L73" s="243"/>
      <c r="M73" s="243"/>
      <c r="N73" s="243"/>
      <c r="O73" s="243"/>
      <c r="P73" s="243"/>
      <c r="Q73" s="343"/>
    </row>
    <row r="74" spans="1:19" s="295" customFormat="1" ht="22.5" x14ac:dyDescent="0.2">
      <c r="A74" s="293"/>
      <c r="B74" s="246" t="s">
        <v>522</v>
      </c>
      <c r="C74" s="344"/>
      <c r="D74" s="344"/>
      <c r="E74" s="541"/>
      <c r="F74" s="541"/>
      <c r="G74" s="546">
        <f>SUM(G75:G76)</f>
        <v>0</v>
      </c>
      <c r="H74" s="546">
        <f>SUM(H75:H76)</f>
        <v>0</v>
      </c>
      <c r="I74" s="546">
        <f>SUM(I75:I76)</f>
        <v>-2.5998930294955334E-3</v>
      </c>
      <c r="J74" s="542"/>
      <c r="K74" s="542"/>
      <c r="L74" s="542"/>
      <c r="M74" s="345"/>
      <c r="N74" s="345"/>
      <c r="O74" s="345"/>
      <c r="P74" s="345"/>
      <c r="S74" s="545" t="e">
        <f>1826/(H64*7000*H85/1000)</f>
        <v>#DIV/0!</v>
      </c>
    </row>
    <row r="75" spans="1:19" s="295" customFormat="1" x14ac:dyDescent="0.2">
      <c r="A75" s="293"/>
      <c r="B75" s="248" t="s">
        <v>523</v>
      </c>
      <c r="C75" s="344"/>
      <c r="D75" s="344"/>
      <c r="E75" s="541"/>
      <c r="F75" s="541"/>
      <c r="G75" s="541"/>
      <c r="H75" s="541"/>
      <c r="I75" s="470">
        <f>-3096/(H62*7000*H77/1000)</f>
        <v>-2.5998930294955334E-3</v>
      </c>
      <c r="J75" s="542"/>
      <c r="K75" s="542"/>
      <c r="L75" s="542"/>
      <c r="M75" s="345"/>
      <c r="N75" s="345"/>
      <c r="O75" s="345"/>
      <c r="P75" s="345"/>
    </row>
    <row r="76" spans="1:19" s="247" customFormat="1" x14ac:dyDescent="0.2">
      <c r="A76" s="244"/>
      <c r="B76" s="246"/>
      <c r="C76" s="342"/>
      <c r="D76" s="342"/>
      <c r="E76" s="547"/>
      <c r="F76" s="547"/>
      <c r="G76" s="547"/>
      <c r="H76" s="547"/>
      <c r="I76" s="548"/>
      <c r="J76" s="548"/>
      <c r="K76" s="548"/>
      <c r="L76" s="548"/>
      <c r="M76" s="243"/>
      <c r="N76" s="243"/>
      <c r="O76" s="243"/>
      <c r="P76" s="243"/>
      <c r="Q76" s="343"/>
    </row>
    <row r="77" spans="1:19" s="32" customFormat="1" x14ac:dyDescent="0.2">
      <c r="A77" s="39" t="s">
        <v>40</v>
      </c>
      <c r="B77" s="46" t="s">
        <v>41</v>
      </c>
      <c r="C77" s="161">
        <f>+'[4]4.4.Р_т'!$G$49</f>
        <v>1.1573008382587102</v>
      </c>
      <c r="D77" s="162">
        <f>+C77</f>
        <v>1.1573008382587102</v>
      </c>
      <c r="E77" s="162">
        <f t="shared" ref="E77:P77" si="89">+D77</f>
        <v>1.1573008382587102</v>
      </c>
      <c r="F77" s="162">
        <f t="shared" si="89"/>
        <v>1.1573008382587102</v>
      </c>
      <c r="G77" s="396">
        <f t="shared" si="89"/>
        <v>1.1573008382587102</v>
      </c>
      <c r="H77" s="162">
        <f t="shared" si="89"/>
        <v>1.1573008382587102</v>
      </c>
      <c r="I77" s="429">
        <f t="shared" si="89"/>
        <v>1.1573008382587102</v>
      </c>
      <c r="J77" s="162">
        <f t="shared" si="89"/>
        <v>1.1573008382587102</v>
      </c>
      <c r="K77" s="162">
        <f t="shared" si="89"/>
        <v>1.1573008382587102</v>
      </c>
      <c r="L77" s="162">
        <f t="shared" si="89"/>
        <v>1.1573008382587102</v>
      </c>
      <c r="M77" s="162">
        <f t="shared" si="89"/>
        <v>1.1573008382587102</v>
      </c>
      <c r="N77" s="162">
        <f t="shared" si="89"/>
        <v>1.1573008382587102</v>
      </c>
      <c r="O77" s="162">
        <f t="shared" si="89"/>
        <v>1.1573008382587102</v>
      </c>
      <c r="P77" s="162">
        <f t="shared" si="89"/>
        <v>1.1573008382587102</v>
      </c>
      <c r="Q77" s="38"/>
    </row>
    <row r="78" spans="1:19" s="32" customFormat="1" x14ac:dyDescent="0.2">
      <c r="A78" s="39"/>
      <c r="B78" s="46" t="s">
        <v>236</v>
      </c>
      <c r="C78" s="123">
        <f t="shared" ref="C78:P78" si="90">C79+C80</f>
        <v>265667.99999999994</v>
      </c>
      <c r="D78" s="123">
        <f t="shared" si="90"/>
        <v>252832.7723786438</v>
      </c>
      <c r="E78" s="123">
        <f t="shared" si="90"/>
        <v>261855.68687366418</v>
      </c>
      <c r="F78" s="123">
        <f t="shared" si="90"/>
        <v>257233.83160194132</v>
      </c>
      <c r="G78" s="393">
        <f t="shared" si="90"/>
        <v>251470.44483631448</v>
      </c>
      <c r="H78" s="123">
        <f t="shared" si="90"/>
        <v>250350.54620624444</v>
      </c>
      <c r="I78" s="428">
        <f t="shared" si="90"/>
        <v>249767.83486889792</v>
      </c>
      <c r="J78" s="123">
        <f t="shared" si="90"/>
        <v>249518.61540038852</v>
      </c>
      <c r="K78" s="123">
        <f t="shared" si="90"/>
        <v>254838.44668723835</v>
      </c>
      <c r="L78" s="123">
        <f t="shared" si="90"/>
        <v>260158.27797408821</v>
      </c>
      <c r="M78" s="123">
        <f t="shared" si="90"/>
        <v>260753.87745980211</v>
      </c>
      <c r="N78" s="123">
        <f t="shared" si="90"/>
        <v>261349.47694551604</v>
      </c>
      <c r="O78" s="123">
        <f t="shared" si="90"/>
        <v>261945.07643122994</v>
      </c>
      <c r="P78" s="123">
        <f t="shared" si="90"/>
        <v>262540.67591694382</v>
      </c>
      <c r="Q78" s="217"/>
    </row>
    <row r="79" spans="1:19" s="8" customFormat="1" x14ac:dyDescent="0.2">
      <c r="A79" s="1"/>
      <c r="B79" s="83" t="s">
        <v>237</v>
      </c>
      <c r="C79" s="175">
        <f t="shared" ref="C79:P79" si="91">+C61*C$77</f>
        <v>101631.99999999999</v>
      </c>
      <c r="D79" s="175">
        <f t="shared" si="91"/>
        <v>106337.16327034686</v>
      </c>
      <c r="E79" s="175">
        <f t="shared" si="91"/>
        <v>99784.664415971027</v>
      </c>
      <c r="F79" s="175">
        <f t="shared" si="91"/>
        <v>93232.165561595204</v>
      </c>
      <c r="G79" s="397">
        <f t="shared" si="91"/>
        <v>86794.864203906865</v>
      </c>
      <c r="H79" s="175">
        <f t="shared" si="91"/>
        <v>80233.657061950493</v>
      </c>
      <c r="I79" s="95">
        <f t="shared" si="91"/>
        <v>80618.258047240291</v>
      </c>
      <c r="J79" s="175">
        <f t="shared" si="91"/>
        <v>80618.246495445143</v>
      </c>
      <c r="K79" s="175">
        <f t="shared" si="91"/>
        <v>80618.246495445143</v>
      </c>
      <c r="L79" s="175">
        <f t="shared" si="91"/>
        <v>80618.246495445143</v>
      </c>
      <c r="M79" s="175">
        <f t="shared" si="91"/>
        <v>80618.246495445143</v>
      </c>
      <c r="N79" s="175">
        <f t="shared" si="91"/>
        <v>80618.246495445143</v>
      </c>
      <c r="O79" s="175">
        <f t="shared" si="91"/>
        <v>80618.246495445143</v>
      </c>
      <c r="P79" s="175">
        <f t="shared" si="91"/>
        <v>80618.246495445143</v>
      </c>
      <c r="Q79" s="13"/>
    </row>
    <row r="80" spans="1:19" s="8" customFormat="1" x14ac:dyDescent="0.2">
      <c r="A80" s="1"/>
      <c r="B80" s="83" t="s">
        <v>238</v>
      </c>
      <c r="C80" s="175">
        <f t="shared" ref="C80:P80" si="92">+C62*C$77</f>
        <v>164035.99999999997</v>
      </c>
      <c r="D80" s="175">
        <f t="shared" si="92"/>
        <v>146495.60910829692</v>
      </c>
      <c r="E80" s="175">
        <f t="shared" si="92"/>
        <v>162071.02245769315</v>
      </c>
      <c r="F80" s="175">
        <f t="shared" si="92"/>
        <v>164001.66604034611</v>
      </c>
      <c r="G80" s="397">
        <f t="shared" si="92"/>
        <v>164675.5806324076</v>
      </c>
      <c r="H80" s="175">
        <f t="shared" si="92"/>
        <v>170116.88914429393</v>
      </c>
      <c r="I80" s="95">
        <f t="shared" si="92"/>
        <v>169149.57682165763</v>
      </c>
      <c r="J80" s="175">
        <f t="shared" si="92"/>
        <v>168900.36890494337</v>
      </c>
      <c r="K80" s="175">
        <f t="shared" si="92"/>
        <v>174220.20019179321</v>
      </c>
      <c r="L80" s="175">
        <f t="shared" si="92"/>
        <v>179540.03147864307</v>
      </c>
      <c r="M80" s="175">
        <f t="shared" si="92"/>
        <v>180135.63096435697</v>
      </c>
      <c r="N80" s="175">
        <f t="shared" si="92"/>
        <v>180731.2304500709</v>
      </c>
      <c r="O80" s="175">
        <f t="shared" si="92"/>
        <v>181326.8299357848</v>
      </c>
      <c r="P80" s="175">
        <f t="shared" si="92"/>
        <v>181922.4294214987</v>
      </c>
      <c r="Q80" s="13"/>
    </row>
    <row r="81" spans="1:17" s="37" customFormat="1" x14ac:dyDescent="0.2">
      <c r="A81" s="1"/>
      <c r="B81" s="100" t="s">
        <v>239</v>
      </c>
      <c r="C81" s="174">
        <f>+C80/C78</f>
        <v>0.61744734028938375</v>
      </c>
      <c r="D81" s="174">
        <f t="shared" ref="D81:P81" si="93">+D80/D78</f>
        <v>0.57941701042183036</v>
      </c>
      <c r="E81" s="174">
        <f t="shared" si="93"/>
        <v>0.61893260517915161</v>
      </c>
      <c r="F81" s="174">
        <f t="shared" si="93"/>
        <v>0.63755869521133557</v>
      </c>
      <c r="G81" s="386">
        <f t="shared" si="93"/>
        <v>0.65485063558700574</v>
      </c>
      <c r="H81" s="174">
        <f t="shared" si="93"/>
        <v>0.67951475130454797</v>
      </c>
      <c r="I81" s="70">
        <f t="shared" si="93"/>
        <v>0.67722722147326742</v>
      </c>
      <c r="J81" s="174">
        <f t="shared" si="93"/>
        <v>0.67690488196208698</v>
      </c>
      <c r="K81" s="174">
        <f t="shared" si="93"/>
        <v>0.68364959234590128</v>
      </c>
      <c r="L81" s="174">
        <f t="shared" si="93"/>
        <v>0.69011846510040809</v>
      </c>
      <c r="M81" s="174">
        <f t="shared" si="93"/>
        <v>0.6908262792453651</v>
      </c>
      <c r="N81" s="174">
        <f t="shared" si="93"/>
        <v>0.69153086725996482</v>
      </c>
      <c r="O81" s="174">
        <f t="shared" si="93"/>
        <v>0.69223225115051801</v>
      </c>
      <c r="P81" s="174">
        <f t="shared" si="93"/>
        <v>0.6929304527236414</v>
      </c>
      <c r="Q81" s="36"/>
    </row>
    <row r="82" spans="1:17" s="144" customFormat="1" x14ac:dyDescent="0.2">
      <c r="A82" s="64"/>
      <c r="B82" s="148"/>
      <c r="C82" s="215"/>
      <c r="D82" s="215"/>
      <c r="E82" s="215"/>
      <c r="F82" s="215"/>
      <c r="G82" s="387"/>
      <c r="H82" s="215"/>
      <c r="I82" s="367"/>
      <c r="J82" s="215"/>
      <c r="K82" s="215"/>
      <c r="L82" s="215"/>
      <c r="M82" s="215"/>
      <c r="N82" s="215"/>
      <c r="O82" s="215"/>
      <c r="P82" s="215"/>
      <c r="Q82" s="143"/>
    </row>
    <row r="83" spans="1:17" s="114" customFormat="1" x14ac:dyDescent="0.2">
      <c r="A83" s="113">
        <v>9</v>
      </c>
      <c r="B83" s="72" t="s">
        <v>496</v>
      </c>
      <c r="C83" s="78">
        <f>SUM(C84:C88)</f>
        <v>7459.277</v>
      </c>
      <c r="D83" s="78">
        <f t="shared" ref="D83:P83" si="94">SUM(D84:D88)</f>
        <v>7459.277</v>
      </c>
      <c r="E83" s="78">
        <f t="shared" si="94"/>
        <v>7459.277</v>
      </c>
      <c r="F83" s="78">
        <f t="shared" si="94"/>
        <v>6553.0365650343292</v>
      </c>
      <c r="G83" s="78">
        <f t="shared" si="94"/>
        <v>5407.4691092579833</v>
      </c>
      <c r="H83" s="78">
        <f t="shared" si="94"/>
        <v>4337.9212644978616</v>
      </c>
      <c r="I83" s="78">
        <f t="shared" si="94"/>
        <v>3399.142633197318</v>
      </c>
      <c r="J83" s="78">
        <f t="shared" si="94"/>
        <v>2535.6717800287697</v>
      </c>
      <c r="K83" s="78">
        <f t="shared" si="94"/>
        <v>2861.2717800287701</v>
      </c>
      <c r="L83" s="78">
        <f t="shared" si="94"/>
        <v>2861.2717800287701</v>
      </c>
      <c r="M83" s="78">
        <f t="shared" si="94"/>
        <v>2861.2717800287701</v>
      </c>
      <c r="N83" s="78">
        <f t="shared" si="94"/>
        <v>2861.2717800287701</v>
      </c>
      <c r="O83" s="78">
        <f t="shared" si="94"/>
        <v>2861.2717800287701</v>
      </c>
      <c r="P83" s="78">
        <f t="shared" si="94"/>
        <v>2861.2717800287701</v>
      </c>
      <c r="Q83" s="74"/>
    </row>
    <row r="84" spans="1:17" s="532" customFormat="1" x14ac:dyDescent="0.2">
      <c r="A84" s="531"/>
      <c r="B84" s="248" t="s">
        <v>510</v>
      </c>
      <c r="C84" s="227">
        <f>+'[4]4.2.РчПО_ТН'!$D$9</f>
        <v>7459.277</v>
      </c>
      <c r="D84" s="228">
        <f>+C84</f>
        <v>7459.277</v>
      </c>
      <c r="E84" s="228">
        <f t="shared" ref="E84:P84" si="95">+D84</f>
        <v>7459.277</v>
      </c>
      <c r="F84" s="228">
        <f t="shared" si="95"/>
        <v>7459.277</v>
      </c>
      <c r="G84" s="228">
        <f t="shared" si="95"/>
        <v>7459.277</v>
      </c>
      <c r="H84" s="228">
        <f t="shared" si="95"/>
        <v>7459.277</v>
      </c>
      <c r="I84" s="228">
        <f t="shared" si="95"/>
        <v>7459.277</v>
      </c>
      <c r="J84" s="228">
        <f t="shared" si="95"/>
        <v>7459.277</v>
      </c>
      <c r="K84" s="228">
        <f t="shared" si="95"/>
        <v>7459.277</v>
      </c>
      <c r="L84" s="228">
        <f t="shared" si="95"/>
        <v>7459.277</v>
      </c>
      <c r="M84" s="228">
        <f t="shared" si="95"/>
        <v>7459.277</v>
      </c>
      <c r="N84" s="228">
        <f t="shared" si="95"/>
        <v>7459.277</v>
      </c>
      <c r="O84" s="228">
        <f t="shared" si="95"/>
        <v>7459.277</v>
      </c>
      <c r="P84" s="228">
        <f t="shared" si="95"/>
        <v>7459.277</v>
      </c>
      <c r="Q84" s="130"/>
    </row>
    <row r="85" spans="1:17" s="532" customFormat="1" ht="45" x14ac:dyDescent="0.2">
      <c r="A85" s="531"/>
      <c r="B85" s="248" t="s">
        <v>509</v>
      </c>
      <c r="C85" s="172"/>
      <c r="D85" s="172"/>
      <c r="E85" s="172"/>
      <c r="F85" s="172"/>
      <c r="G85" s="169"/>
      <c r="H85" s="169"/>
      <c r="I85" s="172"/>
      <c r="J85" s="533">
        <f>212*0.05*24</f>
        <v>254.40000000000003</v>
      </c>
      <c r="K85" s="117">
        <f>+J85</f>
        <v>254.40000000000003</v>
      </c>
      <c r="L85" s="117">
        <f t="shared" ref="L85:P86" si="96">+K85</f>
        <v>254.40000000000003</v>
      </c>
      <c r="M85" s="117">
        <f t="shared" si="96"/>
        <v>254.40000000000003</v>
      </c>
      <c r="N85" s="117">
        <f t="shared" si="96"/>
        <v>254.40000000000003</v>
      </c>
      <c r="O85" s="117">
        <f t="shared" si="96"/>
        <v>254.40000000000003</v>
      </c>
      <c r="P85" s="117">
        <f t="shared" si="96"/>
        <v>254.40000000000003</v>
      </c>
      <c r="Q85" s="130"/>
    </row>
    <row r="86" spans="1:17" s="532" customFormat="1" ht="22.5" x14ac:dyDescent="0.2">
      <c r="A86" s="531"/>
      <c r="B86" s="248" t="s">
        <v>511</v>
      </c>
      <c r="C86" s="172"/>
      <c r="D86" s="172"/>
      <c r="E86" s="172"/>
      <c r="F86" s="172"/>
      <c r="G86" s="411"/>
      <c r="H86" s="169"/>
      <c r="I86" s="172"/>
      <c r="J86" s="172"/>
      <c r="K86" s="533">
        <f>8520*0.1-243.8-254.4-28.2</f>
        <v>325.60000000000008</v>
      </c>
      <c r="L86" s="117">
        <f t="shared" si="96"/>
        <v>325.60000000000008</v>
      </c>
      <c r="M86" s="117">
        <f t="shared" si="96"/>
        <v>325.60000000000008</v>
      </c>
      <c r="N86" s="117">
        <f t="shared" si="96"/>
        <v>325.60000000000008</v>
      </c>
      <c r="O86" s="117">
        <f t="shared" si="96"/>
        <v>325.60000000000008</v>
      </c>
      <c r="P86" s="117">
        <f t="shared" si="96"/>
        <v>325.60000000000008</v>
      </c>
      <c r="Q86" s="130"/>
    </row>
    <row r="87" spans="1:17" s="532" customFormat="1" ht="22.5" x14ac:dyDescent="0.2">
      <c r="A87" s="531"/>
      <c r="B87" s="238" t="s">
        <v>357</v>
      </c>
      <c r="C87" s="172"/>
      <c r="D87" s="172"/>
      <c r="E87" s="172"/>
      <c r="F87" s="462">
        <f>+F84*Сети!F$53</f>
        <v>-906.2404349656706</v>
      </c>
      <c r="G87" s="462">
        <f>+G84*Сети!G$53</f>
        <v>-2051.8078907420172</v>
      </c>
      <c r="H87" s="462">
        <f>+H84*Сети!H$53</f>
        <v>-3121.355735502138</v>
      </c>
      <c r="I87" s="462">
        <f>+I84*Сети!I$53</f>
        <v>-4060.1343668026821</v>
      </c>
      <c r="J87" s="462">
        <f>+J84*Сети!J$53</f>
        <v>-5178.00521997123</v>
      </c>
      <c r="K87" s="117">
        <f>+J87</f>
        <v>-5178.00521997123</v>
      </c>
      <c r="L87" s="117">
        <f t="shared" ref="L87" si="97">+K87</f>
        <v>-5178.00521997123</v>
      </c>
      <c r="M87" s="117">
        <f t="shared" ref="M87" si="98">+L87</f>
        <v>-5178.00521997123</v>
      </c>
      <c r="N87" s="117">
        <f t="shared" ref="N87" si="99">+M87</f>
        <v>-5178.00521997123</v>
      </c>
      <c r="O87" s="117">
        <f t="shared" ref="O87" si="100">+N87</f>
        <v>-5178.00521997123</v>
      </c>
      <c r="P87" s="117">
        <f t="shared" ref="P87" si="101">+O87</f>
        <v>-5178.00521997123</v>
      </c>
      <c r="Q87" s="130"/>
    </row>
    <row r="88" spans="1:17" s="144" customFormat="1" x14ac:dyDescent="0.2">
      <c r="A88" s="64"/>
      <c r="B88" s="148"/>
      <c r="C88" s="215"/>
      <c r="D88" s="215"/>
      <c r="E88" s="215"/>
      <c r="F88" s="215"/>
      <c r="G88" s="387"/>
      <c r="H88" s="215"/>
      <c r="I88" s="367"/>
      <c r="J88" s="215"/>
      <c r="K88" s="215"/>
      <c r="L88" s="215"/>
      <c r="M88" s="215"/>
      <c r="N88" s="215"/>
      <c r="O88" s="215"/>
      <c r="P88" s="215"/>
      <c r="Q88" s="143"/>
    </row>
    <row r="89" spans="1:17" s="16" customFormat="1" ht="12" thickBot="1" x14ac:dyDescent="0.25">
      <c r="A89" s="1"/>
      <c r="B89" s="163" t="s">
        <v>9</v>
      </c>
      <c r="C89" s="47"/>
      <c r="D89" s="26"/>
      <c r="E89" s="26"/>
      <c r="F89" s="26"/>
      <c r="G89" s="398"/>
      <c r="H89" s="26"/>
      <c r="I89" s="25"/>
      <c r="J89" s="26"/>
      <c r="K89" s="26"/>
      <c r="L89" s="26"/>
      <c r="M89" s="26"/>
      <c r="N89" s="26"/>
      <c r="O89" s="26"/>
      <c r="P89" s="26"/>
      <c r="Q89" s="24"/>
    </row>
    <row r="90" spans="1:17" s="82" customFormat="1" x14ac:dyDescent="0.2">
      <c r="A90" s="2">
        <v>17</v>
      </c>
      <c r="B90" s="80" t="s">
        <v>192</v>
      </c>
      <c r="C90" s="464">
        <f>+([8]ГОД!$Z$16*[8]ГОД!$Z$15+[8]ГОД!$Z$18*[8]ГОД!$Z$19)/([8]ГОД!$Z$15+[8]ГОД!$Z$18)</f>
        <v>133824.74307435035</v>
      </c>
      <c r="D90" s="464">
        <f>+([9]ГОД!$X$15*[9]ГОД!$X$16+[9]ГОД!$X$18*[9]ГОД!$X$19)/([9]ГОД!$X$15+[9]ГОД!$X$18)</f>
        <v>137077.36972142255</v>
      </c>
      <c r="E90" s="128">
        <f>D90*(E91)</f>
        <v>142568.21770246053</v>
      </c>
      <c r="F90" s="128">
        <f t="shared" ref="F90:G90" si="102">E90*(F91)</f>
        <v>148279.01016895327</v>
      </c>
      <c r="G90" s="128">
        <f t="shared" si="102"/>
        <v>154218.55734053333</v>
      </c>
      <c r="H90" s="469">
        <f>+C90*103.9%*106%</f>
        <v>147386.54253750504</v>
      </c>
      <c r="I90" s="469">
        <f>+H90/106%*113%</f>
        <v>157119.61610130253</v>
      </c>
      <c r="J90" s="469">
        <f>+I90/113%*120%</f>
        <v>166852.68966510004</v>
      </c>
      <c r="K90" s="128">
        <f t="shared" ref="K90:P90" si="103">J90*(K91)</f>
        <v>173536.23455686631</v>
      </c>
      <c r="L90" s="128">
        <f t="shared" si="103"/>
        <v>180487.49927029034</v>
      </c>
      <c r="M90" s="128">
        <f t="shared" si="103"/>
        <v>187717.2077406593</v>
      </c>
      <c r="N90" s="128">
        <f t="shared" si="103"/>
        <v>195236.51346722522</v>
      </c>
      <c r="O90" s="128">
        <f t="shared" si="103"/>
        <v>203057.01672005991</v>
      </c>
      <c r="P90" s="128">
        <f t="shared" si="103"/>
        <v>211190.78243615746</v>
      </c>
      <c r="Q90" s="81"/>
    </row>
    <row r="91" spans="1:17" s="41" customFormat="1" ht="12" thickBot="1" x14ac:dyDescent="0.25">
      <c r="A91" s="2">
        <v>18</v>
      </c>
      <c r="B91" s="40" t="s">
        <v>8</v>
      </c>
      <c r="C91" s="43"/>
      <c r="D91" s="70">
        <f>+D90/C90</f>
        <v>1.0243051215518875</v>
      </c>
      <c r="E91" s="467">
        <f>+'[10]1.пч1-СPI баз'!$M$5/100</f>
        <v>1.040056560701426</v>
      </c>
      <c r="F91" s="70">
        <f t="shared" ref="F91:P91" si="104">+E91</f>
        <v>1.040056560701426</v>
      </c>
      <c r="G91" s="70">
        <f t="shared" si="104"/>
        <v>1.040056560701426</v>
      </c>
      <c r="H91" s="468">
        <f>+G91*106%</f>
        <v>1.1024599543435116</v>
      </c>
      <c r="I91" s="468">
        <f>+G91/106%*113%</f>
        <v>1.1087395411251049</v>
      </c>
      <c r="J91" s="468">
        <f>+G91/113%*120%</f>
        <v>1.1044848432227534</v>
      </c>
      <c r="K91" s="465">
        <f>+G91</f>
        <v>1.040056560701426</v>
      </c>
      <c r="L91" s="70">
        <f t="shared" si="104"/>
        <v>1.040056560701426</v>
      </c>
      <c r="M91" s="70">
        <f t="shared" si="104"/>
        <v>1.040056560701426</v>
      </c>
      <c r="N91" s="70">
        <f t="shared" si="104"/>
        <v>1.040056560701426</v>
      </c>
      <c r="O91" s="70">
        <f t="shared" si="104"/>
        <v>1.040056560701426</v>
      </c>
      <c r="P91" s="70">
        <f t="shared" si="104"/>
        <v>1.040056560701426</v>
      </c>
      <c r="Q91" s="11"/>
    </row>
    <row r="92" spans="1:17" s="11" customFormat="1" x14ac:dyDescent="0.2">
      <c r="A92" s="2" t="s">
        <v>50</v>
      </c>
      <c r="B92" s="80" t="s">
        <v>461</v>
      </c>
      <c r="C92" s="127">
        <f>+[8]ГОД!$Z$12*10</f>
        <v>1247.3405359011067</v>
      </c>
      <c r="D92" s="127">
        <f>+[9]ГОД!$X$12*10</f>
        <v>1251.6154416516872</v>
      </c>
      <c r="E92" s="128">
        <f>D92*(E93)</f>
        <v>1255.9049984287117</v>
      </c>
      <c r="F92" s="128">
        <f t="shared" ref="F92:P92" si="105">E92*(F93)</f>
        <v>1260.2092564444163</v>
      </c>
      <c r="G92" s="128">
        <f t="shared" si="105"/>
        <v>1264.5282660831249</v>
      </c>
      <c r="H92" s="128">
        <f t="shared" si="105"/>
        <v>1268.8620779018397</v>
      </c>
      <c r="I92" s="128">
        <f t="shared" si="105"/>
        <v>1273.2107426308323</v>
      </c>
      <c r="J92" s="128">
        <f t="shared" si="105"/>
        <v>1277.5743111742383</v>
      </c>
      <c r="K92" s="128">
        <f t="shared" si="105"/>
        <v>1281.9528346106526</v>
      </c>
      <c r="L92" s="128">
        <f t="shared" si="105"/>
        <v>1286.3463641937276</v>
      </c>
      <c r="M92" s="128">
        <f t="shared" si="105"/>
        <v>1290.7549513527727</v>
      </c>
      <c r="N92" s="128">
        <f t="shared" si="105"/>
        <v>1295.1786476933569</v>
      </c>
      <c r="O92" s="128">
        <f t="shared" si="105"/>
        <v>1299.6175049979129</v>
      </c>
      <c r="P92" s="128">
        <f t="shared" si="105"/>
        <v>1304.0715752263425</v>
      </c>
    </row>
    <row r="93" spans="1:17" s="11" customFormat="1" x14ac:dyDescent="0.2">
      <c r="A93" s="2" t="s">
        <v>51</v>
      </c>
      <c r="B93" s="40" t="s">
        <v>8</v>
      </c>
      <c r="C93" s="43"/>
      <c r="D93" s="70">
        <f>+D92/C92</f>
        <v>1.0034272162473195</v>
      </c>
      <c r="E93" s="465">
        <f>+D93</f>
        <v>1.0034272162473195</v>
      </c>
      <c r="F93" s="465">
        <f t="shared" ref="F93:P93" si="106">+E93</f>
        <v>1.0034272162473195</v>
      </c>
      <c r="G93" s="465">
        <f t="shared" si="106"/>
        <v>1.0034272162473195</v>
      </c>
      <c r="H93" s="465">
        <f t="shared" si="106"/>
        <v>1.0034272162473195</v>
      </c>
      <c r="I93" s="465">
        <f t="shared" si="106"/>
        <v>1.0034272162473195</v>
      </c>
      <c r="J93" s="465">
        <f t="shared" si="106"/>
        <v>1.0034272162473195</v>
      </c>
      <c r="K93" s="465">
        <f t="shared" si="106"/>
        <v>1.0034272162473195</v>
      </c>
      <c r="L93" s="465">
        <f t="shared" si="106"/>
        <v>1.0034272162473195</v>
      </c>
      <c r="M93" s="465">
        <f t="shared" si="106"/>
        <v>1.0034272162473195</v>
      </c>
      <c r="N93" s="465">
        <f t="shared" si="106"/>
        <v>1.0034272162473195</v>
      </c>
      <c r="O93" s="465">
        <f t="shared" si="106"/>
        <v>1.0034272162473195</v>
      </c>
      <c r="P93" s="465">
        <f t="shared" si="106"/>
        <v>1.0034272162473195</v>
      </c>
    </row>
    <row r="94" spans="1:17" s="11" customFormat="1" ht="22.5" x14ac:dyDescent="0.2">
      <c r="A94" s="2"/>
      <c r="B94" s="40" t="s">
        <v>154</v>
      </c>
      <c r="C94" s="230">
        <f t="shared" ref="C94:P94" si="107">+C182/C15</f>
        <v>1780.3700770262726</v>
      </c>
      <c r="D94" s="230">
        <f t="shared" si="107"/>
        <v>1904.0785958826134</v>
      </c>
      <c r="E94" s="230">
        <f t="shared" si="107"/>
        <v>1897.7995789977374</v>
      </c>
      <c r="F94" s="230">
        <f t="shared" si="107"/>
        <v>1859.2627233186829</v>
      </c>
      <c r="G94" s="399">
        <f t="shared" si="107"/>
        <v>1817.2568523098055</v>
      </c>
      <c r="H94" s="447">
        <f t="shared" si="107"/>
        <v>1760.529929635318</v>
      </c>
      <c r="I94" s="230">
        <f t="shared" si="107"/>
        <v>1799.1999335102266</v>
      </c>
      <c r="J94" s="230">
        <f t="shared" si="107"/>
        <v>1865.5081257916772</v>
      </c>
      <c r="K94" s="230">
        <f t="shared" si="107"/>
        <v>1904.4330974545542</v>
      </c>
      <c r="L94" s="230">
        <f t="shared" si="107"/>
        <v>1947.8714511273872</v>
      </c>
      <c r="M94" s="230">
        <f t="shared" si="107"/>
        <v>2001.3812260754855</v>
      </c>
      <c r="N94" s="230">
        <f t="shared" si="107"/>
        <v>2056.5928916460584</v>
      </c>
      <c r="O94" s="230">
        <f t="shared" si="107"/>
        <v>2113.5616108474228</v>
      </c>
      <c r="P94" s="230">
        <f t="shared" si="107"/>
        <v>2172.3446007674988</v>
      </c>
    </row>
    <row r="95" spans="1:17" s="11" customFormat="1" x14ac:dyDescent="0.2">
      <c r="A95" s="2"/>
      <c r="B95" s="40" t="s">
        <v>78</v>
      </c>
      <c r="C95" s="42"/>
      <c r="D95" s="157">
        <f t="shared" ref="D95:P95" si="108">(D94-C94)/C94</f>
        <v>6.9484721436662997E-2</v>
      </c>
      <c r="E95" s="157">
        <f t="shared" si="108"/>
        <v>-3.2976668602093264E-3</v>
      </c>
      <c r="F95" s="157">
        <f t="shared" si="108"/>
        <v>-2.0306072414351842E-2</v>
      </c>
      <c r="G95" s="400">
        <f t="shared" si="108"/>
        <v>-2.259275705474223E-2</v>
      </c>
      <c r="H95" s="448">
        <f t="shared" si="108"/>
        <v>-3.1215687866239329E-2</v>
      </c>
      <c r="I95" s="157">
        <f t="shared" si="108"/>
        <v>2.1964979534837472E-2</v>
      </c>
      <c r="J95" s="157">
        <f t="shared" si="108"/>
        <v>3.6854265635772772E-2</v>
      </c>
      <c r="K95" s="157">
        <f t="shared" si="108"/>
        <v>2.0865613569149215E-2</v>
      </c>
      <c r="L95" s="157">
        <f t="shared" si="108"/>
        <v>2.280907306793413E-2</v>
      </c>
      <c r="M95" s="157">
        <f t="shared" si="108"/>
        <v>2.7470896458350973E-2</v>
      </c>
      <c r="N95" s="157">
        <f t="shared" si="108"/>
        <v>2.7586780994662184E-2</v>
      </c>
      <c r="O95" s="157">
        <f t="shared" si="108"/>
        <v>2.7700532970221282E-2</v>
      </c>
      <c r="P95" s="157">
        <f t="shared" si="108"/>
        <v>2.7812290693767505E-2</v>
      </c>
    </row>
    <row r="96" spans="1:17" s="96" customFormat="1" x14ac:dyDescent="0.2">
      <c r="A96" s="64">
        <v>21</v>
      </c>
      <c r="B96" s="132" t="s">
        <v>185</v>
      </c>
      <c r="C96" s="195">
        <f>+[8]ГОД!$L$22</f>
        <v>891.40301952264429</v>
      </c>
      <c r="D96" s="196">
        <f>+[9]ГОД!$J$22</f>
        <v>977.58454786238337</v>
      </c>
      <c r="E96" s="153">
        <f>D96*(E97)</f>
        <v>1055.7913116913742</v>
      </c>
      <c r="F96" s="153">
        <f t="shared" ref="F96:P96" si="109">E96*(F97)</f>
        <v>1140.2546166266841</v>
      </c>
      <c r="G96" s="153">
        <f t="shared" si="109"/>
        <v>1231.474985956819</v>
      </c>
      <c r="H96" s="153">
        <f t="shared" si="109"/>
        <v>1329.9929848333645</v>
      </c>
      <c r="I96" s="153">
        <f t="shared" si="109"/>
        <v>1436.3924236200337</v>
      </c>
      <c r="J96" s="153">
        <f t="shared" si="109"/>
        <v>1436.3924236200337</v>
      </c>
      <c r="K96" s="153">
        <f t="shared" si="109"/>
        <v>1436.3924236200337</v>
      </c>
      <c r="L96" s="153">
        <f t="shared" si="109"/>
        <v>1436.3924236200337</v>
      </c>
      <c r="M96" s="153">
        <f t="shared" si="109"/>
        <v>1436.3924236200337</v>
      </c>
      <c r="N96" s="153">
        <f t="shared" si="109"/>
        <v>1436.3924236200337</v>
      </c>
      <c r="O96" s="153">
        <f t="shared" si="109"/>
        <v>1450.756347856234</v>
      </c>
      <c r="P96" s="153">
        <f t="shared" si="109"/>
        <v>1479.7714748133587</v>
      </c>
    </row>
    <row r="97" spans="1:17" s="96" customFormat="1" x14ac:dyDescent="0.2">
      <c r="A97" s="64">
        <v>22</v>
      </c>
      <c r="B97" s="133" t="s">
        <v>7</v>
      </c>
      <c r="C97" s="151"/>
      <c r="D97" s="70">
        <f>+D96/C96</f>
        <v>1.096680767792205</v>
      </c>
      <c r="E97" s="152">
        <f>+СВОД!D61</f>
        <v>1.08</v>
      </c>
      <c r="F97" s="152">
        <f>+СВОД!E61</f>
        <v>1.08</v>
      </c>
      <c r="G97" s="152">
        <f>+СВОД!F61</f>
        <v>1.08</v>
      </c>
      <c r="H97" s="152">
        <f>+СВОД!G61</f>
        <v>1.08</v>
      </c>
      <c r="I97" s="152">
        <f>+СВОД!H61</f>
        <v>1.08</v>
      </c>
      <c r="J97" s="152">
        <f>+СВОД!I61</f>
        <v>1</v>
      </c>
      <c r="K97" s="152">
        <f>+СВОД!J61</f>
        <v>1</v>
      </c>
      <c r="L97" s="152">
        <f>+СВОД!K61</f>
        <v>1</v>
      </c>
      <c r="M97" s="152">
        <f>+СВОД!L61</f>
        <v>1</v>
      </c>
      <c r="N97" s="152">
        <f>+СВОД!M61</f>
        <v>1</v>
      </c>
      <c r="O97" s="152">
        <f>+СВОД!N61</f>
        <v>1.01</v>
      </c>
      <c r="P97" s="152">
        <f>+СВОД!O61</f>
        <v>1.02</v>
      </c>
    </row>
    <row r="98" spans="1:17" s="96" customFormat="1" ht="22.5" x14ac:dyDescent="0.2">
      <c r="A98" s="64" t="s">
        <v>73</v>
      </c>
      <c r="B98" s="133" t="s">
        <v>72</v>
      </c>
      <c r="C98" s="230">
        <f t="shared" ref="C98:P98" si="110">+C191/C49</f>
        <v>794.63458362262315</v>
      </c>
      <c r="D98" s="230">
        <f t="shared" si="110"/>
        <v>856.61885927084506</v>
      </c>
      <c r="E98" s="230">
        <f t="shared" si="110"/>
        <v>896.12838770777728</v>
      </c>
      <c r="F98" s="230">
        <f t="shared" si="110"/>
        <v>974.69754271234365</v>
      </c>
      <c r="G98" s="399">
        <f t="shared" si="110"/>
        <v>1059.5136221522559</v>
      </c>
      <c r="H98" s="447">
        <f t="shared" si="110"/>
        <v>1144.9898160814762</v>
      </c>
      <c r="I98" s="230">
        <f t="shared" si="110"/>
        <v>1185.3919365911493</v>
      </c>
      <c r="J98" s="230">
        <f t="shared" si="110"/>
        <v>1233.3572872189748</v>
      </c>
      <c r="K98" s="230">
        <f t="shared" si="110"/>
        <v>1263.0041308389723</v>
      </c>
      <c r="L98" s="230">
        <f t="shared" si="110"/>
        <v>1295.3183270800696</v>
      </c>
      <c r="M98" s="230">
        <f t="shared" si="110"/>
        <v>1335.2663718645185</v>
      </c>
      <c r="N98" s="230">
        <f t="shared" si="110"/>
        <v>1376.50262786556</v>
      </c>
      <c r="O98" s="230">
        <f t="shared" si="110"/>
        <v>1419.0689113927058</v>
      </c>
      <c r="P98" s="230">
        <f t="shared" si="110"/>
        <v>1463.0085960972326</v>
      </c>
    </row>
    <row r="99" spans="1:17" s="96" customFormat="1" x14ac:dyDescent="0.2">
      <c r="A99" s="64" t="s">
        <v>74</v>
      </c>
      <c r="B99" s="133" t="s">
        <v>75</v>
      </c>
      <c r="C99" s="135"/>
      <c r="D99" s="157">
        <f t="shared" ref="D99:P99" si="111">(D98-C98)/C98</f>
        <v>7.8003496104643022E-2</v>
      </c>
      <c r="E99" s="157">
        <f t="shared" si="111"/>
        <v>4.6122646039526573E-2</v>
      </c>
      <c r="F99" s="157">
        <f t="shared" si="111"/>
        <v>8.7676225954117809E-2</v>
      </c>
      <c r="G99" s="400">
        <f t="shared" si="111"/>
        <v>8.7017844739702532E-2</v>
      </c>
      <c r="H99" s="448">
        <f t="shared" si="111"/>
        <v>8.0674936255738863E-2</v>
      </c>
      <c r="I99" s="157">
        <f t="shared" si="111"/>
        <v>3.5286008610925582E-2</v>
      </c>
      <c r="J99" s="157">
        <f t="shared" si="111"/>
        <v>4.0463705840416156E-2</v>
      </c>
      <c r="K99" s="157">
        <f t="shared" si="111"/>
        <v>2.4037514455236619E-2</v>
      </c>
      <c r="L99" s="157">
        <f t="shared" si="111"/>
        <v>2.5585186502622159E-2</v>
      </c>
      <c r="M99" s="157">
        <f t="shared" si="111"/>
        <v>3.0840330094379625E-2</v>
      </c>
      <c r="N99" s="157">
        <f t="shared" si="111"/>
        <v>3.0882419320918467E-2</v>
      </c>
      <c r="O99" s="157">
        <f t="shared" si="111"/>
        <v>3.0923503279576083E-2</v>
      </c>
      <c r="P99" s="157">
        <f t="shared" si="111"/>
        <v>3.0963742741290445E-2</v>
      </c>
    </row>
    <row r="100" spans="1:17" s="96" customFormat="1" x14ac:dyDescent="0.2">
      <c r="A100" s="64" t="s">
        <v>20</v>
      </c>
      <c r="B100" s="132" t="s">
        <v>408</v>
      </c>
      <c r="C100" s="155">
        <f>+[8]ГОД!$E$22+[8]ГОД!$E$25</f>
        <v>1437.4878616436636</v>
      </c>
      <c r="D100" s="155">
        <f>+[9]ГОД!$C$22+[9]ГОД!$C$25</f>
        <v>1469.141804722344</v>
      </c>
      <c r="E100" s="128">
        <f>D100*(E101)</f>
        <v>1586.6731491001317</v>
      </c>
      <c r="F100" s="128">
        <f t="shared" ref="F100:P100" si="112">E100*(F101)</f>
        <v>1713.6070010281423</v>
      </c>
      <c r="G100" s="128">
        <f t="shared" si="112"/>
        <v>1850.6955611103938</v>
      </c>
      <c r="H100" s="128">
        <f t="shared" si="112"/>
        <v>1998.7512059992255</v>
      </c>
      <c r="I100" s="128">
        <f t="shared" si="112"/>
        <v>2158.6513024791639</v>
      </c>
      <c r="J100" s="128">
        <f t="shared" si="112"/>
        <v>2158.6513024791639</v>
      </c>
      <c r="K100" s="128">
        <f t="shared" si="112"/>
        <v>2158.6513024791639</v>
      </c>
      <c r="L100" s="128">
        <f t="shared" si="112"/>
        <v>2158.6513024791639</v>
      </c>
      <c r="M100" s="128">
        <f t="shared" si="112"/>
        <v>2158.6513024791639</v>
      </c>
      <c r="N100" s="128">
        <f t="shared" si="112"/>
        <v>2158.6513024791639</v>
      </c>
      <c r="O100" s="128">
        <f t="shared" si="112"/>
        <v>2180.2378155039555</v>
      </c>
      <c r="P100" s="128">
        <f t="shared" si="112"/>
        <v>2223.8425718140347</v>
      </c>
    </row>
    <row r="101" spans="1:17" s="96" customFormat="1" x14ac:dyDescent="0.2">
      <c r="A101" s="64"/>
      <c r="B101" s="133" t="s">
        <v>75</v>
      </c>
      <c r="C101" s="154"/>
      <c r="D101" s="157">
        <f>+D100/C100</f>
        <v>1.022020320256817</v>
      </c>
      <c r="E101" s="157">
        <f>+E97</f>
        <v>1.08</v>
      </c>
      <c r="F101" s="157">
        <f t="shared" ref="F101:P101" si="113">+F97</f>
        <v>1.08</v>
      </c>
      <c r="G101" s="157">
        <f t="shared" si="113"/>
        <v>1.08</v>
      </c>
      <c r="H101" s="157">
        <f t="shared" si="113"/>
        <v>1.08</v>
      </c>
      <c r="I101" s="157">
        <f t="shared" si="113"/>
        <v>1.08</v>
      </c>
      <c r="J101" s="157">
        <f t="shared" si="113"/>
        <v>1</v>
      </c>
      <c r="K101" s="157">
        <f t="shared" si="113"/>
        <v>1</v>
      </c>
      <c r="L101" s="157">
        <f t="shared" si="113"/>
        <v>1</v>
      </c>
      <c r="M101" s="157">
        <f t="shared" si="113"/>
        <v>1</v>
      </c>
      <c r="N101" s="157">
        <f t="shared" si="113"/>
        <v>1</v>
      </c>
      <c r="O101" s="157">
        <f t="shared" si="113"/>
        <v>1.01</v>
      </c>
      <c r="P101" s="157">
        <f t="shared" si="113"/>
        <v>1.02</v>
      </c>
    </row>
    <row r="102" spans="1:17" s="136" customFormat="1" ht="10.5" x14ac:dyDescent="0.2">
      <c r="A102" s="253"/>
      <c r="B102" s="132" t="s">
        <v>359</v>
      </c>
      <c r="C102" s="316">
        <f>+Сети!C63</f>
        <v>17.125288548140421</v>
      </c>
      <c r="D102" s="316">
        <f>+Сети!D63</f>
        <v>17.4755</v>
      </c>
      <c r="E102" s="254">
        <f>D102*(E103)</f>
        <v>18.174520000000001</v>
      </c>
      <c r="F102" s="254">
        <f t="shared" ref="F102:J102" si="114">E102*(F103)</f>
        <v>18.901500800000001</v>
      </c>
      <c r="G102" s="254">
        <f t="shared" si="114"/>
        <v>19.657560832000001</v>
      </c>
      <c r="H102" s="254">
        <f t="shared" si="114"/>
        <v>20.443863265280001</v>
      </c>
      <c r="I102" s="254">
        <f t="shared" si="114"/>
        <v>21.261617795891201</v>
      </c>
      <c r="J102" s="254">
        <f t="shared" si="114"/>
        <v>22.11208250772685</v>
      </c>
      <c r="K102" s="254">
        <f>J102*(K103)</f>
        <v>22.996565808035925</v>
      </c>
      <c r="L102" s="254">
        <f t="shared" ref="L102:P102" si="115">K102*(L103)</f>
        <v>23.916428440357361</v>
      </c>
      <c r="M102" s="254">
        <f t="shared" si="115"/>
        <v>24.873085577971658</v>
      </c>
      <c r="N102" s="254">
        <f t="shared" si="115"/>
        <v>25.868009001090524</v>
      </c>
      <c r="O102" s="254">
        <f t="shared" si="115"/>
        <v>26.902729361134146</v>
      </c>
      <c r="P102" s="254">
        <f t="shared" si="115"/>
        <v>27.978838535579513</v>
      </c>
    </row>
    <row r="103" spans="1:17" s="143" customFormat="1" x14ac:dyDescent="0.2">
      <c r="A103" s="255"/>
      <c r="B103" s="133" t="s">
        <v>7</v>
      </c>
      <c r="C103" s="215"/>
      <c r="D103" s="70">
        <f>+D102/C102</f>
        <v>1.0204499591860954</v>
      </c>
      <c r="E103" s="467">
        <f>+E106</f>
        <v>1.04</v>
      </c>
      <c r="F103" s="467">
        <f t="shared" ref="F103:P103" si="116">+F106</f>
        <v>1.04</v>
      </c>
      <c r="G103" s="467">
        <f t="shared" si="116"/>
        <v>1.04</v>
      </c>
      <c r="H103" s="467">
        <f t="shared" si="116"/>
        <v>1.04</v>
      </c>
      <c r="I103" s="467">
        <f t="shared" si="116"/>
        <v>1.04</v>
      </c>
      <c r="J103" s="467">
        <f t="shared" si="116"/>
        <v>1.04</v>
      </c>
      <c r="K103" s="467">
        <f t="shared" si="116"/>
        <v>1.04</v>
      </c>
      <c r="L103" s="467">
        <f t="shared" si="116"/>
        <v>1.04</v>
      </c>
      <c r="M103" s="467">
        <f t="shared" si="116"/>
        <v>1.04</v>
      </c>
      <c r="N103" s="467">
        <f t="shared" si="116"/>
        <v>1.04</v>
      </c>
      <c r="O103" s="467">
        <f t="shared" si="116"/>
        <v>1.04</v>
      </c>
      <c r="P103" s="467">
        <f t="shared" si="116"/>
        <v>1.04</v>
      </c>
    </row>
    <row r="104" spans="1:17" s="136" customFormat="1" ht="22.5" x14ac:dyDescent="0.2">
      <c r="A104" s="64">
        <v>23</v>
      </c>
      <c r="B104" s="132" t="s">
        <v>473</v>
      </c>
      <c r="C104" s="141">
        <f>+'[4]4.4.Р_т'!$G$150</f>
        <v>4950.6710266776709</v>
      </c>
      <c r="D104" s="141">
        <f>+'[4]4.4.Р_т'!$Q$150</f>
        <v>5128.5491496278974</v>
      </c>
      <c r="E104" s="141">
        <f>+'[4]4.4.Р_т'!$AA$149</f>
        <v>5301.8855299679617</v>
      </c>
      <c r="F104" s="105">
        <f>E104*(F105)</f>
        <v>5460.9420958670007</v>
      </c>
      <c r="G104" s="105">
        <f t="shared" ref="G104:P104" si="117">F104*(G105)</f>
        <v>5624.7703587430105</v>
      </c>
      <c r="H104" s="105">
        <f t="shared" si="117"/>
        <v>5793.5134695053011</v>
      </c>
      <c r="I104" s="105">
        <f t="shared" si="117"/>
        <v>5967.3188735904605</v>
      </c>
      <c r="J104" s="105">
        <f t="shared" si="117"/>
        <v>6146.3384397981745</v>
      </c>
      <c r="K104" s="105">
        <f t="shared" si="117"/>
        <v>6330.72859299212</v>
      </c>
      <c r="L104" s="105">
        <f t="shared" si="117"/>
        <v>6520.6504507818836</v>
      </c>
      <c r="M104" s="105">
        <f t="shared" si="117"/>
        <v>6716.2699643053402</v>
      </c>
      <c r="N104" s="105">
        <f t="shared" si="117"/>
        <v>6917.7580632345007</v>
      </c>
      <c r="O104" s="105">
        <f t="shared" si="117"/>
        <v>7125.2908051315362</v>
      </c>
      <c r="P104" s="105">
        <f t="shared" si="117"/>
        <v>7339.0495292854821</v>
      </c>
    </row>
    <row r="105" spans="1:17" s="138" customFormat="1" ht="12" thickBot="1" x14ac:dyDescent="0.25">
      <c r="A105" s="64">
        <v>24</v>
      </c>
      <c r="B105" s="133" t="s">
        <v>6</v>
      </c>
      <c r="C105" s="137"/>
      <c r="D105" s="70">
        <f>+D104/C104</f>
        <v>1.0359301036145798</v>
      </c>
      <c r="E105" s="70">
        <f>+E104/D104</f>
        <v>1.0337983268333581</v>
      </c>
      <c r="F105" s="471">
        <f>+'[4]+Газ'!$H$32</f>
        <v>1.03</v>
      </c>
      <c r="G105" s="70">
        <f t="shared" ref="G105:P105" si="118">+F105</f>
        <v>1.03</v>
      </c>
      <c r="H105" s="70">
        <f t="shared" si="118"/>
        <v>1.03</v>
      </c>
      <c r="I105" s="70">
        <f t="shared" si="118"/>
        <v>1.03</v>
      </c>
      <c r="J105" s="70">
        <f t="shared" si="118"/>
        <v>1.03</v>
      </c>
      <c r="K105" s="70">
        <f t="shared" si="118"/>
        <v>1.03</v>
      </c>
      <c r="L105" s="70">
        <f t="shared" si="118"/>
        <v>1.03</v>
      </c>
      <c r="M105" s="70">
        <f t="shared" si="118"/>
        <v>1.03</v>
      </c>
      <c r="N105" s="70">
        <f t="shared" si="118"/>
        <v>1.03</v>
      </c>
      <c r="O105" s="70">
        <f t="shared" si="118"/>
        <v>1.03</v>
      </c>
      <c r="P105" s="70">
        <f t="shared" si="118"/>
        <v>1.03</v>
      </c>
      <c r="Q105" s="96"/>
    </row>
    <row r="106" spans="1:17" s="144" customFormat="1" x14ac:dyDescent="0.2">
      <c r="A106" s="142">
        <v>27</v>
      </c>
      <c r="B106" s="148" t="s">
        <v>5</v>
      </c>
      <c r="C106" s="137"/>
      <c r="D106" s="145">
        <f>1+'[4]5.2.Оп_i1'!$E$6</f>
        <v>1.04</v>
      </c>
      <c r="E106" s="147">
        <f>+D106</f>
        <v>1.04</v>
      </c>
      <c r="F106" s="147">
        <f t="shared" ref="F106:P106" si="119">+E106</f>
        <v>1.04</v>
      </c>
      <c r="G106" s="147">
        <f t="shared" si="119"/>
        <v>1.04</v>
      </c>
      <c r="H106" s="147">
        <f t="shared" si="119"/>
        <v>1.04</v>
      </c>
      <c r="I106" s="147">
        <f t="shared" si="119"/>
        <v>1.04</v>
      </c>
      <c r="J106" s="147">
        <f t="shared" si="119"/>
        <v>1.04</v>
      </c>
      <c r="K106" s="147">
        <f t="shared" si="119"/>
        <v>1.04</v>
      </c>
      <c r="L106" s="147">
        <f t="shared" si="119"/>
        <v>1.04</v>
      </c>
      <c r="M106" s="147">
        <f t="shared" si="119"/>
        <v>1.04</v>
      </c>
      <c r="N106" s="147">
        <f t="shared" si="119"/>
        <v>1.04</v>
      </c>
      <c r="O106" s="147">
        <f t="shared" si="119"/>
        <v>1.04</v>
      </c>
      <c r="P106" s="147">
        <f t="shared" si="119"/>
        <v>1.04</v>
      </c>
      <c r="Q106" s="143"/>
    </row>
    <row r="107" spans="1:17" s="139" customFormat="1" x14ac:dyDescent="0.2">
      <c r="A107" s="64"/>
      <c r="B107" s="149" t="s">
        <v>52</v>
      </c>
      <c r="C107" s="137"/>
      <c r="D107" s="146">
        <f>+D106</f>
        <v>1.04</v>
      </c>
      <c r="E107" s="146">
        <f>+D107*E106</f>
        <v>1.0816000000000001</v>
      </c>
      <c r="F107" s="146">
        <f t="shared" ref="F107:P107" si="120">+E107*F106</f>
        <v>1.1248640000000001</v>
      </c>
      <c r="G107" s="146">
        <f t="shared" si="120"/>
        <v>1.1698585600000002</v>
      </c>
      <c r="H107" s="146">
        <f t="shared" si="120"/>
        <v>1.2166529024000003</v>
      </c>
      <c r="I107" s="146">
        <f t="shared" si="120"/>
        <v>1.2653190184960004</v>
      </c>
      <c r="J107" s="146">
        <f t="shared" si="120"/>
        <v>1.3159317792358405</v>
      </c>
      <c r="K107" s="146">
        <f t="shared" si="120"/>
        <v>1.3685690504052741</v>
      </c>
      <c r="L107" s="146">
        <f t="shared" si="120"/>
        <v>1.4233118124214852</v>
      </c>
      <c r="M107" s="146">
        <f t="shared" si="120"/>
        <v>1.4802442849183446</v>
      </c>
      <c r="N107" s="146">
        <f t="shared" si="120"/>
        <v>1.5394540563150785</v>
      </c>
      <c r="O107" s="146">
        <f t="shared" si="120"/>
        <v>1.6010322185676817</v>
      </c>
      <c r="P107" s="146">
        <f t="shared" si="120"/>
        <v>1.6650735073103891</v>
      </c>
      <c r="Q107" s="96"/>
    </row>
    <row r="108" spans="1:17" s="130" customFormat="1" x14ac:dyDescent="0.2">
      <c r="A108" s="150"/>
      <c r="B108" s="164"/>
      <c r="C108" s="137"/>
      <c r="D108" s="165"/>
      <c r="E108" s="165"/>
      <c r="F108" s="166"/>
      <c r="G108" s="401"/>
      <c r="H108" s="165"/>
      <c r="I108" s="430"/>
      <c r="J108" s="165"/>
      <c r="K108" s="165"/>
      <c r="L108" s="165"/>
      <c r="M108" s="165"/>
      <c r="N108" s="165"/>
      <c r="O108" s="165"/>
      <c r="P108" s="165"/>
    </row>
    <row r="109" spans="1:17" s="18" customFormat="1" ht="12" x14ac:dyDescent="0.2">
      <c r="A109" s="2"/>
      <c r="B109" s="256" t="s">
        <v>10</v>
      </c>
      <c r="C109" s="28"/>
      <c r="D109" s="28"/>
      <c r="E109" s="28"/>
      <c r="F109" s="28"/>
      <c r="G109" s="398"/>
      <c r="H109" s="26"/>
      <c r="I109" s="27"/>
      <c r="J109" s="28"/>
      <c r="K109" s="28"/>
      <c r="L109" s="28"/>
      <c r="M109" s="28"/>
      <c r="N109" s="28"/>
      <c r="O109" s="28"/>
      <c r="P109" s="28"/>
      <c r="Q109" s="17"/>
    </row>
    <row r="110" spans="1:17" s="18" customFormat="1" x14ac:dyDescent="0.2">
      <c r="A110" s="2">
        <v>26</v>
      </c>
      <c r="B110" s="6" t="s">
        <v>412</v>
      </c>
      <c r="C110" s="160">
        <f>SUM(C111:C123)</f>
        <v>0</v>
      </c>
      <c r="D110" s="160">
        <f t="shared" ref="D110:P110" si="121">SUM(D111:D123)</f>
        <v>0</v>
      </c>
      <c r="E110" s="160">
        <f t="shared" si="121"/>
        <v>62081.869816779174</v>
      </c>
      <c r="F110" s="160">
        <f t="shared" si="121"/>
        <v>40830</v>
      </c>
      <c r="G110" s="160">
        <f t="shared" si="121"/>
        <v>58442.664739884392</v>
      </c>
      <c r="H110" s="160">
        <f t="shared" si="121"/>
        <v>33815</v>
      </c>
      <c r="I110" s="160">
        <f t="shared" si="121"/>
        <v>115371</v>
      </c>
      <c r="J110" s="160">
        <f t="shared" si="121"/>
        <v>14910.721883538919</v>
      </c>
      <c r="K110" s="160">
        <f t="shared" si="121"/>
        <v>18371.851883538919</v>
      </c>
      <c r="L110" s="160">
        <f t="shared" si="121"/>
        <v>18819.173540045085</v>
      </c>
      <c r="M110" s="160">
        <f t="shared" si="121"/>
        <v>19370.329096551253</v>
      </c>
      <c r="N110" s="160">
        <f t="shared" si="121"/>
        <v>19934.904302752606</v>
      </c>
      <c r="O110" s="160">
        <f t="shared" si="121"/>
        <v>20516.014175649147</v>
      </c>
      <c r="P110" s="160">
        <f t="shared" si="121"/>
        <v>21114.06130473172</v>
      </c>
      <c r="Q110" s="17"/>
    </row>
    <row r="111" spans="1:17" x14ac:dyDescent="0.2">
      <c r="A111" s="2">
        <v>13</v>
      </c>
      <c r="B111" s="46" t="s">
        <v>546</v>
      </c>
      <c r="C111" s="158"/>
      <c r="D111" s="158"/>
      <c r="E111" s="159">
        <f>+[12]Пр.4.Амортизация!F21</f>
        <v>40177</v>
      </c>
      <c r="F111" s="159">
        <f>+[12]Пр.4.Амортизация!G21</f>
        <v>30000</v>
      </c>
      <c r="G111" s="159">
        <f>+[12]Пр.4.Амортизация!H21</f>
        <v>13500</v>
      </c>
      <c r="H111" s="159">
        <f>+[12]Пр.4.Амортизация!I21</f>
        <v>0</v>
      </c>
      <c r="I111" s="159">
        <f>+[12]Пр.4.Амортизация!J21</f>
        <v>0</v>
      </c>
      <c r="J111" s="158"/>
      <c r="K111" s="158"/>
      <c r="L111" s="158"/>
      <c r="M111" s="158"/>
      <c r="N111" s="158"/>
      <c r="O111" s="158"/>
      <c r="P111" s="158"/>
    </row>
    <row r="112" spans="1:17" ht="22.5" x14ac:dyDescent="0.2">
      <c r="A112" s="2">
        <v>14</v>
      </c>
      <c r="B112" s="46" t="s">
        <v>547</v>
      </c>
      <c r="C112" s="158"/>
      <c r="D112" s="158"/>
      <c r="E112" s="159">
        <f>+[12]Пр.4.Амортизация!F22</f>
        <v>0</v>
      </c>
      <c r="F112" s="159">
        <f>+[12]Пр.4.Амортизация!G22</f>
        <v>0</v>
      </c>
      <c r="G112" s="159">
        <f>+[12]Пр.4.Амортизация!H22</f>
        <v>0</v>
      </c>
      <c r="H112" s="159">
        <f>+[12]Пр.4.Амортизация!I22</f>
        <v>9388</v>
      </c>
      <c r="I112" s="159">
        <f>+[12]Пр.4.Амортизация!J22</f>
        <v>23836</v>
      </c>
      <c r="J112" s="158"/>
      <c r="K112" s="158"/>
      <c r="L112" s="158"/>
      <c r="M112" s="158"/>
      <c r="N112" s="158"/>
      <c r="O112" s="158"/>
      <c r="P112" s="158"/>
    </row>
    <row r="113" spans="1:19" s="23" customFormat="1" ht="45" x14ac:dyDescent="0.2">
      <c r="A113" s="2">
        <v>15</v>
      </c>
      <c r="B113" s="46" t="s">
        <v>548</v>
      </c>
      <c r="C113" s="158"/>
      <c r="D113" s="158"/>
      <c r="E113" s="159">
        <f>+[12]Пр.4.Амортизация!F23</f>
        <v>3354.8698167791708</v>
      </c>
      <c r="F113" s="159">
        <f>+[12]Пр.4.Амортизация!G23</f>
        <v>9739</v>
      </c>
      <c r="G113" s="159">
        <f>+[12]Пр.4.Амортизация!H23</f>
        <v>0</v>
      </c>
      <c r="H113" s="159">
        <f>+[12]Пр.4.Амортизация!I23</f>
        <v>0</v>
      </c>
      <c r="I113" s="159">
        <f>+[12]Пр.4.Амортизация!J23</f>
        <v>25715</v>
      </c>
      <c r="J113" s="158"/>
      <c r="K113" s="158"/>
      <c r="L113" s="158"/>
      <c r="M113" s="158"/>
      <c r="N113" s="158"/>
      <c r="O113" s="158"/>
      <c r="P113" s="158"/>
      <c r="Q113" s="22"/>
    </row>
    <row r="114" spans="1:19" ht="22.5" x14ac:dyDescent="0.2">
      <c r="A114" s="2">
        <v>16</v>
      </c>
      <c r="B114" s="46" t="s">
        <v>549</v>
      </c>
      <c r="C114" s="158"/>
      <c r="D114" s="158"/>
      <c r="E114" s="159">
        <f>+[12]Пр.4.Амортизация!F24</f>
        <v>0</v>
      </c>
      <c r="F114" s="159">
        <f>+[12]Пр.4.Амортизация!G24</f>
        <v>0</v>
      </c>
      <c r="G114" s="159">
        <f>+[12]Пр.4.Амортизация!H24</f>
        <v>12899</v>
      </c>
      <c r="H114" s="159">
        <f>+[12]Пр.4.Амортизация!I24</f>
        <v>0</v>
      </c>
      <c r="I114" s="159">
        <f>+[12]Пр.4.Амортизация!J24</f>
        <v>0</v>
      </c>
      <c r="J114" s="158"/>
      <c r="K114" s="158"/>
      <c r="L114" s="158"/>
      <c r="M114" s="158"/>
      <c r="N114" s="158"/>
      <c r="O114" s="158"/>
      <c r="P114" s="158"/>
    </row>
    <row r="115" spans="1:19" ht="22.5" x14ac:dyDescent="0.2">
      <c r="A115" s="2">
        <v>17</v>
      </c>
      <c r="B115" s="46" t="s">
        <v>550</v>
      </c>
      <c r="C115" s="158"/>
      <c r="D115" s="158"/>
      <c r="E115" s="159">
        <f>+[12]Пр.4.Амортизация!F25</f>
        <v>0</v>
      </c>
      <c r="F115" s="159">
        <f>+[12]Пр.4.Амортизация!G25</f>
        <v>1091</v>
      </c>
      <c r="G115" s="159">
        <f>+[12]Пр.4.Амортизация!H25</f>
        <v>0</v>
      </c>
      <c r="H115" s="159">
        <f>+[12]Пр.4.Амортизация!I25</f>
        <v>0</v>
      </c>
      <c r="I115" s="159">
        <f>+[12]Пр.4.Амортизация!J25</f>
        <v>0</v>
      </c>
      <c r="J115" s="158"/>
      <c r="K115" s="158"/>
      <c r="L115" s="158"/>
      <c r="M115" s="158"/>
      <c r="N115" s="158"/>
      <c r="O115" s="158"/>
      <c r="P115" s="158"/>
    </row>
    <row r="116" spans="1:19" s="23" customFormat="1" x14ac:dyDescent="0.2">
      <c r="A116" s="2">
        <v>18</v>
      </c>
      <c r="B116" s="46" t="s">
        <v>551</v>
      </c>
      <c r="C116" s="158"/>
      <c r="D116" s="158"/>
      <c r="E116" s="159">
        <f>+[12]Пр.4.Амортизация!F26</f>
        <v>18550</v>
      </c>
      <c r="F116" s="159">
        <f>+[12]Пр.4.Амортизация!G26</f>
        <v>0</v>
      </c>
      <c r="G116" s="159">
        <f>+[12]Пр.4.Амортизация!H26</f>
        <v>0</v>
      </c>
      <c r="H116" s="159">
        <f>+[12]Пр.4.Амортизация!I26</f>
        <v>0</v>
      </c>
      <c r="I116" s="159">
        <f>+[12]Пр.4.Амортизация!J26</f>
        <v>0</v>
      </c>
      <c r="J116" s="158"/>
      <c r="K116" s="158"/>
      <c r="L116" s="158"/>
      <c r="M116" s="158"/>
      <c r="N116" s="158"/>
      <c r="O116" s="158"/>
      <c r="P116" s="158"/>
      <c r="Q116" s="22"/>
    </row>
    <row r="117" spans="1:19" x14ac:dyDescent="0.2">
      <c r="A117" s="2">
        <v>19</v>
      </c>
      <c r="B117" s="46" t="s">
        <v>552</v>
      </c>
      <c r="C117" s="158"/>
      <c r="D117" s="158"/>
      <c r="E117" s="159">
        <f>+[12]Пр.4.Амортизация!F27</f>
        <v>0</v>
      </c>
      <c r="F117" s="159">
        <f>+[12]Пр.4.Амортизация!G27</f>
        <v>0</v>
      </c>
      <c r="G117" s="159">
        <f>+[12]Пр.4.Амортизация!H27</f>
        <v>0</v>
      </c>
      <c r="H117" s="159">
        <f>+[12]Пр.4.Амортизация!I27</f>
        <v>14496</v>
      </c>
      <c r="I117" s="159">
        <f>+[12]Пр.4.Амортизация!J27</f>
        <v>0</v>
      </c>
      <c r="J117" s="158"/>
      <c r="K117" s="158"/>
      <c r="L117" s="158"/>
      <c r="M117" s="158"/>
      <c r="N117" s="158"/>
      <c r="O117" s="158"/>
      <c r="P117" s="158"/>
    </row>
    <row r="118" spans="1:19" x14ac:dyDescent="0.2">
      <c r="A118" s="2">
        <v>20</v>
      </c>
      <c r="B118" s="46" t="s">
        <v>553</v>
      </c>
      <c r="C118" s="158"/>
      <c r="D118" s="158"/>
      <c r="E118" s="159">
        <f>+[12]Пр.4.Амортизация!F28</f>
        <v>0</v>
      </c>
      <c r="F118" s="159">
        <f>+[12]Пр.4.Амортизация!G28</f>
        <v>0</v>
      </c>
      <c r="G118" s="159">
        <f>+[12]Пр.4.Амортизация!H28</f>
        <v>0</v>
      </c>
      <c r="H118" s="159">
        <f>+[12]Пр.4.Амортизация!I28</f>
        <v>0</v>
      </c>
      <c r="I118" s="159">
        <f>+[12]Пр.4.Амортизация!J28</f>
        <v>28377</v>
      </c>
      <c r="J118" s="158"/>
      <c r="K118" s="158"/>
      <c r="L118" s="158"/>
      <c r="M118" s="158"/>
      <c r="N118" s="158"/>
      <c r="O118" s="158"/>
      <c r="P118" s="158"/>
    </row>
    <row r="119" spans="1:19" s="23" customFormat="1" x14ac:dyDescent="0.2">
      <c r="A119" s="2">
        <v>21</v>
      </c>
      <c r="B119" s="46" t="s">
        <v>554</v>
      </c>
      <c r="C119" s="158"/>
      <c r="D119" s="158"/>
      <c r="E119" s="159">
        <f>+[12]Пр.4.Амортизация!F29</f>
        <v>0</v>
      </c>
      <c r="F119" s="159">
        <f>+[12]Пр.4.Амортизация!G29</f>
        <v>0</v>
      </c>
      <c r="G119" s="159">
        <f>+[12]Пр.4.Амортизация!H29</f>
        <v>0</v>
      </c>
      <c r="H119" s="159">
        <f>+[12]Пр.4.Амортизация!I29</f>
        <v>0</v>
      </c>
      <c r="I119" s="159">
        <f>+[12]Пр.4.Амортизация!J29</f>
        <v>37443</v>
      </c>
      <c r="J119" s="158"/>
      <c r="K119" s="158"/>
      <c r="L119" s="158"/>
      <c r="M119" s="158"/>
      <c r="N119" s="158"/>
      <c r="O119" s="158"/>
      <c r="P119" s="158"/>
      <c r="Q119" s="22"/>
    </row>
    <row r="120" spans="1:19" x14ac:dyDescent="0.2">
      <c r="A120" s="2">
        <v>22</v>
      </c>
      <c r="B120" s="46" t="s">
        <v>555</v>
      </c>
      <c r="C120" s="158"/>
      <c r="D120" s="158"/>
      <c r="E120" s="159">
        <f>+[12]Пр.4.Амортизация!F30</f>
        <v>0</v>
      </c>
      <c r="F120" s="159">
        <f>+[12]Пр.4.Амортизация!G30</f>
        <v>0</v>
      </c>
      <c r="G120" s="159">
        <f>+[12]Пр.4.Амортизация!H30</f>
        <v>3745.6647398843929</v>
      </c>
      <c r="H120" s="159">
        <f>+[12]Пр.4.Амортизация!I30</f>
        <v>0</v>
      </c>
      <c r="I120" s="159">
        <f>+[12]Пр.4.Амортизация!J30</f>
        <v>0</v>
      </c>
      <c r="J120" s="158"/>
      <c r="K120" s="158"/>
      <c r="L120" s="158"/>
      <c r="M120" s="158"/>
      <c r="N120" s="158"/>
      <c r="O120" s="158"/>
      <c r="P120" s="158"/>
    </row>
    <row r="121" spans="1:19" x14ac:dyDescent="0.2">
      <c r="A121" s="2">
        <v>23</v>
      </c>
      <c r="B121" s="46" t="s">
        <v>556</v>
      </c>
      <c r="C121" s="158"/>
      <c r="D121" s="158"/>
      <c r="E121" s="159">
        <f>+[12]Пр.4.Амортизация!F31</f>
        <v>0</v>
      </c>
      <c r="F121" s="159">
        <f>+[12]Пр.4.Амортизация!G31</f>
        <v>0</v>
      </c>
      <c r="G121" s="159">
        <f>+[12]Пр.4.Амортизация!H31</f>
        <v>28298</v>
      </c>
      <c r="H121" s="159">
        <f>+[12]Пр.4.Амортизация!I31</f>
        <v>9931</v>
      </c>
      <c r="I121" s="159">
        <f>+[12]Пр.4.Амортизация!J31</f>
        <v>0</v>
      </c>
      <c r="J121" s="158"/>
      <c r="K121" s="158"/>
      <c r="L121" s="158"/>
      <c r="M121" s="158"/>
      <c r="N121" s="158"/>
      <c r="O121" s="158"/>
      <c r="P121" s="158"/>
    </row>
    <row r="122" spans="1:19" s="717" customFormat="1" ht="12.75" customHeight="1" x14ac:dyDescent="0.2">
      <c r="A122" s="714"/>
      <c r="B122" s="715" t="s">
        <v>675</v>
      </c>
      <c r="C122" s="716"/>
      <c r="D122" s="716"/>
      <c r="E122" s="716"/>
      <c r="F122" s="716"/>
      <c r="G122" s="716"/>
      <c r="H122" s="716"/>
      <c r="I122" s="716"/>
      <c r="J122" s="718">
        <f t="shared" ref="J122:P122" si="122">+I126*$R122</f>
        <v>14910.721883538919</v>
      </c>
      <c r="K122" s="718">
        <f t="shared" ref="K122" si="123">+J126*$R122</f>
        <v>18371.851883538919</v>
      </c>
      <c r="L122" s="718">
        <f t="shared" ref="L122" si="124">+K126*$R122</f>
        <v>18819.173540045085</v>
      </c>
      <c r="M122" s="718">
        <f t="shared" ref="M122" si="125">+L126*$R122</f>
        <v>19370.329096551253</v>
      </c>
      <c r="N122" s="718">
        <f t="shared" si="122"/>
        <v>19934.904302752606</v>
      </c>
      <c r="O122" s="718">
        <f t="shared" si="122"/>
        <v>20516.014175649147</v>
      </c>
      <c r="P122" s="718">
        <f t="shared" si="122"/>
        <v>21114.06130473172</v>
      </c>
      <c r="R122" s="719">
        <v>0.3</v>
      </c>
      <c r="S122" s="717" t="s">
        <v>657</v>
      </c>
    </row>
    <row r="123" spans="1:19" s="11" customFormat="1" x14ac:dyDescent="0.2">
      <c r="A123" s="2"/>
      <c r="B123" s="46"/>
      <c r="C123" s="158"/>
      <c r="D123" s="158"/>
      <c r="E123" s="158"/>
      <c r="F123" s="158"/>
      <c r="G123" s="403"/>
      <c r="H123" s="158"/>
      <c r="I123" s="431"/>
      <c r="J123" s="158"/>
      <c r="K123" s="158"/>
      <c r="L123" s="158"/>
      <c r="M123" s="158"/>
      <c r="N123" s="158"/>
      <c r="O123" s="158"/>
      <c r="P123" s="158"/>
    </row>
    <row r="124" spans="1:19" s="18" customFormat="1" ht="12" x14ac:dyDescent="0.2">
      <c r="A124" s="2"/>
      <c r="B124" s="256" t="s">
        <v>42</v>
      </c>
      <c r="C124" s="28"/>
      <c r="D124" s="28"/>
      <c r="E124" s="28"/>
      <c r="F124" s="28"/>
      <c r="G124" s="398"/>
      <c r="H124" s="26"/>
      <c r="I124" s="27"/>
      <c r="J124" s="28"/>
      <c r="K124" s="28"/>
      <c r="L124" s="28"/>
      <c r="M124" s="28"/>
      <c r="N124" s="28"/>
      <c r="O124" s="28"/>
      <c r="P124" s="28"/>
      <c r="Q124" s="17"/>
    </row>
    <row r="125" spans="1:19" s="13" customFormat="1" x14ac:dyDescent="0.2">
      <c r="A125" s="1">
        <v>29</v>
      </c>
      <c r="B125" s="44" t="s">
        <v>4</v>
      </c>
      <c r="C125" s="570">
        <v>120</v>
      </c>
      <c r="D125" s="180">
        <f>+C125</f>
        <v>120</v>
      </c>
      <c r="E125" s="180">
        <f t="shared" ref="E125:I125" si="126">+D125</f>
        <v>120</v>
      </c>
      <c r="F125" s="180">
        <f t="shared" si="126"/>
        <v>120</v>
      </c>
      <c r="G125" s="404">
        <f t="shared" si="126"/>
        <v>120</v>
      </c>
      <c r="H125" s="180">
        <f t="shared" si="126"/>
        <v>120</v>
      </c>
      <c r="I125" s="180">
        <f t="shared" si="126"/>
        <v>120</v>
      </c>
      <c r="J125" s="180">
        <f t="shared" ref="J125" si="127">+I125</f>
        <v>120</v>
      </c>
      <c r="K125" s="180">
        <f t="shared" ref="K125" si="128">+J125</f>
        <v>120</v>
      </c>
      <c r="L125" s="180">
        <f t="shared" ref="L125" si="129">+K125</f>
        <v>120</v>
      </c>
      <c r="M125" s="180">
        <f t="shared" ref="M125" si="130">+L125</f>
        <v>120</v>
      </c>
      <c r="N125" s="180">
        <f t="shared" ref="N125" si="131">+M125</f>
        <v>120</v>
      </c>
      <c r="O125" s="180">
        <f t="shared" ref="O125" si="132">+N125</f>
        <v>120</v>
      </c>
      <c r="P125" s="180">
        <f t="shared" ref="P125" si="133">+O125</f>
        <v>120</v>
      </c>
    </row>
    <row r="126" spans="1:19" s="130" customFormat="1" x14ac:dyDescent="0.2">
      <c r="A126" s="150">
        <v>30</v>
      </c>
      <c r="B126" s="168" t="s">
        <v>186</v>
      </c>
      <c r="C126" s="176">
        <f>+'[4]+Ам'!$F$97</f>
        <v>30185.452822796709</v>
      </c>
      <c r="D126" s="177">
        <f>IF(D127-C129-C126&lt;0,0,IF(C129+C126*2&gt;D127,D127-C129-C126,IF(C125=0,C126,+C126+C128/C125*12)))</f>
        <v>30185.452822796709</v>
      </c>
      <c r="E126" s="177">
        <f>IF(E127-D129-D126&lt;0,0,IF(D129+D126*2&gt;E127,E127-D129-D126,IF(D125=0,D126,+D126+D128/D125*12)))</f>
        <v>30185.452822796709</v>
      </c>
      <c r="F126" s="177">
        <f>IF(F127-E129-E126&lt;0,0,IF(E129+E126*2&gt;F127,F127-E129-E126,IF(E125=0,E126,+E126+E128/E125*12)))</f>
        <v>36393.639804474624</v>
      </c>
      <c r="G126" s="405">
        <f t="shared" ref="G126:P126" si="134">IF(G127-F129-F126&lt;0,0,IF(F129+F126*2&gt;G127,G127-F129-F126,IF(F125=0,F126,+F126+F128/F125*12)))</f>
        <v>40476.639804474624</v>
      </c>
      <c r="H126" s="177">
        <f t="shared" si="134"/>
        <v>46320.906278463066</v>
      </c>
      <c r="I126" s="432">
        <f t="shared" si="134"/>
        <v>49702.406278463066</v>
      </c>
      <c r="J126" s="177">
        <f t="shared" si="134"/>
        <v>61239.506278463065</v>
      </c>
      <c r="K126" s="177">
        <f t="shared" si="134"/>
        <v>62730.578466816958</v>
      </c>
      <c r="L126" s="177">
        <f t="shared" si="134"/>
        <v>64567.763655170849</v>
      </c>
      <c r="M126" s="177">
        <f t="shared" si="134"/>
        <v>66449.681009175358</v>
      </c>
      <c r="N126" s="177">
        <f t="shared" si="134"/>
        <v>68386.713918830486</v>
      </c>
      <c r="O126" s="177">
        <f t="shared" si="134"/>
        <v>70380.204349105741</v>
      </c>
      <c r="P126" s="177">
        <f t="shared" si="134"/>
        <v>72431.805766670659</v>
      </c>
    </row>
    <row r="127" spans="1:19" s="96" customFormat="1" x14ac:dyDescent="0.2">
      <c r="A127" s="64">
        <v>31</v>
      </c>
      <c r="B127" s="149" t="s">
        <v>187</v>
      </c>
      <c r="C127" s="178">
        <f>+'[17]Расчет ТЭЦ-4'!$O$381/1000</f>
        <v>436048.04514</v>
      </c>
      <c r="D127" s="179">
        <f>+C127+C128</f>
        <v>436048.04514</v>
      </c>
      <c r="E127" s="179">
        <f t="shared" ref="E127:P127" si="135">+D127+D128</f>
        <v>436048.04514</v>
      </c>
      <c r="F127" s="179">
        <f t="shared" si="135"/>
        <v>498129.91495677916</v>
      </c>
      <c r="G127" s="406">
        <f t="shared" si="135"/>
        <v>538959.91495677922</v>
      </c>
      <c r="H127" s="179">
        <f t="shared" si="135"/>
        <v>597402.57969666366</v>
      </c>
      <c r="I127" s="433">
        <f t="shared" si="135"/>
        <v>631217.57969666366</v>
      </c>
      <c r="J127" s="179">
        <f t="shared" si="135"/>
        <v>746588.57969666366</v>
      </c>
      <c r="K127" s="179">
        <f t="shared" si="135"/>
        <v>761499.30158020253</v>
      </c>
      <c r="L127" s="179">
        <f t="shared" si="135"/>
        <v>779871.15346374142</v>
      </c>
      <c r="M127" s="179">
        <f t="shared" si="135"/>
        <v>798690.32700378646</v>
      </c>
      <c r="N127" s="179">
        <f t="shared" si="135"/>
        <v>818060.65610033774</v>
      </c>
      <c r="O127" s="179">
        <f t="shared" si="135"/>
        <v>837995.56040309032</v>
      </c>
      <c r="P127" s="179">
        <f t="shared" si="135"/>
        <v>858511.57457873947</v>
      </c>
    </row>
    <row r="128" spans="1:19" s="96" customFormat="1" x14ac:dyDescent="0.2">
      <c r="A128" s="64"/>
      <c r="B128" s="149" t="s">
        <v>191</v>
      </c>
      <c r="C128" s="179">
        <f>+C110</f>
        <v>0</v>
      </c>
      <c r="D128" s="179">
        <f>+D110</f>
        <v>0</v>
      </c>
      <c r="E128" s="179">
        <f>+E110</f>
        <v>62081.869816779174</v>
      </c>
      <c r="F128" s="179">
        <f>+F110</f>
        <v>40830</v>
      </c>
      <c r="G128" s="406">
        <f>+G110</f>
        <v>58442.664739884392</v>
      </c>
      <c r="H128" s="179">
        <f t="shared" ref="H128:P128" si="136">+H110</f>
        <v>33815</v>
      </c>
      <c r="I128" s="433">
        <f t="shared" si="136"/>
        <v>115371</v>
      </c>
      <c r="J128" s="179">
        <f t="shared" si="136"/>
        <v>14910.721883538919</v>
      </c>
      <c r="K128" s="179">
        <f t="shared" si="136"/>
        <v>18371.851883538919</v>
      </c>
      <c r="L128" s="179">
        <f t="shared" si="136"/>
        <v>18819.173540045085</v>
      </c>
      <c r="M128" s="179">
        <f t="shared" si="136"/>
        <v>19370.329096551253</v>
      </c>
      <c r="N128" s="179">
        <f t="shared" si="136"/>
        <v>19934.904302752606</v>
      </c>
      <c r="O128" s="179">
        <f t="shared" si="136"/>
        <v>20516.014175649147</v>
      </c>
      <c r="P128" s="179">
        <f t="shared" si="136"/>
        <v>21114.06130473172</v>
      </c>
    </row>
    <row r="129" spans="1:17" s="96" customFormat="1" x14ac:dyDescent="0.2">
      <c r="A129" s="64"/>
      <c r="B129" s="149" t="s">
        <v>190</v>
      </c>
      <c r="C129" s="178">
        <f>+'[17]Расчет ТЭЦ-4'!$P$381/1000-C126/12*7</f>
        <v>102340.95322670192</v>
      </c>
      <c r="D129" s="179">
        <f>IF(+C129+C126&gt;C127,C127,+C129+C126)</f>
        <v>132526.40604949865</v>
      </c>
      <c r="E129" s="179">
        <f t="shared" ref="E129:P129" si="137">IF(+D129+D126&gt;D127,D127,+D129+D126)</f>
        <v>162711.85887229536</v>
      </c>
      <c r="F129" s="179">
        <f t="shared" si="137"/>
        <v>192897.31169509207</v>
      </c>
      <c r="G129" s="406">
        <f t="shared" si="137"/>
        <v>229290.9514995667</v>
      </c>
      <c r="H129" s="179">
        <f t="shared" si="137"/>
        <v>269767.59130404133</v>
      </c>
      <c r="I129" s="433">
        <f t="shared" si="137"/>
        <v>316088.49758250441</v>
      </c>
      <c r="J129" s="179">
        <f t="shared" si="137"/>
        <v>365790.90386096749</v>
      </c>
      <c r="K129" s="179">
        <f t="shared" si="137"/>
        <v>427030.41013943055</v>
      </c>
      <c r="L129" s="179">
        <f t="shared" si="137"/>
        <v>489760.98860624753</v>
      </c>
      <c r="M129" s="179">
        <f t="shared" si="137"/>
        <v>554328.75226141838</v>
      </c>
      <c r="N129" s="179">
        <f t="shared" si="137"/>
        <v>620778.43327059376</v>
      </c>
      <c r="O129" s="179">
        <f t="shared" si="137"/>
        <v>689165.14718942426</v>
      </c>
      <c r="P129" s="179">
        <f t="shared" si="137"/>
        <v>759545.35153852997</v>
      </c>
    </row>
    <row r="130" spans="1:17" s="96" customFormat="1" x14ac:dyDescent="0.2">
      <c r="A130" s="64"/>
      <c r="B130" s="149" t="s">
        <v>189</v>
      </c>
      <c r="C130" s="174">
        <f>+C129/C127</f>
        <v>0.23470109399032799</v>
      </c>
      <c r="D130" s="174">
        <f t="shared" ref="D130:P130" si="138">+D129/D127</f>
        <v>0.30392615567614573</v>
      </c>
      <c r="E130" s="174">
        <f t="shared" si="138"/>
        <v>0.37315121736196338</v>
      </c>
      <c r="F130" s="174">
        <f t="shared" si="138"/>
        <v>0.38724297799265683</v>
      </c>
      <c r="G130" s="386">
        <f t="shared" si="138"/>
        <v>0.42543229122699083</v>
      </c>
      <c r="H130" s="174">
        <f t="shared" si="138"/>
        <v>0.45156750317519245</v>
      </c>
      <c r="I130" s="70">
        <f t="shared" si="138"/>
        <v>0.50075997207556089</v>
      </c>
      <c r="J130" s="174">
        <f t="shared" si="138"/>
        <v>0.48994977127775924</v>
      </c>
      <c r="K130" s="174">
        <f t="shared" si="138"/>
        <v>0.56077583952249355</v>
      </c>
      <c r="L130" s="174">
        <f t="shared" si="138"/>
        <v>0.62800244172516118</v>
      </c>
      <c r="M130" s="174">
        <f t="shared" si="138"/>
        <v>0.69404715885433577</v>
      </c>
      <c r="N130" s="174">
        <f t="shared" si="138"/>
        <v>0.7588415707825622</v>
      </c>
      <c r="O130" s="174">
        <f t="shared" si="138"/>
        <v>0.82239713401097725</v>
      </c>
      <c r="P130" s="174">
        <f t="shared" si="138"/>
        <v>0.88472348425963743</v>
      </c>
    </row>
    <row r="131" spans="1:17" s="96" customFormat="1" x14ac:dyDescent="0.2">
      <c r="A131" s="64">
        <v>32</v>
      </c>
      <c r="B131" s="149" t="s">
        <v>188</v>
      </c>
      <c r="C131" s="180">
        <f>IF(+C127+C128-C129-C126&lt;0,0,+C127+C128-C129-C126)</f>
        <v>303521.63909050135</v>
      </c>
      <c r="D131" s="180">
        <f t="shared" ref="D131:P131" si="139">IF(+D127+D128-D129-D126&lt;0,0,+D127+D128-D129-D126)</f>
        <v>273336.18626770464</v>
      </c>
      <c r="E131" s="180">
        <f t="shared" si="139"/>
        <v>305232.60326168709</v>
      </c>
      <c r="F131" s="180">
        <f t="shared" si="139"/>
        <v>309668.96345721255</v>
      </c>
      <c r="G131" s="404">
        <f t="shared" si="139"/>
        <v>327634.98839262238</v>
      </c>
      <c r="H131" s="180">
        <f t="shared" si="139"/>
        <v>315129.08211415925</v>
      </c>
      <c r="I131" s="434">
        <f t="shared" si="139"/>
        <v>380797.67583569617</v>
      </c>
      <c r="J131" s="180">
        <f t="shared" si="139"/>
        <v>334468.89144077199</v>
      </c>
      <c r="K131" s="180">
        <f t="shared" si="139"/>
        <v>290110.16485749389</v>
      </c>
      <c r="L131" s="180">
        <f t="shared" si="139"/>
        <v>244361.57474236807</v>
      </c>
      <c r="M131" s="180">
        <f t="shared" si="139"/>
        <v>197282.22282974399</v>
      </c>
      <c r="N131" s="180">
        <f t="shared" si="139"/>
        <v>148830.41321366606</v>
      </c>
      <c r="O131" s="180">
        <f t="shared" si="139"/>
        <v>98966.223040209472</v>
      </c>
      <c r="P131" s="180">
        <f t="shared" si="139"/>
        <v>47648.478578270602</v>
      </c>
    </row>
    <row r="132" spans="1:17" s="96" customFormat="1" x14ac:dyDescent="0.2">
      <c r="A132" s="64">
        <v>34</v>
      </c>
      <c r="B132" s="65" t="s">
        <v>11</v>
      </c>
      <c r="C132" s="199">
        <f>+'[17]Налог на имущество'!$D$78/1000</f>
        <v>6972.0323903076924</v>
      </c>
      <c r="D132" s="181">
        <f t="shared" ref="D132:P132" si="140">+D131*2.2%</f>
        <v>6013.3960978895029</v>
      </c>
      <c r="E132" s="181">
        <f t="shared" si="140"/>
        <v>6715.1172717571171</v>
      </c>
      <c r="F132" s="181">
        <f t="shared" si="140"/>
        <v>6812.7171960586766</v>
      </c>
      <c r="G132" s="407">
        <f t="shared" si="140"/>
        <v>7207.9697446376931</v>
      </c>
      <c r="H132" s="160">
        <f t="shared" si="140"/>
        <v>6932.8398065115043</v>
      </c>
      <c r="I132" s="181">
        <f t="shared" si="140"/>
        <v>8377.5488683853164</v>
      </c>
      <c r="J132" s="181">
        <f t="shared" si="140"/>
        <v>7358.315611696984</v>
      </c>
      <c r="K132" s="181">
        <f t="shared" si="140"/>
        <v>6382.4236268648665</v>
      </c>
      <c r="L132" s="181">
        <f t="shared" si="140"/>
        <v>5375.9546443320978</v>
      </c>
      <c r="M132" s="181">
        <f t="shared" si="140"/>
        <v>4340.2089022543678</v>
      </c>
      <c r="N132" s="181">
        <f t="shared" si="140"/>
        <v>3274.2690907006536</v>
      </c>
      <c r="O132" s="181">
        <f t="shared" si="140"/>
        <v>2177.2569068846087</v>
      </c>
      <c r="P132" s="181">
        <f t="shared" si="140"/>
        <v>1048.2665287219534</v>
      </c>
    </row>
    <row r="133" spans="1:17" s="96" customFormat="1" x14ac:dyDescent="0.2">
      <c r="A133" s="64">
        <v>35</v>
      </c>
      <c r="B133" s="65" t="s">
        <v>43</v>
      </c>
      <c r="C133" s="171"/>
      <c r="D133" s="171"/>
      <c r="E133" s="171"/>
      <c r="F133" s="171"/>
      <c r="G133" s="408"/>
      <c r="H133" s="449"/>
      <c r="I133" s="171"/>
      <c r="J133" s="171"/>
      <c r="K133" s="171"/>
      <c r="L133" s="171"/>
      <c r="M133" s="171"/>
      <c r="N133" s="171"/>
      <c r="O133" s="171"/>
      <c r="P133" s="171"/>
    </row>
    <row r="134" spans="1:17" s="96" customFormat="1" x14ac:dyDescent="0.2">
      <c r="A134" s="64">
        <v>36</v>
      </c>
      <c r="B134" s="65" t="s">
        <v>44</v>
      </c>
      <c r="C134" s="171"/>
      <c r="D134" s="171"/>
      <c r="E134" s="171"/>
      <c r="F134" s="171"/>
      <c r="G134" s="408"/>
      <c r="H134" s="449"/>
      <c r="I134" s="171"/>
      <c r="J134" s="171"/>
      <c r="K134" s="171"/>
      <c r="L134" s="171"/>
      <c r="M134" s="171"/>
      <c r="N134" s="171"/>
      <c r="O134" s="171"/>
      <c r="P134" s="171"/>
    </row>
    <row r="135" spans="1:17" s="96" customFormat="1" x14ac:dyDescent="0.2">
      <c r="A135" s="64">
        <v>37</v>
      </c>
      <c r="B135" s="65" t="s">
        <v>45</v>
      </c>
      <c r="C135" s="171"/>
      <c r="D135" s="171"/>
      <c r="E135" s="171"/>
      <c r="F135" s="171"/>
      <c r="G135" s="408"/>
      <c r="H135" s="449"/>
      <c r="I135" s="171"/>
      <c r="J135" s="171"/>
      <c r="K135" s="171"/>
      <c r="L135" s="171"/>
      <c r="M135" s="171"/>
      <c r="N135" s="171"/>
      <c r="O135" s="171"/>
      <c r="P135" s="171"/>
    </row>
    <row r="136" spans="1:17" s="96" customFormat="1" x14ac:dyDescent="0.2">
      <c r="A136" s="64">
        <v>38</v>
      </c>
      <c r="B136" s="129" t="s">
        <v>46</v>
      </c>
      <c r="C136" s="171"/>
      <c r="D136" s="171"/>
      <c r="E136" s="171"/>
      <c r="F136" s="171"/>
      <c r="G136" s="408"/>
      <c r="H136" s="449"/>
      <c r="I136" s="171"/>
      <c r="J136" s="171"/>
      <c r="K136" s="171"/>
      <c r="L136" s="171"/>
      <c r="M136" s="171"/>
      <c r="N136" s="171"/>
      <c r="O136" s="171"/>
      <c r="P136" s="171"/>
    </row>
    <row r="137" spans="1:17" s="96" customFormat="1" x14ac:dyDescent="0.2">
      <c r="A137" s="64">
        <v>39</v>
      </c>
      <c r="B137" s="129" t="s">
        <v>360</v>
      </c>
      <c r="C137" s="182">
        <f>C126+C132+C136</f>
        <v>37157.485213104403</v>
      </c>
      <c r="D137" s="182">
        <f t="shared" ref="D137:P137" si="141">D126+D132+D136</f>
        <v>36198.848920686214</v>
      </c>
      <c r="E137" s="182">
        <f t="shared" si="141"/>
        <v>36900.570094553826</v>
      </c>
      <c r="F137" s="182">
        <f t="shared" si="141"/>
        <v>43206.357000533302</v>
      </c>
      <c r="G137" s="409">
        <f t="shared" si="141"/>
        <v>47684.60954911232</v>
      </c>
      <c r="H137" s="450">
        <f t="shared" si="141"/>
        <v>53253.746084974569</v>
      </c>
      <c r="I137" s="182">
        <f t="shared" si="141"/>
        <v>58079.955146848384</v>
      </c>
      <c r="J137" s="182">
        <f t="shared" si="141"/>
        <v>68597.821890160048</v>
      </c>
      <c r="K137" s="182">
        <f t="shared" si="141"/>
        <v>69113.002093681818</v>
      </c>
      <c r="L137" s="182">
        <f t="shared" si="141"/>
        <v>69943.718299502943</v>
      </c>
      <c r="M137" s="182">
        <f t="shared" si="141"/>
        <v>70789.889911429724</v>
      </c>
      <c r="N137" s="182">
        <f t="shared" si="141"/>
        <v>71660.983009531134</v>
      </c>
      <c r="O137" s="182">
        <f t="shared" si="141"/>
        <v>72557.461255990347</v>
      </c>
      <c r="P137" s="182">
        <f t="shared" si="141"/>
        <v>73480.072295392616</v>
      </c>
    </row>
    <row r="138" spans="1:17" s="96" customFormat="1" x14ac:dyDescent="0.2">
      <c r="A138" s="64">
        <v>40</v>
      </c>
      <c r="B138" s="129" t="s">
        <v>13</v>
      </c>
      <c r="C138" s="172"/>
      <c r="D138" s="172"/>
      <c r="E138" s="172"/>
      <c r="F138" s="172"/>
      <c r="G138" s="410"/>
      <c r="H138" s="169"/>
      <c r="I138" s="172"/>
      <c r="J138" s="172"/>
      <c r="K138" s="172"/>
      <c r="L138" s="172"/>
      <c r="M138" s="172"/>
      <c r="N138" s="172"/>
      <c r="O138" s="172"/>
      <c r="P138" s="172"/>
    </row>
    <row r="139" spans="1:17" s="96" customFormat="1" x14ac:dyDescent="0.2">
      <c r="A139" s="64"/>
      <c r="B139" s="168"/>
      <c r="C139" s="169"/>
      <c r="D139" s="169"/>
      <c r="E139" s="169"/>
      <c r="F139" s="169"/>
      <c r="G139" s="411"/>
      <c r="H139" s="169"/>
      <c r="I139" s="172"/>
      <c r="J139" s="169"/>
      <c r="K139" s="169"/>
      <c r="L139" s="169"/>
      <c r="M139" s="169"/>
      <c r="N139" s="169"/>
      <c r="O139" s="169"/>
      <c r="P139" s="169"/>
    </row>
    <row r="140" spans="1:17" s="18" customFormat="1" ht="12" x14ac:dyDescent="0.2">
      <c r="A140" s="56"/>
      <c r="B140" s="256" t="s">
        <v>386</v>
      </c>
      <c r="C140" s="48"/>
      <c r="D140" s="28"/>
      <c r="E140" s="28"/>
      <c r="F140" s="28"/>
      <c r="G140" s="398"/>
      <c r="H140" s="26"/>
      <c r="I140" s="27"/>
      <c r="J140" s="28"/>
      <c r="K140" s="28"/>
      <c r="L140" s="28"/>
      <c r="M140" s="28"/>
      <c r="N140" s="28"/>
      <c r="O140" s="28"/>
      <c r="P140" s="28"/>
      <c r="Q140" s="17"/>
    </row>
    <row r="141" spans="1:17" s="139" customFormat="1" ht="22.5" x14ac:dyDescent="0.2">
      <c r="A141" s="64">
        <v>43</v>
      </c>
      <c r="B141" s="168" t="s">
        <v>231</v>
      </c>
      <c r="C141" s="189">
        <f>SUM(C142:C147)</f>
        <v>1724220.9137030363</v>
      </c>
      <c r="D141" s="189">
        <f t="shared" ref="D141:P141" si="142">SUM(D142:D147)</f>
        <v>1723028.9694466263</v>
      </c>
      <c r="E141" s="189">
        <f t="shared" si="142"/>
        <v>1879668.6695825041</v>
      </c>
      <c r="F141" s="189">
        <f t="shared" si="142"/>
        <v>1929846.1222111648</v>
      </c>
      <c r="G141" s="412">
        <f t="shared" si="142"/>
        <v>1969357.8509695998</v>
      </c>
      <c r="H141" s="189">
        <f t="shared" si="142"/>
        <v>2039727.3249180461</v>
      </c>
      <c r="I141" s="435">
        <f t="shared" si="142"/>
        <v>2137120.6087414953</v>
      </c>
      <c r="J141" s="189">
        <f t="shared" si="142"/>
        <v>2129210.0288322861</v>
      </c>
      <c r="K141" s="189">
        <f t="shared" si="142"/>
        <v>2192579.1765307505</v>
      </c>
      <c r="L141" s="189">
        <f t="shared" si="142"/>
        <v>2249103.3029301367</v>
      </c>
      <c r="M141" s="189">
        <f t="shared" si="142"/>
        <v>2265285.7308400306</v>
      </c>
      <c r="N141" s="189">
        <f t="shared" si="142"/>
        <v>2281851.3890739493</v>
      </c>
      <c r="O141" s="189">
        <f t="shared" si="142"/>
        <v>2314387.3267815108</v>
      </c>
      <c r="P141" s="189">
        <f t="shared" si="142"/>
        <v>2363375.7297418057</v>
      </c>
      <c r="Q141" s="96"/>
    </row>
    <row r="142" spans="1:17" s="139" customFormat="1" x14ac:dyDescent="0.2">
      <c r="A142" s="64" t="s">
        <v>79</v>
      </c>
      <c r="B142" s="149" t="s">
        <v>193</v>
      </c>
      <c r="C142" s="160">
        <f t="shared" ref="C142:P142" si="143">+C15*C92</f>
        <v>441642.08160999999</v>
      </c>
      <c r="D142" s="160">
        <f t="shared" si="143"/>
        <v>458964.03104472609</v>
      </c>
      <c r="E142" s="160">
        <f t="shared" si="143"/>
        <v>460537.00002885779</v>
      </c>
      <c r="F142" s="160">
        <f t="shared" si="143"/>
        <v>462115.35991784843</v>
      </c>
      <c r="G142" s="160">
        <f t="shared" si="143"/>
        <v>463699.12918749475</v>
      </c>
      <c r="H142" s="160">
        <f t="shared" si="143"/>
        <v>465288.32637691399</v>
      </c>
      <c r="I142" s="160">
        <f t="shared" si="143"/>
        <v>466882.97008876101</v>
      </c>
      <c r="J142" s="160">
        <f t="shared" si="143"/>
        <v>468483.07898944599</v>
      </c>
      <c r="K142" s="160">
        <f t="shared" si="143"/>
        <v>470088.67180935282</v>
      </c>
      <c r="L142" s="160">
        <f t="shared" si="143"/>
        <v>471699.76734305872</v>
      </c>
      <c r="M142" s="160">
        <f t="shared" si="143"/>
        <v>473316.38444955362</v>
      </c>
      <c r="N142" s="160">
        <f t="shared" si="143"/>
        <v>474938.54205246165</v>
      </c>
      <c r="O142" s="160">
        <f t="shared" si="143"/>
        <v>476566.25914026209</v>
      </c>
      <c r="P142" s="160">
        <f t="shared" si="143"/>
        <v>478199.55476651184</v>
      </c>
      <c r="Q142" s="96"/>
    </row>
    <row r="143" spans="1:17" s="139" customFormat="1" x14ac:dyDescent="0.2">
      <c r="A143" s="64" t="s">
        <v>80</v>
      </c>
      <c r="B143" s="149" t="s">
        <v>194</v>
      </c>
      <c r="C143" s="160">
        <f t="shared" ref="C143:P143" si="144">+C8*C90*12/1000</f>
        <v>112816.47862789102</v>
      </c>
      <c r="D143" s="160">
        <f t="shared" si="144"/>
        <v>119680.72483176664</v>
      </c>
      <c r="E143" s="160">
        <f t="shared" si="144"/>
        <v>124474.72305078099</v>
      </c>
      <c r="F143" s="160">
        <f t="shared" si="144"/>
        <v>129460.75235045778</v>
      </c>
      <c r="G143" s="160">
        <f t="shared" si="144"/>
        <v>134646.50483543618</v>
      </c>
      <c r="H143" s="160">
        <f t="shared" si="144"/>
        <v>128681.54880112151</v>
      </c>
      <c r="I143" s="160">
        <f t="shared" si="144"/>
        <v>137179.38692949741</v>
      </c>
      <c r="J143" s="160">
        <f t="shared" si="144"/>
        <v>145677.22505787341</v>
      </c>
      <c r="K143" s="160">
        <f t="shared" si="144"/>
        <v>151512.55366621941</v>
      </c>
      <c r="L143" s="160">
        <f t="shared" si="144"/>
        <v>157581.62546917837</v>
      </c>
      <c r="M143" s="160">
        <f t="shared" si="144"/>
        <v>163893.80341521392</v>
      </c>
      <c r="N143" s="160">
        <f t="shared" si="144"/>
        <v>170458.82550030301</v>
      </c>
      <c r="O143" s="160">
        <f t="shared" si="144"/>
        <v>177286.81979104967</v>
      </c>
      <c r="P143" s="160">
        <f t="shared" si="144"/>
        <v>184388.32004957265</v>
      </c>
      <c r="Q143" s="96"/>
    </row>
    <row r="144" spans="1:17" s="139" customFormat="1" x14ac:dyDescent="0.2">
      <c r="A144" s="64" t="s">
        <v>81</v>
      </c>
      <c r="B144" s="149" t="s">
        <v>36</v>
      </c>
      <c r="C144" s="160">
        <f t="shared" ref="C144:P144" si="145">+C96*C56</f>
        <v>1035277.2496796382</v>
      </c>
      <c r="D144" s="160">
        <f t="shared" si="145"/>
        <v>1007017.0722446336</v>
      </c>
      <c r="E144" s="160">
        <f t="shared" si="145"/>
        <v>1151795.1195243453</v>
      </c>
      <c r="F144" s="160">
        <f t="shared" si="145"/>
        <v>1206823.0141916936</v>
      </c>
      <c r="G144" s="402">
        <f t="shared" si="145"/>
        <v>1256826.4033145404</v>
      </c>
      <c r="H144" s="160">
        <f t="shared" si="145"/>
        <v>1348869.893456548</v>
      </c>
      <c r="I144" s="181">
        <f t="shared" si="145"/>
        <v>1452255.1456420976</v>
      </c>
      <c r="J144" s="160">
        <f t="shared" si="145"/>
        <v>1450107.6332088623</v>
      </c>
      <c r="K144" s="160">
        <f t="shared" si="145"/>
        <v>1495950.4939889333</v>
      </c>
      <c r="L144" s="160">
        <f t="shared" si="145"/>
        <v>1541793.3547690043</v>
      </c>
      <c r="M144" s="160">
        <f t="shared" si="145"/>
        <v>1546925.845412412</v>
      </c>
      <c r="N144" s="160">
        <f t="shared" si="145"/>
        <v>1552058.3360558196</v>
      </c>
      <c r="O144" s="160">
        <f t="shared" si="145"/>
        <v>1572762.7349662196</v>
      </c>
      <c r="P144" s="160">
        <f t="shared" si="145"/>
        <v>1609505.4815263825</v>
      </c>
      <c r="Q144" s="96"/>
    </row>
    <row r="145" spans="1:17" s="139" customFormat="1" x14ac:dyDescent="0.2">
      <c r="A145" s="64" t="s">
        <v>195</v>
      </c>
      <c r="B145" s="149" t="s">
        <v>269</v>
      </c>
      <c r="C145" s="516">
        <f>+C83*C102</f>
        <v>127742.27098550723</v>
      </c>
      <c r="D145" s="516">
        <f t="shared" ref="D145:P145" si="146">+D83*D102</f>
        <v>130354.5952135</v>
      </c>
      <c r="E145" s="516">
        <f t="shared" si="146"/>
        <v>135568.77902204002</v>
      </c>
      <c r="F145" s="516">
        <f t="shared" si="146"/>
        <v>123862.22587642563</v>
      </c>
      <c r="G145" s="516">
        <f t="shared" si="146"/>
        <v>106297.65296239968</v>
      </c>
      <c r="H145" s="516">
        <f t="shared" si="146"/>
        <v>88683.869186944808</v>
      </c>
      <c r="I145" s="516">
        <f t="shared" si="146"/>
        <v>72271.271500760573</v>
      </c>
      <c r="J145" s="516">
        <f t="shared" si="146"/>
        <v>56068.983612510761</v>
      </c>
      <c r="K145" s="516">
        <f t="shared" si="146"/>
        <v>65799.424784107701</v>
      </c>
      <c r="L145" s="516">
        <f t="shared" si="146"/>
        <v>68431.401775472012</v>
      </c>
      <c r="M145" s="516">
        <f t="shared" si="146"/>
        <v>71168.657846490896</v>
      </c>
      <c r="N145" s="516">
        <f t="shared" si="146"/>
        <v>74015.404160350532</v>
      </c>
      <c r="O145" s="516">
        <f t="shared" si="146"/>
        <v>76976.020326764556</v>
      </c>
      <c r="P145" s="516">
        <f t="shared" si="146"/>
        <v>80055.061139835147</v>
      </c>
      <c r="Q145" s="96"/>
    </row>
    <row r="146" spans="1:17" s="139" customFormat="1" x14ac:dyDescent="0.2">
      <c r="A146" s="64" t="s">
        <v>362</v>
      </c>
      <c r="B146" s="149" t="s">
        <v>270</v>
      </c>
      <c r="C146" s="257">
        <f>+[8]ГОД!$Z$29+[8]ГОД!$Z$33+[8]ГОД!$Z$35+[8]ГОД!$Z$36+[8]ГОД!$Z$37+[8]ГОД!$Z$38+[8]ГОД!$Z$39</f>
        <v>6742.8328000000001</v>
      </c>
      <c r="D146" s="160">
        <f t="shared" ref="D146:P146" si="147">+C146*(D106)</f>
        <v>7012.546112</v>
      </c>
      <c r="E146" s="160">
        <f t="shared" si="147"/>
        <v>7293.0479564799998</v>
      </c>
      <c r="F146" s="160">
        <f t="shared" si="147"/>
        <v>7584.7698747391996</v>
      </c>
      <c r="G146" s="160">
        <f t="shared" si="147"/>
        <v>7888.160669728768</v>
      </c>
      <c r="H146" s="160">
        <f t="shared" si="147"/>
        <v>8203.6870965179187</v>
      </c>
      <c r="I146" s="160">
        <f t="shared" si="147"/>
        <v>8531.834580378636</v>
      </c>
      <c r="J146" s="160">
        <f t="shared" si="147"/>
        <v>8873.1079635937822</v>
      </c>
      <c r="K146" s="160">
        <f t="shared" si="147"/>
        <v>9228.0322821375339</v>
      </c>
      <c r="L146" s="160">
        <f t="shared" si="147"/>
        <v>9597.1535734230347</v>
      </c>
      <c r="M146" s="160">
        <f t="shared" si="147"/>
        <v>9981.0397163599573</v>
      </c>
      <c r="N146" s="160">
        <f t="shared" si="147"/>
        <v>10380.281305014356</v>
      </c>
      <c r="O146" s="160">
        <f t="shared" si="147"/>
        <v>10795.492557214931</v>
      </c>
      <c r="P146" s="160">
        <f t="shared" si="147"/>
        <v>11227.312259503529</v>
      </c>
      <c r="Q146" s="96"/>
    </row>
    <row r="147" spans="1:17" s="139" customFormat="1" x14ac:dyDescent="0.2">
      <c r="A147" s="64"/>
      <c r="B147" s="149"/>
      <c r="C147" s="187"/>
      <c r="D147" s="186"/>
      <c r="E147" s="186"/>
      <c r="F147" s="186"/>
      <c r="G147" s="413"/>
      <c r="H147" s="186"/>
      <c r="I147" s="170"/>
      <c r="J147" s="186"/>
      <c r="K147" s="186"/>
      <c r="L147" s="186"/>
      <c r="M147" s="186"/>
      <c r="N147" s="186"/>
      <c r="O147" s="186"/>
      <c r="P147" s="186"/>
      <c r="Q147" s="96"/>
    </row>
    <row r="148" spans="1:17" s="139" customFormat="1" ht="22.5" x14ac:dyDescent="0.2">
      <c r="A148" s="64">
        <v>44</v>
      </c>
      <c r="B148" s="168" t="s">
        <v>232</v>
      </c>
      <c r="C148" s="193">
        <f>+C149+C157+C167</f>
        <v>1601063.2725081192</v>
      </c>
      <c r="D148" s="193">
        <f t="shared" ref="D148:P148" si="148">+D149+D157+D167</f>
        <v>1630099.6755977757</v>
      </c>
      <c r="E148" s="193">
        <f t="shared" si="148"/>
        <v>1724701.3381366394</v>
      </c>
      <c r="F148" s="193">
        <f t="shared" si="148"/>
        <v>1760457.4481906826</v>
      </c>
      <c r="G148" s="414">
        <f t="shared" si="148"/>
        <v>1788718.6613413552</v>
      </c>
      <c r="H148" s="193">
        <f t="shared" si="148"/>
        <v>1841837.1684937957</v>
      </c>
      <c r="I148" s="436">
        <f t="shared" si="148"/>
        <v>1887583.6630831305</v>
      </c>
      <c r="J148" s="193">
        <f t="shared" si="148"/>
        <v>1953041.0756714288</v>
      </c>
      <c r="K148" s="193">
        <f t="shared" si="148"/>
        <v>2040883.5630427909</v>
      </c>
      <c r="L148" s="193">
        <f t="shared" si="148"/>
        <v>2132707.8125279481</v>
      </c>
      <c r="M148" s="193">
        <f t="shared" si="148"/>
        <v>2200940.5902636503</v>
      </c>
      <c r="N148" s="193">
        <f t="shared" si="148"/>
        <v>2271511.7279683976</v>
      </c>
      <c r="O148" s="193">
        <f t="shared" si="148"/>
        <v>2344502.0322646606</v>
      </c>
      <c r="P148" s="193">
        <f t="shared" si="148"/>
        <v>2419995.4115688191</v>
      </c>
      <c r="Q148" s="96"/>
    </row>
    <row r="149" spans="1:17" s="18" customFormat="1" x14ac:dyDescent="0.2">
      <c r="A149" s="56" t="s">
        <v>156</v>
      </c>
      <c r="B149" s="6" t="s">
        <v>157</v>
      </c>
      <c r="C149" s="193">
        <f>SUM(C150:C156)</f>
        <v>247058.2283048837</v>
      </c>
      <c r="D149" s="193">
        <f t="shared" ref="D149:P149" si="149">SUM(D150:D156)</f>
        <v>280535.78801542782</v>
      </c>
      <c r="E149" s="193">
        <f t="shared" si="149"/>
        <v>291757.21953604498</v>
      </c>
      <c r="F149" s="193">
        <f t="shared" si="149"/>
        <v>303427.50831748679</v>
      </c>
      <c r="G149" s="414">
        <f t="shared" si="149"/>
        <v>315564.60865018622</v>
      </c>
      <c r="H149" s="193">
        <f t="shared" si="149"/>
        <v>328187.19299619377</v>
      </c>
      <c r="I149" s="436">
        <f t="shared" si="149"/>
        <v>341314.68071604148</v>
      </c>
      <c r="J149" s="193">
        <f t="shared" si="149"/>
        <v>354967.2679446832</v>
      </c>
      <c r="K149" s="193">
        <f t="shared" si="149"/>
        <v>369165.95866247045</v>
      </c>
      <c r="L149" s="193">
        <f t="shared" si="149"/>
        <v>383932.59700896929</v>
      </c>
      <c r="M149" s="193">
        <f t="shared" si="149"/>
        <v>399289.9008893281</v>
      </c>
      <c r="N149" s="193">
        <f t="shared" si="149"/>
        <v>415261.49692490126</v>
      </c>
      <c r="O149" s="193">
        <f t="shared" si="149"/>
        <v>431871.95680189726</v>
      </c>
      <c r="P149" s="193">
        <f t="shared" si="149"/>
        <v>449146.83507397317</v>
      </c>
      <c r="Q149" s="17"/>
    </row>
    <row r="150" spans="1:17" x14ac:dyDescent="0.2">
      <c r="A150" s="2"/>
      <c r="B150" s="334" t="s">
        <v>196</v>
      </c>
      <c r="C150" s="194">
        <f>+'[4]+Оп_i0'!$G$6+'[4]+Оп_i0'!$K$6</f>
        <v>18110.308251782917</v>
      </c>
      <c r="D150" s="194">
        <f>+'[4]+Оп_i0'!$R$6+'[4]+Оп_i0'!$V$6</f>
        <v>18788.830561091567</v>
      </c>
      <c r="E150" s="160">
        <f>+D150*E$106</f>
        <v>19540.383783535231</v>
      </c>
      <c r="F150" s="160">
        <f t="shared" ref="F150:P150" si="150">+E150*F$106</f>
        <v>20321.999134876642</v>
      </c>
      <c r="G150" s="160">
        <f t="shared" si="150"/>
        <v>21134.879100271708</v>
      </c>
      <c r="H150" s="160">
        <f t="shared" si="150"/>
        <v>21980.274264282576</v>
      </c>
      <c r="I150" s="160">
        <f t="shared" si="150"/>
        <v>22859.485234853881</v>
      </c>
      <c r="J150" s="160">
        <f t="shared" si="150"/>
        <v>23773.864644248039</v>
      </c>
      <c r="K150" s="160">
        <f t="shared" si="150"/>
        <v>24724.819230017962</v>
      </c>
      <c r="L150" s="160">
        <f t="shared" si="150"/>
        <v>25713.81199921868</v>
      </c>
      <c r="M150" s="160">
        <f t="shared" si="150"/>
        <v>26742.364479187429</v>
      </c>
      <c r="N150" s="160">
        <f t="shared" si="150"/>
        <v>27812.059058354927</v>
      </c>
      <c r="O150" s="160">
        <f t="shared" si="150"/>
        <v>28924.541420689126</v>
      </c>
      <c r="P150" s="160">
        <f t="shared" si="150"/>
        <v>30081.523077516693</v>
      </c>
    </row>
    <row r="151" spans="1:17" x14ac:dyDescent="0.2">
      <c r="A151" s="2"/>
      <c r="B151" s="191" t="s">
        <v>456</v>
      </c>
      <c r="C151" s="194">
        <f>+'[4]+Оп_i0'!$G$12+'[4]+Оп_i0'!$K$12</f>
        <v>64798.381849999998</v>
      </c>
      <c r="D151" s="194">
        <f>+'[4]+Оп_i0'!$R$12+'[4]+Оп_i0'!$V$12</f>
        <v>80646.767848310337</v>
      </c>
      <c r="E151" s="160">
        <f t="shared" ref="E151:P158" si="151">+D151*E$106</f>
        <v>83872.638562242748</v>
      </c>
      <c r="F151" s="160">
        <f t="shared" si="151"/>
        <v>87227.544104732457</v>
      </c>
      <c r="G151" s="160">
        <f t="shared" si="151"/>
        <v>90716.645868921754</v>
      </c>
      <c r="H151" s="160">
        <f t="shared" si="151"/>
        <v>94345.311703678628</v>
      </c>
      <c r="I151" s="160">
        <f t="shared" si="151"/>
        <v>98119.124171825781</v>
      </c>
      <c r="J151" s="160">
        <f t="shared" si="151"/>
        <v>102043.88913869881</v>
      </c>
      <c r="K151" s="160">
        <f t="shared" si="151"/>
        <v>106125.64470424676</v>
      </c>
      <c r="L151" s="160">
        <f t="shared" si="151"/>
        <v>110370.67049241664</v>
      </c>
      <c r="M151" s="160">
        <f t="shared" si="151"/>
        <v>114785.49731211331</v>
      </c>
      <c r="N151" s="160">
        <f t="shared" si="151"/>
        <v>119376.91720459785</v>
      </c>
      <c r="O151" s="160">
        <f t="shared" si="151"/>
        <v>124151.99389278177</v>
      </c>
      <c r="P151" s="160">
        <f t="shared" si="151"/>
        <v>129118.07364849305</v>
      </c>
    </row>
    <row r="152" spans="1:17" x14ac:dyDescent="0.2">
      <c r="A152" s="2"/>
      <c r="B152" s="191" t="s">
        <v>197</v>
      </c>
      <c r="C152" s="194">
        <f>+'[4]+Оп_i0'!$G$16+'[4]+Оп_i0'!$K$16</f>
        <v>130597.05735126458</v>
      </c>
      <c r="D152" s="194">
        <f>+'[4]+Оп_i0'!$R$16+'[4]+Оп_i0'!$V$16</f>
        <v>149906.63453017719</v>
      </c>
      <c r="E152" s="160">
        <f t="shared" si="151"/>
        <v>155902.8999113843</v>
      </c>
      <c r="F152" s="160">
        <f t="shared" si="151"/>
        <v>162139.01590783967</v>
      </c>
      <c r="G152" s="160">
        <f t="shared" si="151"/>
        <v>168624.57654415327</v>
      </c>
      <c r="H152" s="160">
        <f t="shared" si="151"/>
        <v>175369.55960591941</v>
      </c>
      <c r="I152" s="160">
        <f t="shared" si="151"/>
        <v>182384.34199015619</v>
      </c>
      <c r="J152" s="160">
        <f t="shared" si="151"/>
        <v>189679.71566976243</v>
      </c>
      <c r="K152" s="160">
        <f t="shared" si="151"/>
        <v>197266.90429655294</v>
      </c>
      <c r="L152" s="160">
        <f t="shared" si="151"/>
        <v>205157.58046841505</v>
      </c>
      <c r="M152" s="160">
        <f t="shared" si="151"/>
        <v>213363.88368715165</v>
      </c>
      <c r="N152" s="160">
        <f t="shared" si="151"/>
        <v>221898.43903463773</v>
      </c>
      <c r="O152" s="160">
        <f t="shared" si="151"/>
        <v>230774.37659602324</v>
      </c>
      <c r="P152" s="160">
        <f t="shared" si="151"/>
        <v>240005.35165986419</v>
      </c>
    </row>
    <row r="153" spans="1:17" ht="22.5" x14ac:dyDescent="0.2">
      <c r="A153" s="2"/>
      <c r="B153" s="334" t="s">
        <v>198</v>
      </c>
      <c r="C153" s="194">
        <f>+'[4]+Оп_i0'!$G$17+'[4]+Оп_i0'!$K$17</f>
        <v>12977.990141451563</v>
      </c>
      <c r="D153" s="194">
        <f>+'[4]+Оп_i0'!$R$17+'[4]+Оп_i0'!$V$17</f>
        <v>13464.224595251962</v>
      </c>
      <c r="E153" s="160">
        <f t="shared" si="151"/>
        <v>14002.793579062041</v>
      </c>
      <c r="F153" s="160">
        <f t="shared" si="151"/>
        <v>14562.905322224524</v>
      </c>
      <c r="G153" s="160">
        <f t="shared" si="151"/>
        <v>15145.421535113504</v>
      </c>
      <c r="H153" s="160">
        <f t="shared" si="151"/>
        <v>15751.238396518045</v>
      </c>
      <c r="I153" s="160">
        <f t="shared" si="151"/>
        <v>16381.287932378767</v>
      </c>
      <c r="J153" s="160">
        <f t="shared" si="151"/>
        <v>17036.539449673917</v>
      </c>
      <c r="K153" s="160">
        <f t="shared" si="151"/>
        <v>17718.001027660874</v>
      </c>
      <c r="L153" s="160">
        <f t="shared" si="151"/>
        <v>18426.72106876731</v>
      </c>
      <c r="M153" s="160">
        <f t="shared" si="151"/>
        <v>19163.789911518004</v>
      </c>
      <c r="N153" s="160">
        <f t="shared" si="151"/>
        <v>19930.341507978726</v>
      </c>
      <c r="O153" s="160">
        <f t="shared" si="151"/>
        <v>20727.555168297877</v>
      </c>
      <c r="P153" s="160">
        <f t="shared" si="151"/>
        <v>21556.657375029794</v>
      </c>
    </row>
    <row r="154" spans="1:17" ht="22.5" x14ac:dyDescent="0.2">
      <c r="A154" s="2"/>
      <c r="B154" s="334" t="s">
        <v>199</v>
      </c>
      <c r="C154" s="194">
        <f>+'[4]+Оп_i0'!$G$25+'[4]+Оп_i0'!$K$25</f>
        <v>8532.119745456097</v>
      </c>
      <c r="D154" s="194">
        <f>+'[4]+Оп_i0'!$R$25+'[4]+Оп_i0'!$V$25</f>
        <v>10363.318318792388</v>
      </c>
      <c r="E154" s="160">
        <f t="shared" si="151"/>
        <v>10777.851051544083</v>
      </c>
      <c r="F154" s="160">
        <f t="shared" si="151"/>
        <v>11208.965093605846</v>
      </c>
      <c r="G154" s="160">
        <f t="shared" si="151"/>
        <v>11657.323697350081</v>
      </c>
      <c r="H154" s="160">
        <f t="shared" si="151"/>
        <v>12123.616645244085</v>
      </c>
      <c r="I154" s="160">
        <f t="shared" si="151"/>
        <v>12608.561311053849</v>
      </c>
      <c r="J154" s="160">
        <f t="shared" si="151"/>
        <v>13112.903763496004</v>
      </c>
      <c r="K154" s="160">
        <f t="shared" si="151"/>
        <v>13637.419914035845</v>
      </c>
      <c r="L154" s="160">
        <f t="shared" si="151"/>
        <v>14182.916710597279</v>
      </c>
      <c r="M154" s="160">
        <f t="shared" si="151"/>
        <v>14750.233379021171</v>
      </c>
      <c r="N154" s="160">
        <f t="shared" si="151"/>
        <v>15340.242714182017</v>
      </c>
      <c r="O154" s="160">
        <f t="shared" si="151"/>
        <v>15953.852422749298</v>
      </c>
      <c r="P154" s="160">
        <f t="shared" si="151"/>
        <v>16592.00651965927</v>
      </c>
    </row>
    <row r="155" spans="1:17" x14ac:dyDescent="0.2">
      <c r="A155" s="2"/>
      <c r="B155" s="191" t="str">
        <f>+'[14]5.1.Опер_i0'!$B$19</f>
        <v>Арендная плата</v>
      </c>
      <c r="C155" s="194">
        <f>+'[4]+Оп_i0'!$G$36+'[4]+Оп_i0'!$K$36</f>
        <v>1561.8045374707144</v>
      </c>
      <c r="D155" s="194">
        <f>+'[4]+Оп_i0'!$R$36+'[4]+Оп_i0'!$V$36</f>
        <v>3041.775944793204</v>
      </c>
      <c r="E155" s="160">
        <f t="shared" si="151"/>
        <v>3163.4469825849324</v>
      </c>
      <c r="F155" s="160">
        <f t="shared" si="151"/>
        <v>3289.9848618883298</v>
      </c>
      <c r="G155" s="160">
        <f t="shared" si="151"/>
        <v>3421.584256363863</v>
      </c>
      <c r="H155" s="160">
        <f t="shared" si="151"/>
        <v>3558.4476266184179</v>
      </c>
      <c r="I155" s="160">
        <f t="shared" si="151"/>
        <v>3700.7855316831547</v>
      </c>
      <c r="J155" s="160">
        <f t="shared" si="151"/>
        <v>3848.8169529504808</v>
      </c>
      <c r="K155" s="160">
        <f t="shared" si="151"/>
        <v>4002.7696310685001</v>
      </c>
      <c r="L155" s="160">
        <f t="shared" si="151"/>
        <v>4162.88041631124</v>
      </c>
      <c r="M155" s="160">
        <f t="shared" si="151"/>
        <v>4329.3956329636894</v>
      </c>
      <c r="N155" s="160">
        <f t="shared" si="151"/>
        <v>4502.5714582822375</v>
      </c>
      <c r="O155" s="160">
        <f t="shared" si="151"/>
        <v>4682.6743166135275</v>
      </c>
      <c r="P155" s="160">
        <f t="shared" si="151"/>
        <v>4869.9812892780692</v>
      </c>
    </row>
    <row r="156" spans="1:17" x14ac:dyDescent="0.2">
      <c r="A156" s="2"/>
      <c r="B156" s="44" t="s">
        <v>126</v>
      </c>
      <c r="C156" s="194">
        <f>+'[4]+Оп_i0'!$G$33+'[4]+Оп_i0'!$G$34+'[4]+Оп_i0'!$G$37+'[4]+Оп_i0'!$K$33+'[4]+Оп_i0'!$K$34+'[4]+Оп_i0'!$K$37</f>
        <v>10480.566427457834</v>
      </c>
      <c r="D156" s="194">
        <f>+'[4]+Оп_i0'!$R$33+'[4]+Оп_i0'!$R$34+'[4]+Оп_i0'!$R$37+'[4]+Оп_i0'!$V$33+'[4]+Оп_i0'!$V$34+'[4]+Оп_i0'!$V$37</f>
        <v>4324.2362170111846</v>
      </c>
      <c r="E156" s="160">
        <f t="shared" si="151"/>
        <v>4497.205665691632</v>
      </c>
      <c r="F156" s="160">
        <f t="shared" si="151"/>
        <v>4677.0938923192971</v>
      </c>
      <c r="G156" s="160">
        <f t="shared" si="151"/>
        <v>4864.1776480120689</v>
      </c>
      <c r="H156" s="160">
        <f t="shared" si="151"/>
        <v>5058.7447539325522</v>
      </c>
      <c r="I156" s="160">
        <f t="shared" si="151"/>
        <v>5261.094544089854</v>
      </c>
      <c r="J156" s="160">
        <f t="shared" si="151"/>
        <v>5471.5383258534484</v>
      </c>
      <c r="K156" s="160">
        <f t="shared" si="151"/>
        <v>5690.3998588875866</v>
      </c>
      <c r="L156" s="160">
        <f t="shared" si="151"/>
        <v>5918.0158532430905</v>
      </c>
      <c r="M156" s="160">
        <f t="shared" si="151"/>
        <v>6154.7364873728147</v>
      </c>
      <c r="N156" s="160">
        <f t="shared" si="151"/>
        <v>6400.9259468677274</v>
      </c>
      <c r="O156" s="160">
        <f t="shared" si="151"/>
        <v>6656.9629847424367</v>
      </c>
      <c r="P156" s="160">
        <f t="shared" si="151"/>
        <v>6923.2415041321347</v>
      </c>
    </row>
    <row r="157" spans="1:17" s="18" customFormat="1" x14ac:dyDescent="0.2">
      <c r="A157" s="56" t="s">
        <v>158</v>
      </c>
      <c r="B157" s="6" t="s">
        <v>159</v>
      </c>
      <c r="C157" s="193">
        <f>SUM(C158:C166)</f>
        <v>108529.11265029213</v>
      </c>
      <c r="D157" s="193">
        <f t="shared" ref="D157:P157" si="152">SUM(D158:D166)</f>
        <v>116216.12375248058</v>
      </c>
      <c r="E157" s="193">
        <f t="shared" si="152"/>
        <v>119524.99319776859</v>
      </c>
      <c r="F157" s="193">
        <f t="shared" si="152"/>
        <v>128542.21430602527</v>
      </c>
      <c r="G157" s="414">
        <f t="shared" si="152"/>
        <v>135840.35842497257</v>
      </c>
      <c r="H157" s="193">
        <f t="shared" si="152"/>
        <v>144342.18219401786</v>
      </c>
      <c r="I157" s="436">
        <f t="shared" si="152"/>
        <v>152218.38597840202</v>
      </c>
      <c r="J157" s="193">
        <f t="shared" si="152"/>
        <v>165908.24723312445</v>
      </c>
      <c r="K157" s="193">
        <f t="shared" si="152"/>
        <v>169722.30172851341</v>
      </c>
      <c r="L157" s="193">
        <f t="shared" si="152"/>
        <v>173983.8471978764</v>
      </c>
      <c r="M157" s="193">
        <f t="shared" si="152"/>
        <v>178398.08124388673</v>
      </c>
      <c r="N157" s="193">
        <f t="shared" si="152"/>
        <v>182979.95927343506</v>
      </c>
      <c r="O157" s="193">
        <f t="shared" si="152"/>
        <v>187735.65384859903</v>
      </c>
      <c r="P157" s="193">
        <f t="shared" si="152"/>
        <v>192671.84986985425</v>
      </c>
      <c r="Q157" s="17"/>
    </row>
    <row r="158" spans="1:17" ht="22.5" x14ac:dyDescent="0.2">
      <c r="A158" s="2"/>
      <c r="B158" s="335" t="s">
        <v>202</v>
      </c>
      <c r="C158" s="194">
        <f>+'[4]+Рег'!$E$24</f>
        <v>5564.0688200000004</v>
      </c>
      <c r="D158" s="159">
        <f>+'[4]+Рег'!$H$24</f>
        <v>5564.0688200000004</v>
      </c>
      <c r="E158" s="160">
        <f t="shared" si="151"/>
        <v>5786.6315728000009</v>
      </c>
      <c r="F158" s="160">
        <f t="shared" si="151"/>
        <v>6018.0968357120009</v>
      </c>
      <c r="G158" s="160">
        <f t="shared" si="151"/>
        <v>6258.8207091404811</v>
      </c>
      <c r="H158" s="160">
        <f t="shared" si="151"/>
        <v>6509.1735375061007</v>
      </c>
      <c r="I158" s="160">
        <f t="shared" si="151"/>
        <v>6769.5404790063449</v>
      </c>
      <c r="J158" s="160">
        <f t="shared" si="151"/>
        <v>7040.3220981665991</v>
      </c>
      <c r="K158" s="160">
        <f t="shared" si="151"/>
        <v>7321.934982093263</v>
      </c>
      <c r="L158" s="160">
        <f t="shared" si="151"/>
        <v>7614.8123813769935</v>
      </c>
      <c r="M158" s="160">
        <f t="shared" si="151"/>
        <v>7919.4048766320739</v>
      </c>
      <c r="N158" s="160">
        <f t="shared" si="151"/>
        <v>8236.1810716973578</v>
      </c>
      <c r="O158" s="160">
        <f t="shared" si="151"/>
        <v>8565.6283145652524</v>
      </c>
      <c r="P158" s="160">
        <f t="shared" si="151"/>
        <v>8908.253447147863</v>
      </c>
    </row>
    <row r="159" spans="1:17" x14ac:dyDescent="0.2">
      <c r="A159" s="2"/>
      <c r="B159" s="335" t="str">
        <f>+[15]ГОД!$B$54</f>
        <v>Услуги операторов рынка</v>
      </c>
      <c r="C159" s="194">
        <f>+[15]ГОД!$BJ$54</f>
        <v>9927.4260200000008</v>
      </c>
      <c r="D159" s="159">
        <f>+[9]ГОД!$X$108</f>
        <v>12504.82598</v>
      </c>
      <c r="E159" s="160">
        <f t="shared" ref="E159" si="153">+D159*E$106</f>
        <v>13005.019019200001</v>
      </c>
      <c r="F159" s="160">
        <f t="shared" ref="F159" si="154">+E159*F$106</f>
        <v>13525.219779968002</v>
      </c>
      <c r="G159" s="160">
        <f t="shared" ref="G159" si="155">+F159*G$106</f>
        <v>14066.228571166723</v>
      </c>
      <c r="H159" s="160">
        <f t="shared" ref="H159" si="156">+G159*H$106</f>
        <v>14628.877714013392</v>
      </c>
      <c r="I159" s="160">
        <f t="shared" ref="I159" si="157">+H159*I$106</f>
        <v>15214.032822573929</v>
      </c>
      <c r="J159" s="160">
        <f t="shared" ref="J159" si="158">+I159*J$106</f>
        <v>15822.594135476886</v>
      </c>
      <c r="K159" s="160">
        <f t="shared" ref="K159" si="159">+J159*K$106</f>
        <v>16455.49790089596</v>
      </c>
      <c r="L159" s="160">
        <f t="shared" ref="L159" si="160">+K159*L$106</f>
        <v>17113.717816931799</v>
      </c>
      <c r="M159" s="160">
        <f t="shared" ref="M159" si="161">+L159*M$106</f>
        <v>17798.266529609071</v>
      </c>
      <c r="N159" s="160">
        <f t="shared" ref="N159" si="162">+M159*N$106</f>
        <v>18510.197190793435</v>
      </c>
      <c r="O159" s="160">
        <f t="shared" ref="O159" si="163">+N159*O$106</f>
        <v>19250.605078425175</v>
      </c>
      <c r="P159" s="160">
        <f t="shared" ref="P159" si="164">+O159*P$106</f>
        <v>20020.629281562182</v>
      </c>
    </row>
    <row r="160" spans="1:17" x14ac:dyDescent="0.2">
      <c r="A160" s="2"/>
      <c r="B160" s="191" t="str">
        <f>+B155</f>
        <v>Арендная плата</v>
      </c>
      <c r="C160" s="158"/>
      <c r="D160" s="158"/>
      <c r="E160" s="158"/>
      <c r="F160" s="158"/>
      <c r="G160" s="403"/>
      <c r="H160" s="158"/>
      <c r="I160" s="431"/>
      <c r="J160" s="158"/>
      <c r="K160" s="158"/>
      <c r="L160" s="158"/>
      <c r="M160" s="158"/>
      <c r="N160" s="158"/>
      <c r="O160" s="158"/>
      <c r="P160" s="158"/>
    </row>
    <row r="161" spans="1:18" x14ac:dyDescent="0.2">
      <c r="A161" s="2"/>
      <c r="B161" s="44" t="s">
        <v>200</v>
      </c>
      <c r="C161" s="194">
        <f>+'[4]+А,С,Н'!$G$13+'[4]+А,С,Н'!$K$13</f>
        <v>7623.6980000000003</v>
      </c>
      <c r="D161" s="159">
        <f>+C161</f>
        <v>7623.6980000000003</v>
      </c>
      <c r="E161" s="160">
        <f>+D161</f>
        <v>7623.6980000000003</v>
      </c>
      <c r="F161" s="160">
        <f t="shared" ref="F161:P161" si="165">+E161</f>
        <v>7623.6980000000003</v>
      </c>
      <c r="G161" s="402">
        <f t="shared" si="165"/>
        <v>7623.6980000000003</v>
      </c>
      <c r="H161" s="160">
        <f t="shared" si="165"/>
        <v>7623.6980000000003</v>
      </c>
      <c r="I161" s="181">
        <f t="shared" si="165"/>
        <v>7623.6980000000003</v>
      </c>
      <c r="J161" s="160">
        <f t="shared" si="165"/>
        <v>7623.6980000000003</v>
      </c>
      <c r="K161" s="160">
        <f t="shared" si="165"/>
        <v>7623.6980000000003</v>
      </c>
      <c r="L161" s="160">
        <f t="shared" si="165"/>
        <v>7623.6980000000003</v>
      </c>
      <c r="M161" s="160">
        <f t="shared" si="165"/>
        <v>7623.6980000000003</v>
      </c>
      <c r="N161" s="160">
        <f t="shared" si="165"/>
        <v>7623.6980000000003</v>
      </c>
      <c r="O161" s="160">
        <f t="shared" si="165"/>
        <v>7623.6980000000003</v>
      </c>
      <c r="P161" s="160">
        <f t="shared" si="165"/>
        <v>7623.6980000000003</v>
      </c>
    </row>
    <row r="162" spans="1:18" x14ac:dyDescent="0.2">
      <c r="A162" s="2"/>
      <c r="B162" s="44" t="s">
        <v>34</v>
      </c>
      <c r="C162" s="192">
        <f t="shared" ref="C162:P162" si="166">+C132</f>
        <v>6972.0323903076924</v>
      </c>
      <c r="D162" s="192">
        <f t="shared" si="166"/>
        <v>6013.3960978895029</v>
      </c>
      <c r="E162" s="192">
        <f t="shared" si="166"/>
        <v>6715.1172717571171</v>
      </c>
      <c r="F162" s="192">
        <f t="shared" si="166"/>
        <v>6812.7171960586766</v>
      </c>
      <c r="G162" s="415">
        <f t="shared" si="166"/>
        <v>7207.9697446376931</v>
      </c>
      <c r="H162" s="192">
        <f t="shared" si="166"/>
        <v>6932.8398065115043</v>
      </c>
      <c r="I162" s="437">
        <f t="shared" si="166"/>
        <v>8377.5488683853164</v>
      </c>
      <c r="J162" s="192">
        <f t="shared" si="166"/>
        <v>7358.315611696984</v>
      </c>
      <c r="K162" s="192">
        <f t="shared" si="166"/>
        <v>6382.4236268648665</v>
      </c>
      <c r="L162" s="192">
        <f t="shared" si="166"/>
        <v>5375.9546443320978</v>
      </c>
      <c r="M162" s="192">
        <f t="shared" si="166"/>
        <v>4340.2089022543678</v>
      </c>
      <c r="N162" s="192">
        <f t="shared" si="166"/>
        <v>3274.2690907006536</v>
      </c>
      <c r="O162" s="192">
        <f t="shared" si="166"/>
        <v>2177.2569068846087</v>
      </c>
      <c r="P162" s="192">
        <f t="shared" si="166"/>
        <v>1048.2665287219534</v>
      </c>
    </row>
    <row r="163" spans="1:18" x14ac:dyDescent="0.2">
      <c r="A163" s="2"/>
      <c r="B163" s="44" t="s">
        <v>38</v>
      </c>
      <c r="C163" s="472">
        <f>+C152*$R163</f>
        <v>41041.564550903051</v>
      </c>
      <c r="D163" s="472">
        <f t="shared" ref="D163:P163" si="167">+D152*$R163</f>
        <v>47109.811985509688</v>
      </c>
      <c r="E163" s="472">
        <f t="shared" si="167"/>
        <v>48994.204464930081</v>
      </c>
      <c r="F163" s="472">
        <f t="shared" si="167"/>
        <v>50953.972643527282</v>
      </c>
      <c r="G163" s="472">
        <f t="shared" si="167"/>
        <v>52992.131549268379</v>
      </c>
      <c r="H163" s="472">
        <f t="shared" si="167"/>
        <v>55111.816811239114</v>
      </c>
      <c r="I163" s="472">
        <f t="shared" si="167"/>
        <v>57316.289483688677</v>
      </c>
      <c r="J163" s="472">
        <f t="shared" si="167"/>
        <v>59608.941063036225</v>
      </c>
      <c r="K163" s="472">
        <f t="shared" si="167"/>
        <v>61993.298705557674</v>
      </c>
      <c r="L163" s="472">
        <f t="shared" si="167"/>
        <v>64473.030653779984</v>
      </c>
      <c r="M163" s="472">
        <f t="shared" si="167"/>
        <v>67051.951879931177</v>
      </c>
      <c r="N163" s="472">
        <f t="shared" si="167"/>
        <v>69734.029955128441</v>
      </c>
      <c r="O163" s="472">
        <f t="shared" si="167"/>
        <v>72523.391153333578</v>
      </c>
      <c r="P163" s="472">
        <f t="shared" si="167"/>
        <v>75424.326799466915</v>
      </c>
      <c r="R163" s="45">
        <f>+[15]ГОД!$AK$51/[15]ГОД!$AK$49</f>
        <v>0.31426102075573026</v>
      </c>
    </row>
    <row r="164" spans="1:18" x14ac:dyDescent="0.2">
      <c r="A164" s="2"/>
      <c r="B164" s="44" t="s">
        <v>203</v>
      </c>
      <c r="C164" s="194">
        <f>+'[4]+А,С,Н'!$G$17+'[4]+А,С,Н'!$G$21+'[4]+А,С,Н'!$K$17+'[4]+А,С,Н'!$K$21</f>
        <v>7214.8700462846809</v>
      </c>
      <c r="D164" s="159">
        <f>+C164</f>
        <v>7214.8700462846809</v>
      </c>
      <c r="E164" s="160">
        <f>+D164</f>
        <v>7214.8700462846809</v>
      </c>
      <c r="F164" s="160">
        <f t="shared" ref="F164:P164" si="168">+E164</f>
        <v>7214.8700462846809</v>
      </c>
      <c r="G164" s="402">
        <f t="shared" si="168"/>
        <v>7214.8700462846809</v>
      </c>
      <c r="H164" s="160">
        <f t="shared" si="168"/>
        <v>7214.8700462846809</v>
      </c>
      <c r="I164" s="181">
        <f t="shared" si="168"/>
        <v>7214.8700462846809</v>
      </c>
      <c r="J164" s="160">
        <f t="shared" si="168"/>
        <v>7214.8700462846809</v>
      </c>
      <c r="K164" s="160">
        <f t="shared" si="168"/>
        <v>7214.8700462846809</v>
      </c>
      <c r="L164" s="160">
        <f t="shared" si="168"/>
        <v>7214.8700462846809</v>
      </c>
      <c r="M164" s="160">
        <f t="shared" si="168"/>
        <v>7214.8700462846809</v>
      </c>
      <c r="N164" s="160">
        <f t="shared" si="168"/>
        <v>7214.8700462846809</v>
      </c>
      <c r="O164" s="160">
        <f t="shared" si="168"/>
        <v>7214.8700462846809</v>
      </c>
      <c r="P164" s="160">
        <f t="shared" si="168"/>
        <v>7214.8700462846809</v>
      </c>
    </row>
    <row r="165" spans="1:18" x14ac:dyDescent="0.2">
      <c r="A165" s="2"/>
      <c r="B165" s="44" t="s">
        <v>25</v>
      </c>
      <c r="C165" s="192">
        <f>+C126</f>
        <v>30185.452822796709</v>
      </c>
      <c r="D165" s="192">
        <f t="shared" ref="D165:P165" si="169">+D126</f>
        <v>30185.452822796709</v>
      </c>
      <c r="E165" s="192">
        <f t="shared" si="169"/>
        <v>30185.452822796709</v>
      </c>
      <c r="F165" s="192">
        <f t="shared" si="169"/>
        <v>36393.639804474624</v>
      </c>
      <c r="G165" s="415">
        <f t="shared" si="169"/>
        <v>40476.639804474624</v>
      </c>
      <c r="H165" s="192">
        <f t="shared" si="169"/>
        <v>46320.906278463066</v>
      </c>
      <c r="I165" s="437">
        <f t="shared" si="169"/>
        <v>49702.406278463066</v>
      </c>
      <c r="J165" s="192">
        <f t="shared" si="169"/>
        <v>61239.506278463065</v>
      </c>
      <c r="K165" s="192">
        <f t="shared" si="169"/>
        <v>62730.578466816958</v>
      </c>
      <c r="L165" s="192">
        <f t="shared" si="169"/>
        <v>64567.763655170849</v>
      </c>
      <c r="M165" s="192">
        <f t="shared" si="169"/>
        <v>66449.681009175358</v>
      </c>
      <c r="N165" s="192">
        <f t="shared" si="169"/>
        <v>68386.713918830486</v>
      </c>
      <c r="O165" s="192">
        <f t="shared" si="169"/>
        <v>70380.204349105741</v>
      </c>
      <c r="P165" s="192">
        <f t="shared" si="169"/>
        <v>72431.805766670659</v>
      </c>
    </row>
    <row r="166" spans="1:18" x14ac:dyDescent="0.2">
      <c r="A166" s="2"/>
      <c r="B166" s="44" t="s">
        <v>201</v>
      </c>
      <c r="C166" s="192">
        <f>+C136</f>
        <v>0</v>
      </c>
      <c r="D166" s="192">
        <f t="shared" ref="D166:P166" si="170">+D136</f>
        <v>0</v>
      </c>
      <c r="E166" s="192">
        <f t="shared" si="170"/>
        <v>0</v>
      </c>
      <c r="F166" s="192">
        <f t="shared" si="170"/>
        <v>0</v>
      </c>
      <c r="G166" s="415">
        <f t="shared" si="170"/>
        <v>0</v>
      </c>
      <c r="H166" s="192">
        <f t="shared" si="170"/>
        <v>0</v>
      </c>
      <c r="I166" s="437">
        <f t="shared" si="170"/>
        <v>0</v>
      </c>
      <c r="J166" s="192">
        <f t="shared" si="170"/>
        <v>0</v>
      </c>
      <c r="K166" s="192">
        <f t="shared" si="170"/>
        <v>0</v>
      </c>
      <c r="L166" s="192">
        <f t="shared" si="170"/>
        <v>0</v>
      </c>
      <c r="M166" s="192">
        <f t="shared" si="170"/>
        <v>0</v>
      </c>
      <c r="N166" s="192">
        <f t="shared" si="170"/>
        <v>0</v>
      </c>
      <c r="O166" s="192">
        <f t="shared" si="170"/>
        <v>0</v>
      </c>
      <c r="P166" s="192">
        <f t="shared" si="170"/>
        <v>0</v>
      </c>
    </row>
    <row r="167" spans="1:18" s="18" customFormat="1" x14ac:dyDescent="0.2">
      <c r="A167" s="56" t="s">
        <v>160</v>
      </c>
      <c r="B167" s="6" t="s">
        <v>234</v>
      </c>
      <c r="C167" s="193">
        <f>SUM(C168:C171)</f>
        <v>1245475.9315529433</v>
      </c>
      <c r="D167" s="193">
        <f t="shared" ref="D167:P167" si="171">SUM(D168:D171)</f>
        <v>1233347.7638298674</v>
      </c>
      <c r="E167" s="193">
        <f t="shared" si="171"/>
        <v>1313419.1254028259</v>
      </c>
      <c r="F167" s="193">
        <f t="shared" si="171"/>
        <v>1328487.7255671704</v>
      </c>
      <c r="G167" s="414">
        <f t="shared" si="171"/>
        <v>1337313.6942661963</v>
      </c>
      <c r="H167" s="193">
        <f t="shared" si="171"/>
        <v>1369307.793303584</v>
      </c>
      <c r="I167" s="436">
        <f t="shared" si="171"/>
        <v>1394050.5963886869</v>
      </c>
      <c r="J167" s="193">
        <f t="shared" si="171"/>
        <v>1432165.560493621</v>
      </c>
      <c r="K167" s="193">
        <f t="shared" si="171"/>
        <v>1501995.302651807</v>
      </c>
      <c r="L167" s="193">
        <f t="shared" si="171"/>
        <v>1574791.3683211026</v>
      </c>
      <c r="M167" s="193">
        <f t="shared" si="171"/>
        <v>1623252.6081304355</v>
      </c>
      <c r="N167" s="193">
        <f t="shared" si="171"/>
        <v>1673270.271770061</v>
      </c>
      <c r="O167" s="193">
        <f t="shared" si="171"/>
        <v>1724894.4216141643</v>
      </c>
      <c r="P167" s="193">
        <f t="shared" si="171"/>
        <v>1778176.7266249917</v>
      </c>
      <c r="Q167" s="17"/>
    </row>
    <row r="168" spans="1:18" x14ac:dyDescent="0.2">
      <c r="A168" s="2"/>
      <c r="B168" s="44" t="s">
        <v>161</v>
      </c>
      <c r="C168" s="192">
        <f t="shared" ref="C168:P168" si="172">+C60*C104/1000</f>
        <v>1136467.5690499998</v>
      </c>
      <c r="D168" s="192">
        <f t="shared" si="172"/>
        <v>1120421.982698584</v>
      </c>
      <c r="E168" s="192">
        <f t="shared" si="172"/>
        <v>1199626.6063923356</v>
      </c>
      <c r="F168" s="192">
        <f t="shared" si="172"/>
        <v>1213806.3095070361</v>
      </c>
      <c r="G168" s="415">
        <f t="shared" si="172"/>
        <v>1222209.0034458465</v>
      </c>
      <c r="H168" s="192">
        <f t="shared" si="172"/>
        <v>1253268.9976499034</v>
      </c>
      <c r="I168" s="437">
        <f t="shared" si="172"/>
        <v>1287862.4690806773</v>
      </c>
      <c r="J168" s="192">
        <f t="shared" si="172"/>
        <v>1325174.7571427822</v>
      </c>
      <c r="K168" s="192">
        <f t="shared" si="172"/>
        <v>1394030.8238815495</v>
      </c>
      <c r="L168" s="192">
        <f t="shared" si="172"/>
        <v>1465825.5973432148</v>
      </c>
      <c r="M168" s="192">
        <f t="shared" si="172"/>
        <v>1513256.8623163211</v>
      </c>
      <c r="N168" s="192">
        <f t="shared" si="172"/>
        <v>1562214.7601502056</v>
      </c>
      <c r="O168" s="192">
        <f t="shared" si="172"/>
        <v>1612748.2006780382</v>
      </c>
      <c r="P168" s="192">
        <f t="shared" si="172"/>
        <v>1664907.6543534053</v>
      </c>
    </row>
    <row r="169" spans="1:18" x14ac:dyDescent="0.2">
      <c r="A169" s="2"/>
      <c r="B169" s="44" t="s">
        <v>162</v>
      </c>
      <c r="C169" s="192">
        <f t="shared" ref="C169:P169" si="173">+(C17+C24)*C92</f>
        <v>99760.836672943507</v>
      </c>
      <c r="D169" s="192">
        <f t="shared" si="173"/>
        <v>99809.010731283313</v>
      </c>
      <c r="E169" s="192">
        <f t="shared" si="173"/>
        <v>100151.07779449044</v>
      </c>
      <c r="F169" s="192">
        <f t="shared" si="173"/>
        <v>100494.31719549428</v>
      </c>
      <c r="G169" s="192">
        <f t="shared" si="173"/>
        <v>100350.10800112442</v>
      </c>
      <c r="H169" s="192">
        <f t="shared" si="173"/>
        <v>100694.02952168614</v>
      </c>
      <c r="I169" s="192">
        <f t="shared" si="173"/>
        <v>90229.57053073516</v>
      </c>
      <c r="J169" s="192">
        <f t="shared" si="173"/>
        <v>90393.904302473355</v>
      </c>
      <c r="K169" s="192">
        <f t="shared" si="173"/>
        <v>90703.70375995744</v>
      </c>
      <c r="L169" s="192">
        <f t="shared" si="173"/>
        <v>91014.564967175611</v>
      </c>
      <c r="M169" s="192">
        <f t="shared" si="173"/>
        <v>91326.491562973839</v>
      </c>
      <c r="N169" s="192">
        <f t="shared" si="173"/>
        <v>91639.487198669143</v>
      </c>
      <c r="O169" s="192">
        <f t="shared" si="173"/>
        <v>91953.555538092449</v>
      </c>
      <c r="P169" s="192">
        <f t="shared" si="173"/>
        <v>92268.700257631383</v>
      </c>
    </row>
    <row r="170" spans="1:18" x14ac:dyDescent="0.2">
      <c r="A170" s="2"/>
      <c r="B170" s="44" t="s">
        <v>163</v>
      </c>
      <c r="C170" s="194">
        <f>+'[4]+Всн'!$E$25</f>
        <v>9247.5258300000005</v>
      </c>
      <c r="D170" s="159">
        <f>+'[4]+Всн'!$H$25</f>
        <v>13116.770400000003</v>
      </c>
      <c r="E170" s="160">
        <f t="shared" ref="E170" si="174">+D170*E$106</f>
        <v>13641.441216000003</v>
      </c>
      <c r="F170" s="160">
        <f>+E170*(E$106)</f>
        <v>14187.098864640004</v>
      </c>
      <c r="G170" s="160">
        <f t="shared" ref="G170:P170" si="175">+F170*(F$106)</f>
        <v>14754.582819225605</v>
      </c>
      <c r="H170" s="160">
        <f t="shared" si="175"/>
        <v>15344.766131994629</v>
      </c>
      <c r="I170" s="160">
        <f t="shared" si="175"/>
        <v>15958.556777274414</v>
      </c>
      <c r="J170" s="160">
        <f t="shared" si="175"/>
        <v>16596.899048365391</v>
      </c>
      <c r="K170" s="160">
        <f t="shared" si="175"/>
        <v>17260.775010300007</v>
      </c>
      <c r="L170" s="160">
        <f t="shared" si="175"/>
        <v>17951.206010712009</v>
      </c>
      <c r="M170" s="160">
        <f t="shared" si="175"/>
        <v>18669.25425114049</v>
      </c>
      <c r="N170" s="160">
        <f t="shared" si="175"/>
        <v>19416.02442118611</v>
      </c>
      <c r="O170" s="160">
        <f t="shared" si="175"/>
        <v>20192.665398033554</v>
      </c>
      <c r="P170" s="160">
        <f t="shared" si="175"/>
        <v>21000.372013954897</v>
      </c>
    </row>
    <row r="171" spans="1:18" x14ac:dyDescent="0.2">
      <c r="A171" s="2"/>
      <c r="B171" s="44" t="s">
        <v>164</v>
      </c>
      <c r="C171" s="190"/>
      <c r="D171" s="158"/>
      <c r="E171" s="158"/>
      <c r="F171" s="158"/>
      <c r="G171" s="403"/>
      <c r="H171" s="158"/>
      <c r="I171" s="431"/>
      <c r="J171" s="158"/>
      <c r="K171" s="158"/>
      <c r="L171" s="158"/>
      <c r="M171" s="158"/>
      <c r="N171" s="158"/>
      <c r="O171" s="158"/>
      <c r="P171" s="158"/>
    </row>
    <row r="172" spans="1:18" ht="12" thickBot="1" x14ac:dyDescent="0.25">
      <c r="A172" s="2"/>
      <c r="B172" s="6"/>
      <c r="C172" s="188"/>
      <c r="D172" s="158"/>
      <c r="E172" s="158"/>
      <c r="F172" s="158"/>
      <c r="G172" s="403"/>
      <c r="H172" s="158"/>
      <c r="I172" s="431"/>
      <c r="J172" s="158"/>
      <c r="K172" s="158"/>
      <c r="L172" s="158"/>
      <c r="M172" s="158"/>
      <c r="N172" s="158"/>
      <c r="O172" s="158"/>
      <c r="P172" s="158"/>
    </row>
    <row r="173" spans="1:18" s="216" customFormat="1" ht="22.5" x14ac:dyDescent="0.2">
      <c r="A173" s="56">
        <v>52</v>
      </c>
      <c r="B173" s="6" t="s">
        <v>224</v>
      </c>
      <c r="C173" s="189">
        <f t="shared" ref="C173:P173" si="176">C141-C148</f>
        <v>123157.64119491703</v>
      </c>
      <c r="D173" s="189">
        <f t="shared" si="176"/>
        <v>92929.293848850532</v>
      </c>
      <c r="E173" s="189">
        <f>E141-E148</f>
        <v>154967.33144586463</v>
      </c>
      <c r="F173" s="189">
        <f t="shared" si="176"/>
        <v>169388.67402048223</v>
      </c>
      <c r="G173" s="412">
        <f t="shared" si="176"/>
        <v>180639.18962824461</v>
      </c>
      <c r="H173" s="189">
        <f t="shared" si="176"/>
        <v>197890.15642425045</v>
      </c>
      <c r="I173" s="435">
        <f t="shared" si="176"/>
        <v>249536.9456583648</v>
      </c>
      <c r="J173" s="189">
        <f t="shared" si="176"/>
        <v>176168.95316085732</v>
      </c>
      <c r="K173" s="189">
        <f t="shared" si="176"/>
        <v>151695.61348795961</v>
      </c>
      <c r="L173" s="189">
        <f t="shared" si="176"/>
        <v>116395.49040218862</v>
      </c>
      <c r="M173" s="189">
        <f t="shared" si="176"/>
        <v>64345.140576380305</v>
      </c>
      <c r="N173" s="189">
        <f t="shared" si="176"/>
        <v>10339.661105551757</v>
      </c>
      <c r="O173" s="189">
        <f t="shared" si="176"/>
        <v>-30114.705483149737</v>
      </c>
      <c r="P173" s="189">
        <f t="shared" si="176"/>
        <v>-56619.681827013381</v>
      </c>
      <c r="Q173" s="17"/>
    </row>
    <row r="174" spans="1:18" s="11" customFormat="1" x14ac:dyDescent="0.2">
      <c r="A174" s="2">
        <v>53</v>
      </c>
      <c r="B174" s="44" t="s">
        <v>225</v>
      </c>
      <c r="C174" s="160">
        <f>+C110</f>
        <v>0</v>
      </c>
      <c r="D174" s="160">
        <f t="shared" ref="D174:P174" si="177">+D110</f>
        <v>0</v>
      </c>
      <c r="E174" s="160">
        <f t="shared" si="177"/>
        <v>62081.869816779174</v>
      </c>
      <c r="F174" s="160">
        <f t="shared" si="177"/>
        <v>40830</v>
      </c>
      <c r="G174" s="402">
        <f t="shared" si="177"/>
        <v>58442.664739884392</v>
      </c>
      <c r="H174" s="160">
        <f t="shared" si="177"/>
        <v>33815</v>
      </c>
      <c r="I174" s="181">
        <f t="shared" si="177"/>
        <v>115371</v>
      </c>
      <c r="J174" s="160">
        <f t="shared" si="177"/>
        <v>14910.721883538919</v>
      </c>
      <c r="K174" s="160">
        <f t="shared" si="177"/>
        <v>18371.851883538919</v>
      </c>
      <c r="L174" s="160">
        <f t="shared" si="177"/>
        <v>18819.173540045085</v>
      </c>
      <c r="M174" s="160">
        <f t="shared" si="177"/>
        <v>19370.329096551253</v>
      </c>
      <c r="N174" s="160">
        <f t="shared" si="177"/>
        <v>19934.904302752606</v>
      </c>
      <c r="O174" s="160">
        <f t="shared" si="177"/>
        <v>20516.014175649147</v>
      </c>
      <c r="P174" s="160">
        <f t="shared" si="177"/>
        <v>21114.06130473172</v>
      </c>
    </row>
    <row r="175" spans="1:18" s="11" customFormat="1" x14ac:dyDescent="0.2">
      <c r="A175" s="2">
        <v>54</v>
      </c>
      <c r="B175" s="44" t="s">
        <v>226</v>
      </c>
      <c r="C175" s="160">
        <f>IF(C174=0,0,C173-C174)</f>
        <v>0</v>
      </c>
      <c r="D175" s="160">
        <f>IF(D174=0,C175,C174+D173-D174)</f>
        <v>0</v>
      </c>
      <c r="E175" s="160">
        <f>IF(E174=0,D175,D174+E173-E174)</f>
        <v>92885.461629085461</v>
      </c>
      <c r="F175" s="160">
        <f>IF(F174=0,E175,E175+F173-F174)</f>
        <v>221444.1356495677</v>
      </c>
      <c r="G175" s="402">
        <f>IF(G174=0,F175,F175+G173-G174)</f>
        <v>343640.66053792794</v>
      </c>
      <c r="H175" s="160">
        <f t="shared" ref="H175:P175" si="178">IF(H174=0,G175,G175+H173-H174)</f>
        <v>507715.81696217833</v>
      </c>
      <c r="I175" s="181">
        <f t="shared" si="178"/>
        <v>641881.76262054313</v>
      </c>
      <c r="J175" s="160">
        <f t="shared" si="178"/>
        <v>803139.99389786157</v>
      </c>
      <c r="K175" s="160">
        <f t="shared" si="178"/>
        <v>936463.75550228229</v>
      </c>
      <c r="L175" s="160">
        <f t="shared" si="178"/>
        <v>1034040.0723644258</v>
      </c>
      <c r="M175" s="160">
        <f t="shared" si="178"/>
        <v>1079014.8838442548</v>
      </c>
      <c r="N175" s="160">
        <f t="shared" si="178"/>
        <v>1069419.640647054</v>
      </c>
      <c r="O175" s="160">
        <f t="shared" si="178"/>
        <v>1018788.9209882551</v>
      </c>
      <c r="P175" s="160">
        <f t="shared" si="178"/>
        <v>941055.17785650992</v>
      </c>
    </row>
    <row r="176" spans="1:18" s="11" customFormat="1" x14ac:dyDescent="0.2">
      <c r="A176" s="2">
        <v>55</v>
      </c>
      <c r="B176" s="44" t="s">
        <v>227</v>
      </c>
      <c r="C176" s="160">
        <f>IF(C173&gt;0,IF(C173&lt;C174,C173,C174),0)</f>
        <v>0</v>
      </c>
      <c r="D176" s="160">
        <f t="shared" ref="D176:P176" si="179">IF(D173&gt;0,IF(D173&lt;D174,D173,D174),0)</f>
        <v>0</v>
      </c>
      <c r="E176" s="160">
        <f t="shared" si="179"/>
        <v>62081.869816779174</v>
      </c>
      <c r="F176" s="160">
        <f t="shared" si="179"/>
        <v>40830</v>
      </c>
      <c r="G176" s="402">
        <f t="shared" si="179"/>
        <v>58442.664739884392</v>
      </c>
      <c r="H176" s="160">
        <f t="shared" si="179"/>
        <v>33815</v>
      </c>
      <c r="I176" s="181">
        <f t="shared" si="179"/>
        <v>115371</v>
      </c>
      <c r="J176" s="160">
        <f t="shared" si="179"/>
        <v>14910.721883538919</v>
      </c>
      <c r="K176" s="160">
        <f t="shared" si="179"/>
        <v>18371.851883538919</v>
      </c>
      <c r="L176" s="160">
        <f t="shared" si="179"/>
        <v>18819.173540045085</v>
      </c>
      <c r="M176" s="160">
        <f t="shared" si="179"/>
        <v>19370.329096551253</v>
      </c>
      <c r="N176" s="160">
        <f t="shared" si="179"/>
        <v>10339.661105551757</v>
      </c>
      <c r="O176" s="160">
        <f t="shared" si="179"/>
        <v>0</v>
      </c>
      <c r="P176" s="160">
        <f t="shared" si="179"/>
        <v>0</v>
      </c>
    </row>
    <row r="177" spans="1:17" s="11" customFormat="1" x14ac:dyDescent="0.2">
      <c r="A177" s="2">
        <v>56</v>
      </c>
      <c r="B177" s="44" t="s">
        <v>228</v>
      </c>
      <c r="C177" s="158"/>
      <c r="D177" s="158"/>
      <c r="E177" s="158"/>
      <c r="F177" s="158"/>
      <c r="G177" s="403"/>
      <c r="H177" s="158"/>
      <c r="I177" s="431"/>
      <c r="J177" s="158"/>
      <c r="K177" s="158"/>
      <c r="L177" s="158"/>
      <c r="M177" s="158"/>
      <c r="N177" s="158"/>
      <c r="O177" s="158"/>
      <c r="P177" s="158"/>
    </row>
    <row r="178" spans="1:17" s="23" customFormat="1" x14ac:dyDescent="0.2">
      <c r="A178" s="2">
        <v>57</v>
      </c>
      <c r="B178" s="184" t="s">
        <v>229</v>
      </c>
      <c r="C178" s="160">
        <f>+C175</f>
        <v>0</v>
      </c>
      <c r="D178" s="160">
        <f t="shared" ref="D178:P178" si="180">+D175</f>
        <v>0</v>
      </c>
      <c r="E178" s="160">
        <f>+E175</f>
        <v>92885.461629085461</v>
      </c>
      <c r="F178" s="160">
        <f t="shared" si="180"/>
        <v>221444.1356495677</v>
      </c>
      <c r="G178" s="402">
        <f t="shared" si="180"/>
        <v>343640.66053792794</v>
      </c>
      <c r="H178" s="160">
        <f t="shared" si="180"/>
        <v>507715.81696217833</v>
      </c>
      <c r="I178" s="181">
        <f t="shared" si="180"/>
        <v>641881.76262054313</v>
      </c>
      <c r="J178" s="160">
        <f t="shared" si="180"/>
        <v>803139.99389786157</v>
      </c>
      <c r="K178" s="160">
        <f t="shared" si="180"/>
        <v>936463.75550228229</v>
      </c>
      <c r="L178" s="160">
        <f t="shared" si="180"/>
        <v>1034040.0723644258</v>
      </c>
      <c r="M178" s="160">
        <f t="shared" si="180"/>
        <v>1079014.8838442548</v>
      </c>
      <c r="N178" s="160">
        <f t="shared" si="180"/>
        <v>1069419.640647054</v>
      </c>
      <c r="O178" s="160">
        <f t="shared" si="180"/>
        <v>1018788.9209882551</v>
      </c>
      <c r="P178" s="160">
        <f t="shared" si="180"/>
        <v>941055.17785650992</v>
      </c>
      <c r="Q178" s="11"/>
    </row>
    <row r="179" spans="1:17" s="23" customFormat="1" x14ac:dyDescent="0.2">
      <c r="A179" s="2">
        <v>58</v>
      </c>
      <c r="B179" s="184" t="s">
        <v>23</v>
      </c>
      <c r="C179" s="160">
        <f t="shared" ref="C179:P179" si="181">IF(C178&lt;0,0,C178*20%)</f>
        <v>0</v>
      </c>
      <c r="D179" s="160">
        <f t="shared" si="181"/>
        <v>0</v>
      </c>
      <c r="E179" s="160">
        <f t="shared" si="181"/>
        <v>18577.092325817091</v>
      </c>
      <c r="F179" s="160">
        <f t="shared" si="181"/>
        <v>44288.827129913545</v>
      </c>
      <c r="G179" s="402">
        <f t="shared" si="181"/>
        <v>68728.132107585596</v>
      </c>
      <c r="H179" s="160">
        <f t="shared" si="181"/>
        <v>101543.16339243567</v>
      </c>
      <c r="I179" s="181">
        <f t="shared" si="181"/>
        <v>128376.35252410863</v>
      </c>
      <c r="J179" s="160">
        <f t="shared" si="181"/>
        <v>160627.99877957231</v>
      </c>
      <c r="K179" s="160">
        <f t="shared" si="181"/>
        <v>187292.75110045646</v>
      </c>
      <c r="L179" s="160">
        <f t="shared" si="181"/>
        <v>206808.01447288517</v>
      </c>
      <c r="M179" s="160">
        <f t="shared" si="181"/>
        <v>215802.97676885096</v>
      </c>
      <c r="N179" s="160">
        <f t="shared" si="181"/>
        <v>213883.92812941081</v>
      </c>
      <c r="O179" s="160">
        <f t="shared" si="181"/>
        <v>203757.78419765102</v>
      </c>
      <c r="P179" s="160">
        <f t="shared" si="181"/>
        <v>188211.035571302</v>
      </c>
      <c r="Q179" s="11"/>
    </row>
    <row r="180" spans="1:17" s="54" customFormat="1" ht="12" thickBot="1" x14ac:dyDescent="0.25">
      <c r="A180" s="2">
        <v>59</v>
      </c>
      <c r="B180" s="185" t="s">
        <v>230</v>
      </c>
      <c r="C180" s="160">
        <f t="shared" ref="C180:P180" si="182">C173-C176-C177-C179</f>
        <v>123157.64119491703</v>
      </c>
      <c r="D180" s="160">
        <f t="shared" si="182"/>
        <v>92929.293848850532</v>
      </c>
      <c r="E180" s="160">
        <f t="shared" si="182"/>
        <v>74308.369303268366</v>
      </c>
      <c r="F180" s="160">
        <f t="shared" si="182"/>
        <v>84269.846890568675</v>
      </c>
      <c r="G180" s="402">
        <f t="shared" si="182"/>
        <v>53468.392780774622</v>
      </c>
      <c r="H180" s="160">
        <f t="shared" si="182"/>
        <v>62531.993031814782</v>
      </c>
      <c r="I180" s="181">
        <f t="shared" si="182"/>
        <v>5789.5931342561671</v>
      </c>
      <c r="J180" s="160">
        <f t="shared" si="182"/>
        <v>630.23249774609576</v>
      </c>
      <c r="K180" s="160">
        <f t="shared" si="182"/>
        <v>-53968.989496035763</v>
      </c>
      <c r="L180" s="160">
        <f t="shared" si="182"/>
        <v>-109231.69761074164</v>
      </c>
      <c r="M180" s="160">
        <f t="shared" si="182"/>
        <v>-170828.16528902191</v>
      </c>
      <c r="N180" s="160">
        <f t="shared" si="182"/>
        <v>-213883.92812941081</v>
      </c>
      <c r="O180" s="160">
        <f t="shared" si="182"/>
        <v>-233872.48968080076</v>
      </c>
      <c r="P180" s="160">
        <f t="shared" si="182"/>
        <v>-244830.71739831538</v>
      </c>
      <c r="Q180" s="11"/>
    </row>
    <row r="181" spans="1:17" s="11" customFormat="1" x14ac:dyDescent="0.2">
      <c r="A181" s="2"/>
      <c r="B181" s="185"/>
      <c r="C181" s="55"/>
      <c r="D181" s="55"/>
      <c r="E181" s="55"/>
      <c r="F181" s="55"/>
      <c r="G181" s="417"/>
      <c r="H181" s="50"/>
      <c r="I181" s="183"/>
      <c r="J181" s="55"/>
      <c r="K181" s="55"/>
      <c r="L181" s="55"/>
      <c r="M181" s="55"/>
      <c r="N181" s="55"/>
      <c r="O181" s="55"/>
      <c r="P181" s="55"/>
    </row>
    <row r="182" spans="1:17" s="18" customFormat="1" ht="22.5" x14ac:dyDescent="0.2">
      <c r="A182" s="56"/>
      <c r="B182" s="168" t="s">
        <v>240</v>
      </c>
      <c r="C182" s="193">
        <f>SUM(C183:C185)</f>
        <v>630370.23509061872</v>
      </c>
      <c r="D182" s="193">
        <f t="shared" ref="D182:P182" si="183">SUM(D183:D185)</f>
        <v>698220.52262236737</v>
      </c>
      <c r="E182" s="193">
        <f t="shared" si="183"/>
        <v>695918.02394379757</v>
      </c>
      <c r="F182" s="193">
        <f t="shared" si="183"/>
        <v>681786.66215514217</v>
      </c>
      <c r="G182" s="414">
        <f t="shared" si="183"/>
        <v>666383.22173390747</v>
      </c>
      <c r="H182" s="193">
        <f t="shared" si="183"/>
        <v>645581.61108496285</v>
      </c>
      <c r="I182" s="436">
        <f t="shared" si="183"/>
        <v>659761.79796051141</v>
      </c>
      <c r="J182" s="193">
        <f t="shared" si="183"/>
        <v>684076.83451888314</v>
      </c>
      <c r="K182" s="193">
        <f t="shared" si="183"/>
        <v>698350.51739956101</v>
      </c>
      <c r="L182" s="193">
        <f t="shared" si="183"/>
        <v>714279.24537795724</v>
      </c>
      <c r="M182" s="193">
        <f t="shared" si="183"/>
        <v>733901.13657008414</v>
      </c>
      <c r="N182" s="193">
        <f t="shared" si="183"/>
        <v>754147.10649637668</v>
      </c>
      <c r="O182" s="193">
        <f t="shared" si="183"/>
        <v>775037.38328427658</v>
      </c>
      <c r="P182" s="193">
        <f t="shared" si="183"/>
        <v>796592.94828671578</v>
      </c>
      <c r="Q182" s="17"/>
    </row>
    <row r="183" spans="1:17" x14ac:dyDescent="0.2">
      <c r="A183" s="2"/>
      <c r="B183" s="44" t="s">
        <v>157</v>
      </c>
      <c r="C183" s="192">
        <f t="shared" ref="C183:P183" si="184">+C149-C192-C201</f>
        <v>68044.020672732411</v>
      </c>
      <c r="D183" s="192">
        <f t="shared" si="184"/>
        <v>90470.741938241728</v>
      </c>
      <c r="E183" s="192">
        <f t="shared" si="184"/>
        <v>100113.77731827796</v>
      </c>
      <c r="F183" s="192">
        <f t="shared" si="184"/>
        <v>100358.9451377659</v>
      </c>
      <c r="G183" s="415">
        <f t="shared" si="184"/>
        <v>101058.49289519576</v>
      </c>
      <c r="H183" s="192">
        <f t="shared" si="184"/>
        <v>99091.390563100227</v>
      </c>
      <c r="I183" s="437">
        <f t="shared" si="184"/>
        <v>105170.56705657963</v>
      </c>
      <c r="J183" s="192">
        <f t="shared" si="184"/>
        <v>110807.95496749252</v>
      </c>
      <c r="K183" s="192">
        <f t="shared" si="184"/>
        <v>112327.23142779719</v>
      </c>
      <c r="L183" s="192">
        <f t="shared" si="184"/>
        <v>114431.52720980271</v>
      </c>
      <c r="M183" s="192">
        <f t="shared" si="184"/>
        <v>118736.95505147058</v>
      </c>
      <c r="N183" s="192">
        <f t="shared" si="184"/>
        <v>123205.01521895734</v>
      </c>
      <c r="O183" s="192">
        <f t="shared" si="184"/>
        <v>127841.87201438806</v>
      </c>
      <c r="P183" s="192">
        <f t="shared" si="184"/>
        <v>132653.92408898546</v>
      </c>
    </row>
    <row r="184" spans="1:17" x14ac:dyDescent="0.2">
      <c r="A184" s="2"/>
      <c r="B184" s="44" t="s">
        <v>159</v>
      </c>
      <c r="C184" s="192">
        <f t="shared" ref="C184:P184" si="185">+C157-C193-C202</f>
        <v>32830.711430402342</v>
      </c>
      <c r="D184" s="192">
        <f t="shared" si="185"/>
        <v>39843.639924204814</v>
      </c>
      <c r="E184" s="192">
        <f t="shared" si="185"/>
        <v>41966.461743911663</v>
      </c>
      <c r="F184" s="192">
        <f t="shared" si="185"/>
        <v>43477.486120844995</v>
      </c>
      <c r="G184" s="415">
        <f t="shared" si="185"/>
        <v>44342.326559962261</v>
      </c>
      <c r="H184" s="192">
        <f t="shared" si="185"/>
        <v>44289.618507446292</v>
      </c>
      <c r="I184" s="437">
        <f t="shared" si="185"/>
        <v>47515.141810636851</v>
      </c>
      <c r="J184" s="192">
        <f t="shared" si="185"/>
        <v>52348.55036556768</v>
      </c>
      <c r="K184" s="192">
        <f t="shared" si="185"/>
        <v>52248.983662709506</v>
      </c>
      <c r="L184" s="192">
        <f t="shared" si="185"/>
        <v>52444.618276932539</v>
      </c>
      <c r="M184" s="192">
        <f t="shared" si="185"/>
        <v>53630.936117194615</v>
      </c>
      <c r="N184" s="192">
        <f t="shared" si="185"/>
        <v>54861.218957012206</v>
      </c>
      <c r="O184" s="192">
        <f t="shared" si="185"/>
        <v>56136.973191514771</v>
      </c>
      <c r="P184" s="192">
        <f t="shared" si="185"/>
        <v>57459.845141275538</v>
      </c>
    </row>
    <row r="185" spans="1:17" x14ac:dyDescent="0.2">
      <c r="A185" s="2"/>
      <c r="B185" s="44" t="s">
        <v>235</v>
      </c>
      <c r="C185" s="192">
        <f>SUM(C186:C188)</f>
        <v>529495.50298748398</v>
      </c>
      <c r="D185" s="192">
        <f t="shared" ref="D185:P185" si="186">SUM(D186:D188)</f>
        <v>567906.14075992082</v>
      </c>
      <c r="E185" s="192">
        <f t="shared" si="186"/>
        <v>553837.78488160798</v>
      </c>
      <c r="F185" s="192">
        <f t="shared" si="186"/>
        <v>537950.23089653125</v>
      </c>
      <c r="G185" s="415">
        <f t="shared" si="186"/>
        <v>520982.40227874951</v>
      </c>
      <c r="H185" s="192">
        <f t="shared" si="186"/>
        <v>502200.60201441636</v>
      </c>
      <c r="I185" s="437">
        <f t="shared" si="186"/>
        <v>507076.08909329493</v>
      </c>
      <c r="J185" s="192">
        <f t="shared" si="186"/>
        <v>520920.32918582292</v>
      </c>
      <c r="K185" s="192">
        <f t="shared" si="186"/>
        <v>533774.3023090543</v>
      </c>
      <c r="L185" s="192">
        <f t="shared" si="186"/>
        <v>547403.09989122197</v>
      </c>
      <c r="M185" s="192">
        <f t="shared" si="186"/>
        <v>561533.245401419</v>
      </c>
      <c r="N185" s="192">
        <f t="shared" si="186"/>
        <v>576080.87232040707</v>
      </c>
      <c r="O185" s="192">
        <f t="shared" si="186"/>
        <v>591058.53807837376</v>
      </c>
      <c r="P185" s="192">
        <f t="shared" si="186"/>
        <v>606479.1790564548</v>
      </c>
    </row>
    <row r="186" spans="1:17" s="35" customFormat="1" x14ac:dyDescent="0.2">
      <c r="A186" s="33"/>
      <c r="B186" s="110" t="s">
        <v>161</v>
      </c>
      <c r="C186" s="218">
        <f>+C168-C195</f>
        <v>434758.69121493585</v>
      </c>
      <c r="D186" s="218">
        <f t="shared" ref="D186:P186" si="187">+D168-D195</f>
        <v>471230.42707247066</v>
      </c>
      <c r="E186" s="218">
        <f t="shared" si="187"/>
        <v>457138.58565570263</v>
      </c>
      <c r="F186" s="218">
        <f t="shared" si="187"/>
        <v>439933.54257844365</v>
      </c>
      <c r="G186" s="418">
        <f t="shared" si="187"/>
        <v>421844.66071917303</v>
      </c>
      <c r="H186" s="218">
        <f t="shared" si="187"/>
        <v>401654.22639412922</v>
      </c>
      <c r="I186" s="439">
        <f t="shared" si="187"/>
        <v>415686.94750546839</v>
      </c>
      <c r="J186" s="218">
        <f t="shared" si="187"/>
        <v>428157.49457990995</v>
      </c>
      <c r="K186" s="218">
        <f t="shared" si="187"/>
        <v>441002.21941730706</v>
      </c>
      <c r="L186" s="218">
        <f t="shared" si="187"/>
        <v>454232.28599982674</v>
      </c>
      <c r="M186" s="218">
        <f t="shared" si="187"/>
        <v>467859.25457982125</v>
      </c>
      <c r="N186" s="218">
        <f t="shared" si="187"/>
        <v>481895.03221721598</v>
      </c>
      <c r="O186" s="218">
        <f t="shared" si="187"/>
        <v>496351.88318373263</v>
      </c>
      <c r="P186" s="218">
        <f t="shared" si="187"/>
        <v>511242.4396792443</v>
      </c>
      <c r="Q186" s="32"/>
    </row>
    <row r="187" spans="1:17" s="219" customFormat="1" x14ac:dyDescent="0.2">
      <c r="A187" s="212"/>
      <c r="B187" s="110" t="s">
        <v>162</v>
      </c>
      <c r="C187" s="218">
        <f>+C169-C196-C205</f>
        <v>91620.364712943512</v>
      </c>
      <c r="D187" s="218">
        <f t="shared" ref="D187:P187" si="188">+D169-D196-D205</f>
        <v>91640.639613521154</v>
      </c>
      <c r="E187" s="218">
        <f t="shared" si="188"/>
        <v>91954.711902519353</v>
      </c>
      <c r="F187" s="218">
        <f t="shared" si="188"/>
        <v>93269.064011439288</v>
      </c>
      <c r="G187" s="218">
        <f t="shared" si="188"/>
        <v>94367.50199981725</v>
      </c>
      <c r="H187" s="218">
        <f t="shared" si="188"/>
        <v>95878.279929230019</v>
      </c>
      <c r="I187" s="218">
        <f t="shared" si="188"/>
        <v>86443.07458248522</v>
      </c>
      <c r="J187" s="218">
        <f t="shared" si="188"/>
        <v>87559.596440289562</v>
      </c>
      <c r="K187" s="218">
        <f t="shared" si="188"/>
        <v>87494.487587855459</v>
      </c>
      <c r="L187" s="218">
        <f t="shared" si="188"/>
        <v>87794.350117267444</v>
      </c>
      <c r="M187" s="218">
        <f t="shared" si="188"/>
        <v>88095.240340412201</v>
      </c>
      <c r="N187" s="218">
        <f t="shared" si="188"/>
        <v>88397.161779418384</v>
      </c>
      <c r="O187" s="218">
        <f t="shared" si="188"/>
        <v>88700.117968485734</v>
      </c>
      <c r="P187" s="218">
        <f t="shared" si="188"/>
        <v>89004.112453926471</v>
      </c>
      <c r="Q187" s="213"/>
    </row>
    <row r="188" spans="1:17" s="35" customFormat="1" x14ac:dyDescent="0.2">
      <c r="A188" s="33"/>
      <c r="B188" s="110" t="s">
        <v>163</v>
      </c>
      <c r="C188" s="218">
        <f t="shared" ref="C188:P188" si="189">+C170-C197-C206</f>
        <v>3116.4470596046199</v>
      </c>
      <c r="D188" s="218">
        <f t="shared" si="189"/>
        <v>5035.0740739290186</v>
      </c>
      <c r="E188" s="218">
        <f t="shared" si="189"/>
        <v>4744.4873233859989</v>
      </c>
      <c r="F188" s="218">
        <f t="shared" si="189"/>
        <v>4747.6243066482175</v>
      </c>
      <c r="G188" s="418">
        <f t="shared" si="189"/>
        <v>4770.2395597592031</v>
      </c>
      <c r="H188" s="218">
        <f t="shared" si="189"/>
        <v>4668.0956910571522</v>
      </c>
      <c r="I188" s="439">
        <f t="shared" si="189"/>
        <v>4946.0670053413114</v>
      </c>
      <c r="J188" s="218">
        <f t="shared" si="189"/>
        <v>5203.2381656233656</v>
      </c>
      <c r="K188" s="218">
        <f t="shared" si="189"/>
        <v>5277.5953038918042</v>
      </c>
      <c r="L188" s="218">
        <f t="shared" si="189"/>
        <v>5376.4637741278048</v>
      </c>
      <c r="M188" s="218">
        <f t="shared" si="189"/>
        <v>5578.7504811854515</v>
      </c>
      <c r="N188" s="218">
        <f t="shared" si="189"/>
        <v>5788.6783237726795</v>
      </c>
      <c r="O188" s="218">
        <f t="shared" si="189"/>
        <v>6006.5369261554351</v>
      </c>
      <c r="P188" s="218">
        <f t="shared" si="189"/>
        <v>6232.6269232840696</v>
      </c>
      <c r="Q188" s="32"/>
    </row>
    <row r="189" spans="1:17" s="223" customFormat="1" ht="12" customHeight="1" x14ac:dyDescent="0.2">
      <c r="A189" s="220"/>
      <c r="B189" s="221" t="s">
        <v>364</v>
      </c>
      <c r="C189" s="224">
        <f t="shared" ref="C189:P189" si="190">+C142+C143-C182</f>
        <v>-75911.67485272768</v>
      </c>
      <c r="D189" s="224">
        <f t="shared" si="190"/>
        <v>-119575.76674587466</v>
      </c>
      <c r="E189" s="224">
        <f t="shared" si="190"/>
        <v>-110906.30086415878</v>
      </c>
      <c r="F189" s="224">
        <f t="shared" si="190"/>
        <v>-90210.549886835972</v>
      </c>
      <c r="G189" s="419">
        <f t="shared" si="190"/>
        <v>-68037.587710976601</v>
      </c>
      <c r="H189" s="473">
        <f t="shared" si="190"/>
        <v>-51611.735906927381</v>
      </c>
      <c r="I189" s="440">
        <f t="shared" si="190"/>
        <v>-55699.440942252986</v>
      </c>
      <c r="J189" s="224">
        <f t="shared" si="190"/>
        <v>-69916.530471563805</v>
      </c>
      <c r="K189" s="224">
        <f t="shared" si="190"/>
        <v>-76749.291923988727</v>
      </c>
      <c r="L189" s="224">
        <f t="shared" si="190"/>
        <v>-84997.852565720095</v>
      </c>
      <c r="M189" s="224">
        <f t="shared" si="190"/>
        <v>-96690.948705316638</v>
      </c>
      <c r="N189" s="224">
        <f t="shared" si="190"/>
        <v>-108749.73894361197</v>
      </c>
      <c r="O189" s="224">
        <f t="shared" si="190"/>
        <v>-121184.30435296486</v>
      </c>
      <c r="P189" s="224">
        <f t="shared" si="190"/>
        <v>-134005.07347063127</v>
      </c>
      <c r="Q189" s="222"/>
    </row>
    <row r="190" spans="1:17" s="477" customFormat="1" x14ac:dyDescent="0.2">
      <c r="A190" s="475"/>
      <c r="B190" s="478" t="s">
        <v>462</v>
      </c>
      <c r="C190" s="479">
        <f>+C189+C$165*(1-C$81)</f>
        <v>-64364.149590797468</v>
      </c>
      <c r="D190" s="479">
        <f t="shared" ref="D190:P190" si="191">+D189+D165*(1-D81)</f>
        <v>-106880.27875589202</v>
      </c>
      <c r="E190" s="479">
        <f t="shared" si="191"/>
        <v>-99403.608995488015</v>
      </c>
      <c r="F190" s="479">
        <f t="shared" si="191"/>
        <v>-77019.991590093516</v>
      </c>
      <c r="G190" s="479">
        <f t="shared" si="191"/>
        <v>-54067.101208888482</v>
      </c>
      <c r="H190" s="479">
        <f t="shared" si="191"/>
        <v>-36766.56873847542</v>
      </c>
      <c r="I190" s="479">
        <f t="shared" si="191"/>
        <v>-39656.857168288945</v>
      </c>
      <c r="J190" s="479">
        <f t="shared" si="191"/>
        <v>-50130.344961940267</v>
      </c>
      <c r="K190" s="479">
        <f t="shared" si="191"/>
        <v>-56904.447853633756</v>
      </c>
      <c r="L190" s="479">
        <f t="shared" si="191"/>
        <v>-64989.494859221668</v>
      </c>
      <c r="M190" s="479">
        <f t="shared" si="191"/>
        <v>-76146.453584751289</v>
      </c>
      <c r="N190" s="479">
        <f t="shared" si="191"/>
        <v>-87654.548610129437</v>
      </c>
      <c r="O190" s="479">
        <f t="shared" si="191"/>
        <v>-99523.547296874065</v>
      </c>
      <c r="P190" s="479">
        <f t="shared" si="191"/>
        <v>-111763.47166545056</v>
      </c>
      <c r="Q190" s="476"/>
    </row>
    <row r="191" spans="1:17" s="18" customFormat="1" x14ac:dyDescent="0.2">
      <c r="A191" s="56"/>
      <c r="B191" s="168" t="s">
        <v>233</v>
      </c>
      <c r="C191" s="193">
        <f>SUM(C192:C194)</f>
        <v>925916.95781750034</v>
      </c>
      <c r="D191" s="193">
        <f t="shared" ref="D191:P191" si="192">SUM(D192:D194)</f>
        <v>885609.74991204613</v>
      </c>
      <c r="E191" s="193">
        <f t="shared" si="192"/>
        <v>980961.87507744692</v>
      </c>
      <c r="F191" s="193">
        <f t="shared" si="192"/>
        <v>1035242.1399657847</v>
      </c>
      <c r="G191" s="414">
        <f t="shared" si="192"/>
        <v>1085283.3476042906</v>
      </c>
      <c r="H191" s="193">
        <f t="shared" si="192"/>
        <v>1165518.612423019</v>
      </c>
      <c r="I191" s="436">
        <f t="shared" si="192"/>
        <v>1202911.3725888275</v>
      </c>
      <c r="J191" s="193">
        <f t="shared" si="192"/>
        <v>1249741.6645662813</v>
      </c>
      <c r="K191" s="193">
        <f t="shared" si="192"/>
        <v>1320091.4734379915</v>
      </c>
      <c r="L191" s="193">
        <f t="shared" si="192"/>
        <v>1395206.702025621</v>
      </c>
      <c r="M191" s="193">
        <f t="shared" si="192"/>
        <v>1443006.4861855644</v>
      </c>
      <c r="N191" s="193">
        <f t="shared" si="192"/>
        <v>1492488.5111159121</v>
      </c>
      <c r="O191" s="193">
        <f t="shared" si="192"/>
        <v>1543712.075076445</v>
      </c>
      <c r="P191" s="193">
        <f t="shared" si="192"/>
        <v>1596738.7736906931</v>
      </c>
      <c r="Q191" s="17"/>
    </row>
    <row r="192" spans="1:17" x14ac:dyDescent="0.2">
      <c r="A192" s="2"/>
      <c r="B192" s="44" t="s">
        <v>157</v>
      </c>
      <c r="C192" s="194">
        <f>+'[4]+Оп_i0'!$K$46</f>
        <v>152167.06262215128</v>
      </c>
      <c r="D192" s="613">
        <f>+C192*D149/C149*D$81/C$81</f>
        <v>162144.0152667861</v>
      </c>
      <c r="E192" s="192">
        <f t="shared" ref="E192:P192" si="193">+(E149-E201)*E$81</f>
        <v>162605.57017495102</v>
      </c>
      <c r="F192" s="192">
        <f t="shared" si="193"/>
        <v>176538.15188676908</v>
      </c>
      <c r="G192" s="415">
        <f t="shared" si="193"/>
        <v>191737.91154573066</v>
      </c>
      <c r="H192" s="192">
        <f t="shared" si="193"/>
        <v>210100.34592541432</v>
      </c>
      <c r="I192" s="437">
        <f t="shared" si="193"/>
        <v>220664.11930272635</v>
      </c>
      <c r="J192" s="192">
        <f t="shared" si="193"/>
        <v>232149.73390260048</v>
      </c>
      <c r="K192" s="192">
        <f t="shared" si="193"/>
        <v>242744.95659548216</v>
      </c>
      <c r="L192" s="192">
        <f t="shared" si="193"/>
        <v>254843.54833440782</v>
      </c>
      <c r="M192" s="192">
        <f t="shared" si="193"/>
        <v>265309.12351450842</v>
      </c>
      <c r="N192" s="192">
        <f t="shared" si="193"/>
        <v>276202.90648966085</v>
      </c>
      <c r="O192" s="192">
        <f t="shared" si="193"/>
        <v>287542.36656257481</v>
      </c>
      <c r="P192" s="192">
        <f t="shared" si="193"/>
        <v>299345.68403105595</v>
      </c>
    </row>
    <row r="193" spans="1:17" x14ac:dyDescent="0.2">
      <c r="A193" s="2"/>
      <c r="B193" s="44" t="s">
        <v>159</v>
      </c>
      <c r="C193" s="194">
        <f>+C157*C$81</f>
        <v>67011.011949889784</v>
      </c>
      <c r="D193" s="613">
        <f>+C193*D157/C157*D$81/C$81</f>
        <v>67337.598987475765</v>
      </c>
      <c r="E193" s="192">
        <f t="shared" ref="E193:P193" si="194">+(E157-E202)*E$81</f>
        <v>68162.251219424928</v>
      </c>
      <c r="F193" s="192">
        <f t="shared" si="194"/>
        <v>76479.829853933974</v>
      </c>
      <c r="G193" s="415">
        <f t="shared" si="194"/>
        <v>84130.535139715401</v>
      </c>
      <c r="H193" s="192">
        <f t="shared" si="194"/>
        <v>93905.8793749959</v>
      </c>
      <c r="I193" s="437">
        <f t="shared" si="194"/>
        <v>99694.117989757287</v>
      </c>
      <c r="J193" s="192">
        <f t="shared" si="194"/>
        <v>109673.55223836249</v>
      </c>
      <c r="K193" s="192">
        <f t="shared" si="194"/>
        <v>112912.75597329298</v>
      </c>
      <c r="L193" s="192">
        <f t="shared" si="194"/>
        <v>116796.24434473249</v>
      </c>
      <c r="M193" s="192">
        <f t="shared" si="194"/>
        <v>119834.44116743229</v>
      </c>
      <c r="N193" s="192">
        <f t="shared" si="194"/>
        <v>122988.72819879264</v>
      </c>
      <c r="O193" s="192">
        <f t="shared" si="194"/>
        <v>126263.46805474884</v>
      </c>
      <c r="P193" s="192">
        <f t="shared" si="194"/>
        <v>129663.38362214988</v>
      </c>
    </row>
    <row r="194" spans="1:17" x14ac:dyDescent="0.2">
      <c r="A194" s="2"/>
      <c r="B194" s="44" t="s">
        <v>235</v>
      </c>
      <c r="C194" s="192">
        <f>SUM(C195:C197)</f>
        <v>706738.88324545929</v>
      </c>
      <c r="D194" s="192">
        <f t="shared" ref="D194:P194" si="195">SUM(D195:D197)</f>
        <v>656128.1356577843</v>
      </c>
      <c r="E194" s="192">
        <f t="shared" si="195"/>
        <v>750194.05368307093</v>
      </c>
      <c r="F194" s="192">
        <f t="shared" si="195"/>
        <v>782224.15822508174</v>
      </c>
      <c r="G194" s="415">
        <f t="shared" si="195"/>
        <v>809414.90091884439</v>
      </c>
      <c r="H194" s="192">
        <f t="shared" si="195"/>
        <v>861512.38712260872</v>
      </c>
      <c r="I194" s="437">
        <f t="shared" si="195"/>
        <v>882553.13529634394</v>
      </c>
      <c r="J194" s="192">
        <f t="shared" si="195"/>
        <v>907918.37842531817</v>
      </c>
      <c r="K194" s="192">
        <f t="shared" si="195"/>
        <v>964433.76086921641</v>
      </c>
      <c r="L194" s="192">
        <f t="shared" si="195"/>
        <v>1023566.9093464806</v>
      </c>
      <c r="M194" s="192">
        <f t="shared" si="195"/>
        <v>1057862.9215036237</v>
      </c>
      <c r="N194" s="192">
        <f t="shared" si="195"/>
        <v>1093296.8764274586</v>
      </c>
      <c r="O194" s="192">
        <f t="shared" si="195"/>
        <v>1129906.2404591213</v>
      </c>
      <c r="P194" s="192">
        <f t="shared" si="195"/>
        <v>1167729.7060374871</v>
      </c>
    </row>
    <row r="195" spans="1:17" s="35" customFormat="1" x14ac:dyDescent="0.2">
      <c r="A195" s="33"/>
      <c r="B195" s="110" t="s">
        <v>161</v>
      </c>
      <c r="C195" s="218">
        <f t="shared" ref="C195:P195" si="196">+C62*C104/1000</f>
        <v>701708.87783506396</v>
      </c>
      <c r="D195" s="218">
        <f t="shared" si="196"/>
        <v>649191.55562611332</v>
      </c>
      <c r="E195" s="218">
        <f t="shared" si="196"/>
        <v>742488.02073663299</v>
      </c>
      <c r="F195" s="218">
        <f t="shared" si="196"/>
        <v>773872.76692859246</v>
      </c>
      <c r="G195" s="418">
        <f t="shared" si="196"/>
        <v>800364.34272667347</v>
      </c>
      <c r="H195" s="218">
        <f t="shared" si="196"/>
        <v>851614.77125577419</v>
      </c>
      <c r="I195" s="439">
        <f t="shared" si="196"/>
        <v>872175.52157520887</v>
      </c>
      <c r="J195" s="218">
        <f t="shared" si="196"/>
        <v>897017.26256287226</v>
      </c>
      <c r="K195" s="218">
        <f t="shared" si="196"/>
        <v>953028.60446424247</v>
      </c>
      <c r="L195" s="218">
        <f t="shared" si="196"/>
        <v>1011593.311343388</v>
      </c>
      <c r="M195" s="218">
        <f t="shared" si="196"/>
        <v>1045397.6077364999</v>
      </c>
      <c r="N195" s="218">
        <f t="shared" si="196"/>
        <v>1080319.7279329896</v>
      </c>
      <c r="O195" s="218">
        <f t="shared" si="196"/>
        <v>1116396.3174943055</v>
      </c>
      <c r="P195" s="218">
        <f t="shared" si="196"/>
        <v>1153665.214674161</v>
      </c>
      <c r="Q195" s="32"/>
    </row>
    <row r="196" spans="1:17" s="219" customFormat="1" x14ac:dyDescent="0.2">
      <c r="A196" s="212"/>
      <c r="B196" s="110" t="s">
        <v>162</v>
      </c>
      <c r="C196" s="218">
        <f t="shared" ref="C196:P196" si="197">+C25*C92</f>
        <v>0</v>
      </c>
      <c r="D196" s="218">
        <f t="shared" si="197"/>
        <v>0</v>
      </c>
      <c r="E196" s="218">
        <f t="shared" si="197"/>
        <v>0</v>
      </c>
      <c r="F196" s="218">
        <f t="shared" si="197"/>
        <v>0</v>
      </c>
      <c r="G196" s="218">
        <f t="shared" si="197"/>
        <v>0</v>
      </c>
      <c r="H196" s="218">
        <f t="shared" si="197"/>
        <v>0</v>
      </c>
      <c r="I196" s="218">
        <f t="shared" si="197"/>
        <v>0</v>
      </c>
      <c r="J196" s="218">
        <f t="shared" si="197"/>
        <v>0</v>
      </c>
      <c r="K196" s="218">
        <f t="shared" si="197"/>
        <v>0</v>
      </c>
      <c r="L196" s="218">
        <f t="shared" si="197"/>
        <v>0</v>
      </c>
      <c r="M196" s="218">
        <f t="shared" si="197"/>
        <v>0</v>
      </c>
      <c r="N196" s="218">
        <f t="shared" si="197"/>
        <v>0</v>
      </c>
      <c r="O196" s="218">
        <f t="shared" si="197"/>
        <v>0</v>
      </c>
      <c r="P196" s="218">
        <f t="shared" si="197"/>
        <v>0</v>
      </c>
      <c r="Q196" s="213"/>
    </row>
    <row r="197" spans="1:17" s="35" customFormat="1" x14ac:dyDescent="0.2">
      <c r="A197" s="33"/>
      <c r="B197" s="110" t="s">
        <v>163</v>
      </c>
      <c r="C197" s="194">
        <f>+(C170-C206)*C$81</f>
        <v>5030.0054103953807</v>
      </c>
      <c r="D197" s="218">
        <f t="shared" ref="D197:P197" si="198">+(D170-D206)*D$81</f>
        <v>6936.5800316709847</v>
      </c>
      <c r="E197" s="218">
        <f t="shared" si="198"/>
        <v>7706.0329464380038</v>
      </c>
      <c r="F197" s="218">
        <f t="shared" si="198"/>
        <v>8351.3912964892479</v>
      </c>
      <c r="G197" s="418">
        <f t="shared" si="198"/>
        <v>9050.5581921708672</v>
      </c>
      <c r="H197" s="218">
        <f t="shared" si="198"/>
        <v>9897.6158668345815</v>
      </c>
      <c r="I197" s="439">
        <f t="shared" si="198"/>
        <v>10377.613721135038</v>
      </c>
      <c r="J197" s="218">
        <f t="shared" si="198"/>
        <v>10901.115862445853</v>
      </c>
      <c r="K197" s="218">
        <f t="shared" si="198"/>
        <v>11405.156404973981</v>
      </c>
      <c r="L197" s="218">
        <f t="shared" si="198"/>
        <v>11973.598003092613</v>
      </c>
      <c r="M197" s="218">
        <f t="shared" si="198"/>
        <v>12465.313767123784</v>
      </c>
      <c r="N197" s="218">
        <f t="shared" si="198"/>
        <v>12977.148494468925</v>
      </c>
      <c r="O197" s="218">
        <f t="shared" si="198"/>
        <v>13509.922964815834</v>
      </c>
      <c r="P197" s="218">
        <f t="shared" si="198"/>
        <v>14064.491363326051</v>
      </c>
      <c r="Q197" s="32"/>
    </row>
    <row r="198" spans="1:17" s="223" customFormat="1" x14ac:dyDescent="0.2">
      <c r="A198" s="220"/>
      <c r="B198" s="221" t="s">
        <v>365</v>
      </c>
      <c r="C198" s="224">
        <f t="shared" ref="C198:P198" si="199">+C144-C191</f>
        <v>109360.29186213785</v>
      </c>
      <c r="D198" s="224">
        <f t="shared" si="199"/>
        <v>121407.32233258744</v>
      </c>
      <c r="E198" s="224">
        <f t="shared" si="199"/>
        <v>170833.24444689834</v>
      </c>
      <c r="F198" s="224">
        <f t="shared" si="199"/>
        <v>171580.87422590889</v>
      </c>
      <c r="G198" s="419">
        <f t="shared" si="199"/>
        <v>171543.05571024981</v>
      </c>
      <c r="H198" s="473">
        <f t="shared" si="199"/>
        <v>183351.28103352897</v>
      </c>
      <c r="I198" s="440">
        <f t="shared" si="199"/>
        <v>249343.77305327007</v>
      </c>
      <c r="J198" s="224">
        <f t="shared" si="199"/>
        <v>200365.96864258102</v>
      </c>
      <c r="K198" s="224">
        <f t="shared" si="199"/>
        <v>175859.02055094182</v>
      </c>
      <c r="L198" s="224">
        <f t="shared" si="199"/>
        <v>146586.65274338331</v>
      </c>
      <c r="M198" s="224">
        <f t="shared" si="199"/>
        <v>103919.35922684753</v>
      </c>
      <c r="N198" s="224">
        <f t="shared" si="199"/>
        <v>59569.824939907528</v>
      </c>
      <c r="O198" s="224">
        <f t="shared" si="199"/>
        <v>29050.65988977463</v>
      </c>
      <c r="P198" s="224">
        <f t="shared" si="199"/>
        <v>12766.70783568942</v>
      </c>
      <c r="Q198" s="222"/>
    </row>
    <row r="199" spans="1:17" s="266" customFormat="1" x14ac:dyDescent="0.2">
      <c r="A199" s="264"/>
      <c r="B199" s="478" t="s">
        <v>463</v>
      </c>
      <c r="C199" s="479">
        <f t="shared" ref="C199:P199" si="200">+C198+C$165*(C$81)</f>
        <v>127998.21942300434</v>
      </c>
      <c r="D199" s="479">
        <f t="shared" si="200"/>
        <v>138897.2871654015</v>
      </c>
      <c r="E199" s="479">
        <f t="shared" si="200"/>
        <v>189516.0054010243</v>
      </c>
      <c r="F199" s="479">
        <f t="shared" si="200"/>
        <v>194783.95573364105</v>
      </c>
      <c r="G199" s="479">
        <f t="shared" si="200"/>
        <v>198049.2090126363</v>
      </c>
      <c r="H199" s="479">
        <f t="shared" si="200"/>
        <v>214827.02014354008</v>
      </c>
      <c r="I199" s="479">
        <f t="shared" si="200"/>
        <v>283003.59555776906</v>
      </c>
      <c r="J199" s="479">
        <f t="shared" si="200"/>
        <v>241819.28941142056</v>
      </c>
      <c r="K199" s="479">
        <f t="shared" si="200"/>
        <v>218744.7549474038</v>
      </c>
      <c r="L199" s="479">
        <f t="shared" si="200"/>
        <v>191146.05869205573</v>
      </c>
      <c r="M199" s="479">
        <f t="shared" si="200"/>
        <v>149824.54511545756</v>
      </c>
      <c r="N199" s="479">
        <f t="shared" si="200"/>
        <v>106861.34852525548</v>
      </c>
      <c r="O199" s="479">
        <f t="shared" si="200"/>
        <v>77770.107182789565</v>
      </c>
      <c r="P199" s="479">
        <f t="shared" si="200"/>
        <v>62956.911797179382</v>
      </c>
      <c r="Q199" s="265"/>
    </row>
    <row r="200" spans="1:17" s="18" customFormat="1" x14ac:dyDescent="0.2">
      <c r="A200" s="56"/>
      <c r="B200" s="168" t="s">
        <v>409</v>
      </c>
      <c r="C200" s="193">
        <f>SUM(C201:C203)</f>
        <v>44776.079599999997</v>
      </c>
      <c r="D200" s="193">
        <f t="shared" ref="D200:P200" si="201">SUM(D201:D203)</f>
        <v>46269.403063362159</v>
      </c>
      <c r="E200" s="193">
        <f t="shared" si="201"/>
        <v>47821.439115395086</v>
      </c>
      <c r="F200" s="193">
        <f t="shared" si="201"/>
        <v>43428.646069755661</v>
      </c>
      <c r="G200" s="414">
        <f t="shared" si="201"/>
        <v>37052.092003157406</v>
      </c>
      <c r="H200" s="193">
        <f t="shared" si="201"/>
        <v>30736.944985813916</v>
      </c>
      <c r="I200" s="436">
        <f t="shared" si="201"/>
        <v>24910.49253379137</v>
      </c>
      <c r="J200" s="193">
        <f t="shared" si="201"/>
        <v>19222.576586264437</v>
      </c>
      <c r="K200" s="193">
        <f t="shared" si="201"/>
        <v>22441.572205238237</v>
      </c>
      <c r="L200" s="193">
        <f t="shared" si="201"/>
        <v>23221.865124369881</v>
      </c>
      <c r="M200" s="193">
        <f t="shared" si="201"/>
        <v>24032.96750800181</v>
      </c>
      <c r="N200" s="193">
        <f t="shared" si="201"/>
        <v>24876.110356108555</v>
      </c>
      <c r="O200" s="193">
        <f t="shared" si="201"/>
        <v>25752.573903938821</v>
      </c>
      <c r="P200" s="193">
        <f t="shared" si="201"/>
        <v>26663.689591410301</v>
      </c>
      <c r="Q200" s="17"/>
    </row>
    <row r="201" spans="1:17" x14ac:dyDescent="0.2">
      <c r="A201" s="2"/>
      <c r="B201" s="44" t="s">
        <v>157</v>
      </c>
      <c r="C201" s="194">
        <f>+[15]ГОД!$AO$33+[15]ГОД!$BM$40+[15]ГОД!$BM$49+[15]ГОД!$BM$62</f>
        <v>26847.14501</v>
      </c>
      <c r="D201" s="599">
        <f>+C201*(D$106)*D$83/C$83</f>
        <v>27921.030810399996</v>
      </c>
      <c r="E201" s="599">
        <f t="shared" ref="E201:P201" si="202">+D201*(E$106)*E$83/D$83</f>
        <v>29037.872042815998</v>
      </c>
      <c r="F201" s="599">
        <f t="shared" si="202"/>
        <v>26530.41129295182</v>
      </c>
      <c r="G201" s="599">
        <f t="shared" si="202"/>
        <v>22768.204209259795</v>
      </c>
      <c r="H201" s="599">
        <f t="shared" si="202"/>
        <v>18995.456507679217</v>
      </c>
      <c r="I201" s="599">
        <f t="shared" si="202"/>
        <v>15479.994356735489</v>
      </c>
      <c r="J201" s="599">
        <f t="shared" si="202"/>
        <v>12009.5790745902</v>
      </c>
      <c r="K201" s="599">
        <f t="shared" si="202"/>
        <v>14093.770639191109</v>
      </c>
      <c r="L201" s="599">
        <f t="shared" si="202"/>
        <v>14657.521464758755</v>
      </c>
      <c r="M201" s="599">
        <f t="shared" si="202"/>
        <v>15243.822323349104</v>
      </c>
      <c r="N201" s="599">
        <f t="shared" si="202"/>
        <v>15853.57521628307</v>
      </c>
      <c r="O201" s="599">
        <f t="shared" si="202"/>
        <v>16487.718224934393</v>
      </c>
      <c r="P201" s="599">
        <f t="shared" si="202"/>
        <v>17147.226953931771</v>
      </c>
    </row>
    <row r="202" spans="1:17" x14ac:dyDescent="0.2">
      <c r="A202" s="2"/>
      <c r="B202" s="44" t="s">
        <v>159</v>
      </c>
      <c r="C202" s="194">
        <f>+[15]ГОД!$BM$51+[15]ГОД!$BM$53+[15]ГОД!$BM$60</f>
        <v>8687.3892699999997</v>
      </c>
      <c r="D202" s="599">
        <f>+C202*(D$106)*D$83/C$83</f>
        <v>9034.8848407999994</v>
      </c>
      <c r="E202" s="599">
        <f t="shared" ref="E202:P202" si="203">+D202*(E$106)*E$83/D$83</f>
        <v>9396.2802344319989</v>
      </c>
      <c r="F202" s="599">
        <f t="shared" si="203"/>
        <v>8584.8983312463024</v>
      </c>
      <c r="G202" s="599">
        <f t="shared" si="203"/>
        <v>7367.4967252949036</v>
      </c>
      <c r="H202" s="599">
        <f t="shared" si="203"/>
        <v>6146.6843115756737</v>
      </c>
      <c r="I202" s="599">
        <f t="shared" si="203"/>
        <v>5009.1261780078748</v>
      </c>
      <c r="J202" s="599">
        <f t="shared" si="203"/>
        <v>3886.1446291942789</v>
      </c>
      <c r="K202" s="599">
        <f t="shared" si="203"/>
        <v>4560.5620925109288</v>
      </c>
      <c r="L202" s="599">
        <f t="shared" si="203"/>
        <v>4742.9845762113664</v>
      </c>
      <c r="M202" s="599">
        <f t="shared" si="203"/>
        <v>4932.7039592598212</v>
      </c>
      <c r="N202" s="599">
        <f t="shared" si="203"/>
        <v>5130.0121176302146</v>
      </c>
      <c r="O202" s="599">
        <f t="shared" si="203"/>
        <v>5335.2126023354231</v>
      </c>
      <c r="P202" s="599">
        <f t="shared" si="203"/>
        <v>5548.62110642884</v>
      </c>
    </row>
    <row r="203" spans="1:17" x14ac:dyDescent="0.2">
      <c r="A203" s="2"/>
      <c r="B203" s="44" t="s">
        <v>235</v>
      </c>
      <c r="C203" s="192">
        <f>SUM(C204:C206)</f>
        <v>9241.5453199999993</v>
      </c>
      <c r="D203" s="192">
        <f t="shared" ref="D203:P203" si="204">SUM(D204:D206)</f>
        <v>9313.4874121621579</v>
      </c>
      <c r="E203" s="192">
        <f t="shared" si="204"/>
        <v>9387.2868381470889</v>
      </c>
      <c r="F203" s="192">
        <f t="shared" si="204"/>
        <v>8313.3364455575356</v>
      </c>
      <c r="G203" s="415">
        <f t="shared" si="204"/>
        <v>6916.3910686027048</v>
      </c>
      <c r="H203" s="192">
        <f t="shared" si="204"/>
        <v>5594.8041665590254</v>
      </c>
      <c r="I203" s="437">
        <f t="shared" si="204"/>
        <v>4421.3719990480067</v>
      </c>
      <c r="J203" s="192">
        <f t="shared" si="204"/>
        <v>3326.8528824799578</v>
      </c>
      <c r="K203" s="192">
        <f t="shared" si="204"/>
        <v>3787.2394735362009</v>
      </c>
      <c r="L203" s="192">
        <f t="shared" si="204"/>
        <v>3821.3590833997582</v>
      </c>
      <c r="M203" s="192">
        <f t="shared" si="204"/>
        <v>3856.4412253928867</v>
      </c>
      <c r="N203" s="192">
        <f t="shared" si="204"/>
        <v>3892.5230221952711</v>
      </c>
      <c r="O203" s="192">
        <f t="shared" si="204"/>
        <v>3929.6430766690041</v>
      </c>
      <c r="P203" s="192">
        <f t="shared" si="204"/>
        <v>3967.8415310496907</v>
      </c>
    </row>
    <row r="204" spans="1:17" s="35" customFormat="1" x14ac:dyDescent="0.2">
      <c r="A204" s="33"/>
      <c r="B204" s="110" t="s">
        <v>161</v>
      </c>
      <c r="C204" s="267"/>
      <c r="D204" s="267"/>
      <c r="E204" s="267"/>
      <c r="F204" s="267"/>
      <c r="G204" s="420"/>
      <c r="H204" s="267"/>
      <c r="I204" s="441"/>
      <c r="J204" s="267"/>
      <c r="K204" s="267"/>
      <c r="L204" s="267"/>
      <c r="M204" s="267"/>
      <c r="N204" s="267"/>
      <c r="O204" s="267"/>
      <c r="P204" s="267"/>
      <c r="Q204" s="32"/>
    </row>
    <row r="205" spans="1:17" s="219" customFormat="1" x14ac:dyDescent="0.2">
      <c r="A205" s="212"/>
      <c r="B205" s="110" t="s">
        <v>162</v>
      </c>
      <c r="C205" s="263">
        <f>+[15]ГОД!$BN$21</f>
        <v>8140.4719599999989</v>
      </c>
      <c r="D205" s="599">
        <f>+C205*(D$93)*D83/C83</f>
        <v>8168.371117762159</v>
      </c>
      <c r="E205" s="599">
        <f t="shared" ref="E205:P205" si="205">+D205*(E$93)*E83/D83</f>
        <v>8196.3658919710888</v>
      </c>
      <c r="F205" s="599">
        <f t="shared" si="205"/>
        <v>7225.2531840549964</v>
      </c>
      <c r="G205" s="599">
        <f t="shared" si="205"/>
        <v>5982.6060013071701</v>
      </c>
      <c r="H205" s="599">
        <f t="shared" si="205"/>
        <v>4815.7495924561299</v>
      </c>
      <c r="I205" s="599">
        <f t="shared" si="205"/>
        <v>3786.4959482499412</v>
      </c>
      <c r="J205" s="599">
        <f t="shared" si="205"/>
        <v>2834.3078621837858</v>
      </c>
      <c r="K205" s="599">
        <f t="shared" si="205"/>
        <v>3209.2161721019788</v>
      </c>
      <c r="L205" s="599">
        <f t="shared" si="205"/>
        <v>3220.2148499081673</v>
      </c>
      <c r="M205" s="599">
        <f t="shared" si="205"/>
        <v>3231.2512225616319</v>
      </c>
      <c r="N205" s="599">
        <f t="shared" si="205"/>
        <v>3242.3254192507661</v>
      </c>
      <c r="O205" s="599">
        <f t="shared" si="205"/>
        <v>3253.4375696067191</v>
      </c>
      <c r="P205" s="599">
        <f t="shared" si="205"/>
        <v>3264.5878037049142</v>
      </c>
      <c r="Q205" s="213"/>
    </row>
    <row r="206" spans="1:17" s="35" customFormat="1" x14ac:dyDescent="0.2">
      <c r="A206" s="33"/>
      <c r="B206" s="110" t="s">
        <v>163</v>
      </c>
      <c r="C206" s="263">
        <f>+[15]ГОД!$BM$29</f>
        <v>1101.0733599999999</v>
      </c>
      <c r="D206" s="599">
        <f>+C206*(D$106)*D83/C83</f>
        <v>1145.1162943999998</v>
      </c>
      <c r="E206" s="599">
        <f>+D206*(E$106)*E83/D83</f>
        <v>1190.9209461759999</v>
      </c>
      <c r="F206" s="599">
        <f>+E206*(F$106)*F83/E83</f>
        <v>1088.0832615025386</v>
      </c>
      <c r="G206" s="599">
        <f t="shared" ref="G206:P206" si="206">+F206*(G$106)*G83/F83</f>
        <v>933.78506729553453</v>
      </c>
      <c r="H206" s="599">
        <f t="shared" si="206"/>
        <v>779.05457410289523</v>
      </c>
      <c r="I206" s="599">
        <f t="shared" si="206"/>
        <v>634.87605079806519</v>
      </c>
      <c r="J206" s="599">
        <f t="shared" si="206"/>
        <v>492.54502029617197</v>
      </c>
      <c r="K206" s="599">
        <f t="shared" si="206"/>
        <v>578.02330143422205</v>
      </c>
      <c r="L206" s="599">
        <f t="shared" si="206"/>
        <v>601.14423349159097</v>
      </c>
      <c r="M206" s="599">
        <f t="shared" si="206"/>
        <v>625.19000283125467</v>
      </c>
      <c r="N206" s="599">
        <f t="shared" si="206"/>
        <v>650.19760294450487</v>
      </c>
      <c r="O206" s="599">
        <f t="shared" si="206"/>
        <v>676.20550706228505</v>
      </c>
      <c r="P206" s="599">
        <f t="shared" si="206"/>
        <v>703.25372734477651</v>
      </c>
      <c r="Q206" s="32"/>
    </row>
    <row r="207" spans="1:17" s="223" customFormat="1" x14ac:dyDescent="0.2">
      <c r="A207" s="220"/>
      <c r="B207" s="221" t="s">
        <v>410</v>
      </c>
      <c r="C207" s="224">
        <f>C145+C146-C200</f>
        <v>89709.024185507238</v>
      </c>
      <c r="D207" s="224">
        <f t="shared" ref="D207:P207" si="207">D145+D146-D200</f>
        <v>91097.738262137849</v>
      </c>
      <c r="E207" s="224">
        <f t="shared" si="207"/>
        <v>95040.387863124939</v>
      </c>
      <c r="F207" s="224">
        <f t="shared" si="207"/>
        <v>88018.349681409163</v>
      </c>
      <c r="G207" s="224">
        <f t="shared" si="207"/>
        <v>77133.721628971034</v>
      </c>
      <c r="H207" s="224">
        <f t="shared" si="207"/>
        <v>66150.611297648822</v>
      </c>
      <c r="I207" s="224">
        <f t="shared" si="207"/>
        <v>55892.613547347835</v>
      </c>
      <c r="J207" s="224">
        <f t="shared" si="207"/>
        <v>45719.514989840114</v>
      </c>
      <c r="K207" s="224">
        <f t="shared" si="207"/>
        <v>52585.884861006998</v>
      </c>
      <c r="L207" s="224">
        <f t="shared" si="207"/>
        <v>54806.690224525169</v>
      </c>
      <c r="M207" s="224">
        <f t="shared" si="207"/>
        <v>57116.730054849046</v>
      </c>
      <c r="N207" s="224">
        <f t="shared" si="207"/>
        <v>59519.575109256337</v>
      </c>
      <c r="O207" s="224">
        <f t="shared" si="207"/>
        <v>62018.938980040672</v>
      </c>
      <c r="P207" s="224">
        <f t="shared" si="207"/>
        <v>64618.68380792837</v>
      </c>
      <c r="Q207" s="222"/>
    </row>
    <row r="208" spans="1:17" s="223" customFormat="1" x14ac:dyDescent="0.2">
      <c r="A208" s="220"/>
      <c r="B208" s="478" t="s">
        <v>474</v>
      </c>
      <c r="C208" s="491">
        <f>+C207+[15]ГОД!$AO$53</f>
        <v>96131.63414550724</v>
      </c>
      <c r="D208" s="491">
        <f>+D207+[15]ГОД!$AO$53</f>
        <v>97520.348222137851</v>
      </c>
      <c r="E208" s="491">
        <f>+E207+[15]ГОД!$AO$53</f>
        <v>101462.99782312494</v>
      </c>
      <c r="F208" s="491">
        <f>+F207+[15]ГОД!$AO$53</f>
        <v>94440.959641409165</v>
      </c>
      <c r="G208" s="491">
        <f>+G207+[15]ГОД!$AO$53</f>
        <v>83556.331588971036</v>
      </c>
      <c r="H208" s="491">
        <f>+H207+[15]ГОД!$AO$53</f>
        <v>72573.221257648824</v>
      </c>
      <c r="I208" s="491">
        <f>+I207+[15]ГОД!$AO$53</f>
        <v>62315.223507347837</v>
      </c>
      <c r="J208" s="491">
        <f>+J207+[15]ГОД!$AO$53</f>
        <v>52142.124949840116</v>
      </c>
      <c r="K208" s="491">
        <f>+K207+[15]ГОД!$AO$53</f>
        <v>59008.494821007</v>
      </c>
      <c r="L208" s="491">
        <f>+L207+[15]ГОД!$AO$53</f>
        <v>61229.300184525171</v>
      </c>
      <c r="M208" s="491">
        <f>+M207+[15]ГОД!$AO$53</f>
        <v>63539.340014849047</v>
      </c>
      <c r="N208" s="491">
        <f>+N207+[15]ГОД!$AO$53</f>
        <v>65942.185069256331</v>
      </c>
      <c r="O208" s="491">
        <f>+O207+[15]ГОД!$AO$53</f>
        <v>68441.548940040666</v>
      </c>
      <c r="P208" s="491">
        <f>+P207+[15]ГОД!$AO$53</f>
        <v>71041.293767928364</v>
      </c>
      <c r="Q208" s="222"/>
    </row>
    <row r="209" spans="1:17" s="266" customFormat="1" x14ac:dyDescent="0.2">
      <c r="A209" s="264"/>
      <c r="B209" s="221" t="s">
        <v>497</v>
      </c>
      <c r="C209" s="203">
        <f t="shared" ref="C209:P209" si="208">+C141-C148</f>
        <v>123157.64119491703</v>
      </c>
      <c r="D209" s="203">
        <f t="shared" si="208"/>
        <v>92929.293848850532</v>
      </c>
      <c r="E209" s="203">
        <f t="shared" si="208"/>
        <v>154967.33144586463</v>
      </c>
      <c r="F209" s="203">
        <f t="shared" si="208"/>
        <v>169388.67402048223</v>
      </c>
      <c r="G209" s="416">
        <f t="shared" si="208"/>
        <v>180639.18962824461</v>
      </c>
      <c r="H209" s="474">
        <f t="shared" si="208"/>
        <v>197890.15642425045</v>
      </c>
      <c r="I209" s="438">
        <f t="shared" si="208"/>
        <v>249536.9456583648</v>
      </c>
      <c r="J209" s="203">
        <f t="shared" si="208"/>
        <v>176168.95316085732</v>
      </c>
      <c r="K209" s="203">
        <f t="shared" si="208"/>
        <v>151695.61348795961</v>
      </c>
      <c r="L209" s="203">
        <f t="shared" si="208"/>
        <v>116395.49040218862</v>
      </c>
      <c r="M209" s="203">
        <f t="shared" si="208"/>
        <v>64345.140576380305</v>
      </c>
      <c r="N209" s="203">
        <f t="shared" si="208"/>
        <v>10339.661105551757</v>
      </c>
      <c r="O209" s="203">
        <f t="shared" si="208"/>
        <v>-30114.705483149737</v>
      </c>
      <c r="P209" s="203">
        <f t="shared" si="208"/>
        <v>-56619.681827013381</v>
      </c>
      <c r="Q209" s="265"/>
    </row>
    <row r="210" spans="1:17" s="350" customFormat="1" x14ac:dyDescent="0.2">
      <c r="A210" s="348"/>
      <c r="B210" s="478" t="s">
        <v>464</v>
      </c>
      <c r="C210" s="480">
        <f>+C190+C199+C208</f>
        <v>159765.70397771412</v>
      </c>
      <c r="D210" s="480">
        <f t="shared" ref="D210:P210" si="209">+D190+D199+D208</f>
        <v>129537.35663164733</v>
      </c>
      <c r="E210" s="480">
        <f t="shared" si="209"/>
        <v>191575.39422866123</v>
      </c>
      <c r="F210" s="480">
        <f t="shared" si="209"/>
        <v>212204.92378495669</v>
      </c>
      <c r="G210" s="480">
        <f t="shared" si="209"/>
        <v>227538.43939271884</v>
      </c>
      <c r="H210" s="480">
        <f t="shared" si="209"/>
        <v>250633.67266271351</v>
      </c>
      <c r="I210" s="480">
        <f t="shared" si="209"/>
        <v>305661.96189682791</v>
      </c>
      <c r="J210" s="480">
        <f t="shared" si="209"/>
        <v>243831.0693993204</v>
      </c>
      <c r="K210" s="480">
        <f t="shared" si="209"/>
        <v>220848.80191477702</v>
      </c>
      <c r="L210" s="480">
        <f t="shared" si="209"/>
        <v>187385.86401735921</v>
      </c>
      <c r="M210" s="480">
        <f t="shared" si="209"/>
        <v>137217.4315455553</v>
      </c>
      <c r="N210" s="480">
        <f t="shared" si="209"/>
        <v>85148.984984382376</v>
      </c>
      <c r="O210" s="480">
        <f t="shared" si="209"/>
        <v>46688.108825956166</v>
      </c>
      <c r="P210" s="480">
        <f t="shared" si="209"/>
        <v>22234.733899657185</v>
      </c>
      <c r="Q210" s="349"/>
    </row>
    <row r="211" spans="1:17" s="350" customFormat="1" x14ac:dyDescent="0.2">
      <c r="A211" s="871"/>
      <c r="B211" s="872"/>
      <c r="C211" s="873"/>
      <c r="D211" s="873"/>
      <c r="E211" s="873"/>
      <c r="F211" s="873"/>
      <c r="G211" s="873"/>
      <c r="H211" s="873"/>
      <c r="I211" s="873"/>
      <c r="J211" s="873"/>
      <c r="K211" s="873"/>
      <c r="L211" s="873"/>
      <c r="M211" s="873"/>
      <c r="N211" s="873"/>
      <c r="O211" s="873"/>
      <c r="P211" s="873"/>
      <c r="Q211" s="349"/>
    </row>
    <row r="212" spans="1:17" s="11" customFormat="1" x14ac:dyDescent="0.2">
      <c r="A212" s="7"/>
      <c r="B212" s="10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</row>
    <row r="213" spans="1:17" s="21" customFormat="1" x14ac:dyDescent="0.2">
      <c r="A213" s="19"/>
      <c r="B213" s="20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</row>
    <row r="214" spans="1:17" s="59" customFormat="1" x14ac:dyDescent="0.2">
      <c r="A214" s="58"/>
      <c r="B214" s="86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</row>
    <row r="215" spans="1:17" s="12" customFormat="1" x14ac:dyDescent="0.2">
      <c r="A215" s="19"/>
      <c r="B215" s="20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21"/>
    </row>
    <row r="216" spans="1:17" s="60" customFormat="1" x14ac:dyDescent="0.2">
      <c r="A216" s="58"/>
      <c r="B216" s="86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59"/>
    </row>
    <row r="217" spans="1:17" s="11" customFormat="1" x14ac:dyDescent="0.2">
      <c r="A217" s="7"/>
      <c r="B217" s="10"/>
      <c r="C217" s="232"/>
      <c r="D217" s="51"/>
      <c r="E217" s="232"/>
      <c r="F217" s="232"/>
      <c r="G217" s="52"/>
      <c r="H217" s="57"/>
      <c r="I217" s="232"/>
      <c r="J217" s="232"/>
      <c r="K217" s="232"/>
      <c r="L217" s="232"/>
      <c r="M217" s="232"/>
    </row>
    <row r="227" spans="1:17" x14ac:dyDescent="0.2">
      <c r="A227" s="232"/>
      <c r="B227" s="232"/>
      <c r="G227" s="232"/>
      <c r="H227" s="232"/>
      <c r="N227" s="232"/>
      <c r="O227" s="232"/>
      <c r="P227" s="232"/>
      <c r="Q227" s="232"/>
    </row>
    <row r="228" spans="1:17" x14ac:dyDescent="0.2">
      <c r="A228" s="232"/>
      <c r="B228" s="232"/>
      <c r="G228" s="232"/>
      <c r="H228" s="232"/>
      <c r="N228" s="232"/>
      <c r="O228" s="232"/>
      <c r="P228" s="232"/>
      <c r="Q228" s="232"/>
    </row>
    <row r="234" spans="1:17" x14ac:dyDescent="0.2">
      <c r="C234" s="232" t="s">
        <v>450</v>
      </c>
      <c r="D234" s="232" t="s">
        <v>451</v>
      </c>
    </row>
    <row r="235" spans="1:17" x14ac:dyDescent="0.2">
      <c r="B235" s="10" t="str">
        <f>+B189</f>
        <v>Финансовый результат по производству  э/энергии (мощности), тыс. руб.</v>
      </c>
      <c r="C235" s="369">
        <f>+H189/1000</f>
        <v>-51.611735906927379</v>
      </c>
    </row>
    <row r="236" spans="1:17" x14ac:dyDescent="0.2">
      <c r="B236" s="10" t="str">
        <f>+B198</f>
        <v>Финансовый результат по производству  т/энергии, тыс. руб.</v>
      </c>
      <c r="C236" s="369">
        <f>+H198/1000</f>
        <v>183.35128103352898</v>
      </c>
      <c r="D236" s="369" t="e">
        <f>+C236+#REF!+#REF!+#REF!+#REF!+#REF!</f>
        <v>#REF!</v>
      </c>
    </row>
  </sheetData>
  <sheetProtection formatCells="0" formatColumns="0" formatRows="0" insertColumns="0" insertRows="0" insertHyperlinks="0" deleteColumns="0" deleteRows="0" sort="0" autoFilter="0" pivotTables="0"/>
  <pageMargins left="0.74803149606299213" right="0.74803149606299213" top="0.98425196850393704" bottom="0.98425196850393704" header="0.51181102362204722" footer="0.51181102362204722"/>
  <pageSetup paperSize="8" scale="40" fitToHeight="0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>
    <tabColor rgb="FFFF0000"/>
  </sheetPr>
  <dimension ref="A1:AA306"/>
  <sheetViews>
    <sheetView view="pageBreakPreview" zoomScaleNormal="100" zoomScaleSheetLayoutView="100" workbookViewId="0">
      <pane xSplit="2" ySplit="2" topLeftCell="C277" activePane="bottomRight" state="frozen"/>
      <selection activeCell="G447" sqref="G447"/>
      <selection pane="topRight" activeCell="G447" sqref="G447"/>
      <selection pane="bottomLeft" activeCell="G447" sqref="G447"/>
      <selection pane="bottomRight" activeCell="C265" sqref="C265"/>
    </sheetView>
  </sheetViews>
  <sheetFormatPr defaultRowHeight="11.25" x14ac:dyDescent="0.2"/>
  <cols>
    <col min="1" max="1" width="4.28515625" style="7" customWidth="1"/>
    <col min="2" max="2" width="54.7109375" style="10" customWidth="1"/>
    <col min="3" max="6" width="10.7109375" style="231" customWidth="1"/>
    <col min="7" max="7" width="10.7109375" style="52" customWidth="1"/>
    <col min="8" max="8" width="10.7109375" style="57" customWidth="1"/>
    <col min="9" max="13" width="10.7109375" style="231" customWidth="1"/>
    <col min="14" max="16" width="10.7109375" style="11" customWidth="1"/>
    <col min="17" max="17" width="2.140625" style="11" customWidth="1"/>
    <col min="18" max="18" width="8.85546875" style="11" customWidth="1"/>
    <col min="19" max="19" width="9.140625" style="11"/>
    <col min="20" max="16384" width="9.140625" style="231"/>
  </cols>
  <sheetData>
    <row r="1" spans="1:19" x14ac:dyDescent="0.2">
      <c r="B1" s="232" t="s">
        <v>488</v>
      </c>
      <c r="G1" s="231"/>
      <c r="H1" s="231"/>
      <c r="N1" s="13"/>
      <c r="O1" s="13"/>
      <c r="P1" s="13"/>
    </row>
    <row r="2" spans="1:19" s="144" customFormat="1" x14ac:dyDescent="0.2">
      <c r="A2" s="142"/>
      <c r="B2" s="442"/>
      <c r="C2" s="142" t="s">
        <v>454</v>
      </c>
      <c r="D2" s="142" t="s">
        <v>453</v>
      </c>
      <c r="E2" s="142">
        <v>2019</v>
      </c>
      <c r="F2" s="142">
        <v>2020</v>
      </c>
      <c r="G2" s="142">
        <v>2021</v>
      </c>
      <c r="H2" s="142">
        <v>2022</v>
      </c>
      <c r="I2" s="142">
        <v>2023</v>
      </c>
      <c r="J2" s="142">
        <v>2024</v>
      </c>
      <c r="K2" s="142">
        <v>2025</v>
      </c>
      <c r="L2" s="142">
        <v>2026</v>
      </c>
      <c r="M2" s="142">
        <v>2027</v>
      </c>
      <c r="N2" s="142">
        <v>2028</v>
      </c>
      <c r="O2" s="142">
        <v>2029</v>
      </c>
      <c r="P2" s="142">
        <v>2030</v>
      </c>
    </row>
    <row r="3" spans="1:19" s="63" customFormat="1" x14ac:dyDescent="0.2">
      <c r="A3" s="61">
        <f>COLUMN()</f>
        <v>1</v>
      </c>
      <c r="B3" s="61">
        <f>COLUMN()</f>
        <v>2</v>
      </c>
      <c r="C3" s="61">
        <f>COLUMN()</f>
        <v>3</v>
      </c>
      <c r="D3" s="61">
        <f>COLUMN()</f>
        <v>4</v>
      </c>
      <c r="E3" s="61">
        <f>COLUMN()</f>
        <v>5</v>
      </c>
      <c r="F3" s="61">
        <f>COLUMN()</f>
        <v>6</v>
      </c>
      <c r="G3" s="61">
        <f>COLUMN()</f>
        <v>7</v>
      </c>
      <c r="H3" s="61">
        <f>COLUMN()</f>
        <v>8</v>
      </c>
      <c r="I3" s="61">
        <f>COLUMN()</f>
        <v>9</v>
      </c>
      <c r="J3" s="61">
        <f>COLUMN()</f>
        <v>10</v>
      </c>
      <c r="K3" s="61">
        <f>COLUMN()</f>
        <v>11</v>
      </c>
      <c r="L3" s="61">
        <f>COLUMN()</f>
        <v>12</v>
      </c>
      <c r="M3" s="61">
        <f>COLUMN()</f>
        <v>13</v>
      </c>
      <c r="N3" s="61">
        <f>COLUMN()</f>
        <v>14</v>
      </c>
      <c r="O3" s="61">
        <f>COLUMN()</f>
        <v>15</v>
      </c>
      <c r="P3" s="61">
        <f>COLUMN()</f>
        <v>16</v>
      </c>
      <c r="Q3" s="62"/>
      <c r="R3" s="62"/>
      <c r="S3" s="62"/>
    </row>
    <row r="4" spans="1:19" s="18" customFormat="1" ht="12.75" customHeight="1" x14ac:dyDescent="0.2">
      <c r="A4" s="939" t="s">
        <v>12</v>
      </c>
      <c r="B4" s="940"/>
      <c r="C4" s="28"/>
      <c r="D4" s="28"/>
      <c r="E4" s="269"/>
      <c r="F4" s="269"/>
      <c r="G4" s="269"/>
      <c r="H4" s="269"/>
      <c r="I4" s="269"/>
      <c r="J4" s="269"/>
      <c r="K4" s="269"/>
      <c r="L4" s="269"/>
      <c r="M4" s="269"/>
      <c r="N4" s="26"/>
      <c r="O4" s="26"/>
      <c r="P4" s="26"/>
      <c r="Q4" s="17"/>
      <c r="R4" s="77"/>
      <c r="S4" s="16"/>
    </row>
    <row r="5" spans="1:19" s="74" customFormat="1" x14ac:dyDescent="0.2">
      <c r="A5" s="71">
        <v>6</v>
      </c>
      <c r="B5" s="101" t="s">
        <v>367</v>
      </c>
      <c r="C5" s="103">
        <f t="shared" ref="C5:P5" si="0">SUM(C6:C6)</f>
        <v>650.0100000000001</v>
      </c>
      <c r="D5" s="103">
        <f t="shared" si="0"/>
        <v>650.0100000000001</v>
      </c>
      <c r="E5" s="103">
        <f t="shared" si="0"/>
        <v>650.0100000000001</v>
      </c>
      <c r="F5" s="103">
        <f t="shared" si="0"/>
        <v>650.0100000000001</v>
      </c>
      <c r="G5" s="103">
        <f t="shared" si="0"/>
        <v>650.0100000000001</v>
      </c>
      <c r="H5" s="103">
        <f t="shared" si="0"/>
        <v>650.0100000000001</v>
      </c>
      <c r="I5" s="103">
        <f t="shared" si="0"/>
        <v>650.0100000000001</v>
      </c>
      <c r="J5" s="103">
        <f t="shared" si="0"/>
        <v>650.0100000000001</v>
      </c>
      <c r="K5" s="103">
        <f t="shared" si="0"/>
        <v>650.0100000000001</v>
      </c>
      <c r="L5" s="103">
        <f t="shared" si="0"/>
        <v>650.0100000000001</v>
      </c>
      <c r="M5" s="103">
        <f t="shared" si="0"/>
        <v>650.0100000000001</v>
      </c>
      <c r="N5" s="103">
        <f t="shared" si="0"/>
        <v>650.0100000000001</v>
      </c>
      <c r="O5" s="103">
        <f t="shared" si="0"/>
        <v>650.0100000000001</v>
      </c>
      <c r="P5" s="103">
        <f t="shared" si="0"/>
        <v>650.0100000000001</v>
      </c>
    </row>
    <row r="6" spans="1:19" s="32" customFormat="1" x14ac:dyDescent="0.2">
      <c r="A6" s="33"/>
      <c r="B6" s="205" t="s">
        <v>214</v>
      </c>
      <c r="C6" s="207">
        <f>+C7+C26</f>
        <v>650.0100000000001</v>
      </c>
      <c r="D6" s="207">
        <f t="shared" ref="D6:P6" si="1">+D7+D26</f>
        <v>650.0100000000001</v>
      </c>
      <c r="E6" s="207">
        <f t="shared" si="1"/>
        <v>650.0100000000001</v>
      </c>
      <c r="F6" s="207">
        <f t="shared" si="1"/>
        <v>650.0100000000001</v>
      </c>
      <c r="G6" s="207">
        <f t="shared" si="1"/>
        <v>650.0100000000001</v>
      </c>
      <c r="H6" s="207">
        <f t="shared" si="1"/>
        <v>650.0100000000001</v>
      </c>
      <c r="I6" s="207">
        <f t="shared" si="1"/>
        <v>650.0100000000001</v>
      </c>
      <c r="J6" s="207">
        <f t="shared" si="1"/>
        <v>650.0100000000001</v>
      </c>
      <c r="K6" s="207">
        <f t="shared" si="1"/>
        <v>650.0100000000001</v>
      </c>
      <c r="L6" s="207">
        <f t="shared" si="1"/>
        <v>650.0100000000001</v>
      </c>
      <c r="M6" s="207">
        <f t="shared" si="1"/>
        <v>650.0100000000001</v>
      </c>
      <c r="N6" s="207">
        <f t="shared" si="1"/>
        <v>650.0100000000001</v>
      </c>
      <c r="O6" s="207">
        <f t="shared" si="1"/>
        <v>650.0100000000001</v>
      </c>
      <c r="P6" s="207">
        <f t="shared" si="1"/>
        <v>650.0100000000001</v>
      </c>
    </row>
    <row r="7" spans="1:19" s="17" customFormat="1" x14ac:dyDescent="0.2">
      <c r="A7" s="56" t="s">
        <v>171</v>
      </c>
      <c r="B7" s="6" t="s">
        <v>368</v>
      </c>
      <c r="C7" s="278">
        <f>SUM(C8:C25)</f>
        <v>578.5100000000001</v>
      </c>
      <c r="D7" s="278">
        <f t="shared" ref="D7:P7" si="2">SUM(D8:D25)</f>
        <v>578.5100000000001</v>
      </c>
      <c r="E7" s="278">
        <f t="shared" si="2"/>
        <v>578.5100000000001</v>
      </c>
      <c r="F7" s="278">
        <f t="shared" si="2"/>
        <v>578.5100000000001</v>
      </c>
      <c r="G7" s="278">
        <f t="shared" si="2"/>
        <v>578.5100000000001</v>
      </c>
      <c r="H7" s="278">
        <f t="shared" si="2"/>
        <v>578.5100000000001</v>
      </c>
      <c r="I7" s="278">
        <f t="shared" si="2"/>
        <v>578.5100000000001</v>
      </c>
      <c r="J7" s="278">
        <f t="shared" si="2"/>
        <v>578.5100000000001</v>
      </c>
      <c r="K7" s="278">
        <f t="shared" si="2"/>
        <v>578.5100000000001</v>
      </c>
      <c r="L7" s="278">
        <f t="shared" si="2"/>
        <v>578.5100000000001</v>
      </c>
      <c r="M7" s="278">
        <f t="shared" si="2"/>
        <v>578.5100000000001</v>
      </c>
      <c r="N7" s="278">
        <f t="shared" si="2"/>
        <v>578.5100000000001</v>
      </c>
      <c r="O7" s="278">
        <f t="shared" si="2"/>
        <v>578.5100000000001</v>
      </c>
      <c r="P7" s="278">
        <f t="shared" si="2"/>
        <v>578.5100000000001</v>
      </c>
    </row>
    <row r="8" spans="1:19" s="11" customFormat="1" x14ac:dyDescent="0.2">
      <c r="A8" s="2"/>
      <c r="B8" s="44" t="s">
        <v>369</v>
      </c>
      <c r="C8" s="107">
        <f>+'[18]приложение 1'!$I$3</f>
        <v>100</v>
      </c>
      <c r="D8" s="90">
        <f>+C8</f>
        <v>100</v>
      </c>
      <c r="E8" s="90">
        <f t="shared" ref="E8:P8" si="3">+D8</f>
        <v>100</v>
      </c>
      <c r="F8" s="90">
        <f t="shared" si="3"/>
        <v>100</v>
      </c>
      <c r="G8" s="90">
        <f t="shared" si="3"/>
        <v>100</v>
      </c>
      <c r="H8" s="90">
        <f t="shared" si="3"/>
        <v>100</v>
      </c>
      <c r="I8" s="90">
        <f t="shared" si="3"/>
        <v>100</v>
      </c>
      <c r="J8" s="90">
        <f t="shared" si="3"/>
        <v>100</v>
      </c>
      <c r="K8" s="90">
        <f t="shared" si="3"/>
        <v>100</v>
      </c>
      <c r="L8" s="90">
        <f t="shared" si="3"/>
        <v>100</v>
      </c>
      <c r="M8" s="90">
        <f t="shared" si="3"/>
        <v>100</v>
      </c>
      <c r="N8" s="90">
        <f t="shared" si="3"/>
        <v>100</v>
      </c>
      <c r="O8" s="90">
        <f t="shared" si="3"/>
        <v>100</v>
      </c>
      <c r="P8" s="90">
        <f t="shared" si="3"/>
        <v>100</v>
      </c>
    </row>
    <row r="9" spans="1:19" s="11" customFormat="1" ht="22.5" x14ac:dyDescent="0.2">
      <c r="A9" s="2"/>
      <c r="B9" s="44" t="s">
        <v>370</v>
      </c>
      <c r="C9" s="208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</row>
    <row r="10" spans="1:19" s="11" customFormat="1" x14ac:dyDescent="0.2">
      <c r="A10" s="2"/>
      <c r="B10" s="44" t="s">
        <v>371</v>
      </c>
      <c r="C10" s="107">
        <f>+'[18]приложение 1'!$H$4</f>
        <v>80</v>
      </c>
      <c r="D10" s="90">
        <f>+C10</f>
        <v>80</v>
      </c>
      <c r="E10" s="90">
        <f t="shared" ref="E10:P11" si="4">+D10</f>
        <v>80</v>
      </c>
      <c r="F10" s="90">
        <f t="shared" si="4"/>
        <v>80</v>
      </c>
      <c r="G10" s="90">
        <f t="shared" si="4"/>
        <v>80</v>
      </c>
      <c r="H10" s="90">
        <f t="shared" si="4"/>
        <v>80</v>
      </c>
      <c r="I10" s="90">
        <f t="shared" si="4"/>
        <v>80</v>
      </c>
      <c r="J10" s="90">
        <f t="shared" si="4"/>
        <v>80</v>
      </c>
      <c r="K10" s="90">
        <f t="shared" si="4"/>
        <v>80</v>
      </c>
      <c r="L10" s="90">
        <f t="shared" si="4"/>
        <v>80</v>
      </c>
      <c r="M10" s="90">
        <f t="shared" si="4"/>
        <v>80</v>
      </c>
      <c r="N10" s="90">
        <f t="shared" si="4"/>
        <v>80</v>
      </c>
      <c r="O10" s="90">
        <f t="shared" si="4"/>
        <v>80</v>
      </c>
      <c r="P10" s="90">
        <f t="shared" si="4"/>
        <v>80</v>
      </c>
    </row>
    <row r="11" spans="1:19" s="11" customFormat="1" x14ac:dyDescent="0.2">
      <c r="A11" s="2"/>
      <c r="B11" s="44" t="s">
        <v>487</v>
      </c>
      <c r="C11" s="107">
        <f>+'[18]приложение 1'!$J$4</f>
        <v>60</v>
      </c>
      <c r="D11" s="90">
        <f>+C11</f>
        <v>60</v>
      </c>
      <c r="E11" s="90">
        <f>+D11</f>
        <v>60</v>
      </c>
      <c r="F11" s="90">
        <f t="shared" si="4"/>
        <v>60</v>
      </c>
      <c r="G11" s="90">
        <f t="shared" si="4"/>
        <v>60</v>
      </c>
      <c r="H11" s="90">
        <f t="shared" si="4"/>
        <v>60</v>
      </c>
      <c r="I11" s="90">
        <f t="shared" si="4"/>
        <v>60</v>
      </c>
      <c r="J11" s="90">
        <f t="shared" si="4"/>
        <v>60</v>
      </c>
      <c r="K11" s="90">
        <f t="shared" si="4"/>
        <v>60</v>
      </c>
      <c r="L11" s="90">
        <f t="shared" si="4"/>
        <v>60</v>
      </c>
      <c r="M11" s="90">
        <f t="shared" si="4"/>
        <v>60</v>
      </c>
      <c r="N11" s="90">
        <f t="shared" si="4"/>
        <v>60</v>
      </c>
      <c r="O11" s="90">
        <f t="shared" si="4"/>
        <v>60</v>
      </c>
      <c r="P11" s="90">
        <f t="shared" si="4"/>
        <v>60</v>
      </c>
    </row>
    <row r="12" spans="1:19" s="11" customFormat="1" x14ac:dyDescent="0.2">
      <c r="A12" s="2"/>
      <c r="B12" s="44" t="s">
        <v>372</v>
      </c>
      <c r="C12" s="107">
        <f>+'[18]приложение 1'!$K$4</f>
        <v>0.32400000000000001</v>
      </c>
      <c r="D12" s="90">
        <f>+C12</f>
        <v>0.32400000000000001</v>
      </c>
      <c r="E12" s="90">
        <f t="shared" ref="E12:P25" si="5">+D12</f>
        <v>0.32400000000000001</v>
      </c>
      <c r="F12" s="90">
        <f t="shared" si="5"/>
        <v>0.32400000000000001</v>
      </c>
      <c r="G12" s="90">
        <f t="shared" si="5"/>
        <v>0.32400000000000001</v>
      </c>
      <c r="H12" s="90">
        <f t="shared" si="5"/>
        <v>0.32400000000000001</v>
      </c>
      <c r="I12" s="90">
        <f t="shared" si="5"/>
        <v>0.32400000000000001</v>
      </c>
      <c r="J12" s="90">
        <f t="shared" si="5"/>
        <v>0.32400000000000001</v>
      </c>
      <c r="K12" s="90">
        <f t="shared" si="5"/>
        <v>0.32400000000000001</v>
      </c>
      <c r="L12" s="90">
        <f t="shared" si="5"/>
        <v>0.32400000000000001</v>
      </c>
      <c r="M12" s="90">
        <f t="shared" si="5"/>
        <v>0.32400000000000001</v>
      </c>
      <c r="N12" s="90">
        <f t="shared" si="5"/>
        <v>0.32400000000000001</v>
      </c>
      <c r="O12" s="90">
        <f t="shared" si="5"/>
        <v>0.32400000000000001</v>
      </c>
      <c r="P12" s="90">
        <f t="shared" si="5"/>
        <v>0.32400000000000001</v>
      </c>
    </row>
    <row r="13" spans="1:19" s="11" customFormat="1" x14ac:dyDescent="0.2">
      <c r="A13" s="2"/>
      <c r="B13" s="496" t="s">
        <v>476</v>
      </c>
      <c r="C13" s="90">
        <f>+D13</f>
        <v>250</v>
      </c>
      <c r="D13" s="89">
        <v>250</v>
      </c>
      <c r="E13" s="90">
        <f t="shared" si="5"/>
        <v>250</v>
      </c>
      <c r="F13" s="90">
        <f t="shared" si="5"/>
        <v>250</v>
      </c>
      <c r="G13" s="90">
        <f t="shared" si="5"/>
        <v>250</v>
      </c>
      <c r="H13" s="90">
        <f t="shared" si="5"/>
        <v>250</v>
      </c>
      <c r="I13" s="90">
        <f t="shared" si="5"/>
        <v>250</v>
      </c>
      <c r="J13" s="90">
        <f t="shared" si="5"/>
        <v>250</v>
      </c>
      <c r="K13" s="90">
        <f t="shared" si="5"/>
        <v>250</v>
      </c>
      <c r="L13" s="90">
        <f t="shared" si="5"/>
        <v>250</v>
      </c>
      <c r="M13" s="90">
        <f t="shared" si="5"/>
        <v>250</v>
      </c>
      <c r="N13" s="90">
        <f t="shared" si="5"/>
        <v>250</v>
      </c>
      <c r="O13" s="90">
        <f t="shared" si="5"/>
        <v>250</v>
      </c>
      <c r="P13" s="90">
        <f t="shared" si="5"/>
        <v>250</v>
      </c>
    </row>
    <row r="14" spans="1:19" s="11" customFormat="1" x14ac:dyDescent="0.2">
      <c r="A14" s="2"/>
      <c r="B14" s="496" t="s">
        <v>147</v>
      </c>
      <c r="C14" s="90">
        <f t="shared" ref="C14:C25" si="6">+D14</f>
        <v>12.899999999999999</v>
      </c>
      <c r="D14" s="89">
        <f>2.15*6</f>
        <v>12.899999999999999</v>
      </c>
      <c r="E14" s="90">
        <f t="shared" si="5"/>
        <v>12.899999999999999</v>
      </c>
      <c r="F14" s="90">
        <f t="shared" si="5"/>
        <v>12.899999999999999</v>
      </c>
      <c r="G14" s="90">
        <f t="shared" si="5"/>
        <v>12.899999999999999</v>
      </c>
      <c r="H14" s="90">
        <f t="shared" si="5"/>
        <v>12.899999999999999</v>
      </c>
      <c r="I14" s="90">
        <f t="shared" si="5"/>
        <v>12.899999999999999</v>
      </c>
      <c r="J14" s="90">
        <f t="shared" si="5"/>
        <v>12.899999999999999</v>
      </c>
      <c r="K14" s="90">
        <f t="shared" si="5"/>
        <v>12.899999999999999</v>
      </c>
      <c r="L14" s="90">
        <f t="shared" si="5"/>
        <v>12.899999999999999</v>
      </c>
      <c r="M14" s="90">
        <f t="shared" si="5"/>
        <v>12.899999999999999</v>
      </c>
      <c r="N14" s="90">
        <f t="shared" si="5"/>
        <v>12.899999999999999</v>
      </c>
      <c r="O14" s="90">
        <f t="shared" si="5"/>
        <v>12.899999999999999</v>
      </c>
      <c r="P14" s="90">
        <f t="shared" si="5"/>
        <v>12.899999999999999</v>
      </c>
    </row>
    <row r="15" spans="1:19" s="11" customFormat="1" x14ac:dyDescent="0.2">
      <c r="A15" s="2"/>
      <c r="B15" s="496" t="s">
        <v>148</v>
      </c>
      <c r="C15" s="90">
        <f t="shared" si="6"/>
        <v>0.43</v>
      </c>
      <c r="D15" s="89">
        <v>0.43</v>
      </c>
      <c r="E15" s="90">
        <f t="shared" si="5"/>
        <v>0.43</v>
      </c>
      <c r="F15" s="90">
        <f t="shared" si="5"/>
        <v>0.43</v>
      </c>
      <c r="G15" s="90">
        <f t="shared" si="5"/>
        <v>0.43</v>
      </c>
      <c r="H15" s="90">
        <f t="shared" si="5"/>
        <v>0.43</v>
      </c>
      <c r="I15" s="90">
        <f t="shared" si="5"/>
        <v>0.43</v>
      </c>
      <c r="J15" s="90">
        <f t="shared" si="5"/>
        <v>0.43</v>
      </c>
      <c r="K15" s="90">
        <f t="shared" si="5"/>
        <v>0.43</v>
      </c>
      <c r="L15" s="90">
        <f t="shared" si="5"/>
        <v>0.43</v>
      </c>
      <c r="M15" s="90">
        <f t="shared" si="5"/>
        <v>0.43</v>
      </c>
      <c r="N15" s="90">
        <f t="shared" si="5"/>
        <v>0.43</v>
      </c>
      <c r="O15" s="90">
        <f t="shared" si="5"/>
        <v>0.43</v>
      </c>
      <c r="P15" s="90">
        <f t="shared" si="5"/>
        <v>0.43</v>
      </c>
    </row>
    <row r="16" spans="1:19" s="11" customFormat="1" x14ac:dyDescent="0.2">
      <c r="A16" s="2"/>
      <c r="B16" s="496" t="s">
        <v>478</v>
      </c>
      <c r="C16" s="90">
        <f t="shared" si="6"/>
        <v>0.43</v>
      </c>
      <c r="D16" s="89">
        <f>+D15</f>
        <v>0.43</v>
      </c>
      <c r="E16" s="90">
        <f t="shared" si="5"/>
        <v>0.43</v>
      </c>
      <c r="F16" s="90">
        <f t="shared" si="5"/>
        <v>0.43</v>
      </c>
      <c r="G16" s="90">
        <f t="shared" si="5"/>
        <v>0.43</v>
      </c>
      <c r="H16" s="90">
        <f t="shared" si="5"/>
        <v>0.43</v>
      </c>
      <c r="I16" s="90">
        <f t="shared" si="5"/>
        <v>0.43</v>
      </c>
      <c r="J16" s="90">
        <f t="shared" si="5"/>
        <v>0.43</v>
      </c>
      <c r="K16" s="90">
        <f t="shared" si="5"/>
        <v>0.43</v>
      </c>
      <c r="L16" s="90">
        <f t="shared" si="5"/>
        <v>0.43</v>
      </c>
      <c r="M16" s="90">
        <f t="shared" si="5"/>
        <v>0.43</v>
      </c>
      <c r="N16" s="90">
        <f t="shared" si="5"/>
        <v>0.43</v>
      </c>
      <c r="O16" s="90">
        <f t="shared" si="5"/>
        <v>0.43</v>
      </c>
      <c r="P16" s="90">
        <f t="shared" si="5"/>
        <v>0.43</v>
      </c>
    </row>
    <row r="17" spans="1:16" s="11" customFormat="1" x14ac:dyDescent="0.2">
      <c r="A17" s="2"/>
      <c r="B17" s="496" t="s">
        <v>479</v>
      </c>
      <c r="C17" s="90">
        <f t="shared" si="6"/>
        <v>2.56</v>
      </c>
      <c r="D17" s="89">
        <f>0.83*2+0.9</f>
        <v>2.56</v>
      </c>
      <c r="E17" s="90">
        <f t="shared" si="5"/>
        <v>2.56</v>
      </c>
      <c r="F17" s="90">
        <f t="shared" si="5"/>
        <v>2.56</v>
      </c>
      <c r="G17" s="90">
        <f t="shared" si="5"/>
        <v>2.56</v>
      </c>
      <c r="H17" s="90">
        <f t="shared" si="5"/>
        <v>2.56</v>
      </c>
      <c r="I17" s="90">
        <f t="shared" si="5"/>
        <v>2.56</v>
      </c>
      <c r="J17" s="90">
        <f t="shared" si="5"/>
        <v>2.56</v>
      </c>
      <c r="K17" s="90">
        <f t="shared" si="5"/>
        <v>2.56</v>
      </c>
      <c r="L17" s="90">
        <f t="shared" si="5"/>
        <v>2.56</v>
      </c>
      <c r="M17" s="90">
        <f t="shared" si="5"/>
        <v>2.56</v>
      </c>
      <c r="N17" s="90">
        <f t="shared" si="5"/>
        <v>2.56</v>
      </c>
      <c r="O17" s="90">
        <f t="shared" si="5"/>
        <v>2.56</v>
      </c>
      <c r="P17" s="90">
        <f t="shared" si="5"/>
        <v>2.56</v>
      </c>
    </row>
    <row r="18" spans="1:16" s="11" customFormat="1" x14ac:dyDescent="0.2">
      <c r="A18" s="2"/>
      <c r="B18" s="496" t="s">
        <v>480</v>
      </c>
      <c r="C18" s="90">
        <f t="shared" si="6"/>
        <v>0.43</v>
      </c>
      <c r="D18" s="89">
        <f>+D16</f>
        <v>0.43</v>
      </c>
      <c r="E18" s="90">
        <f t="shared" si="5"/>
        <v>0.43</v>
      </c>
      <c r="F18" s="90">
        <f t="shared" si="5"/>
        <v>0.43</v>
      </c>
      <c r="G18" s="90">
        <f t="shared" si="5"/>
        <v>0.43</v>
      </c>
      <c r="H18" s="90">
        <f t="shared" si="5"/>
        <v>0.43</v>
      </c>
      <c r="I18" s="90">
        <f t="shared" si="5"/>
        <v>0.43</v>
      </c>
      <c r="J18" s="90">
        <f t="shared" si="5"/>
        <v>0.43</v>
      </c>
      <c r="K18" s="90">
        <f t="shared" si="5"/>
        <v>0.43</v>
      </c>
      <c r="L18" s="90">
        <f t="shared" si="5"/>
        <v>0.43</v>
      </c>
      <c r="M18" s="90">
        <f t="shared" si="5"/>
        <v>0.43</v>
      </c>
      <c r="N18" s="90">
        <f t="shared" si="5"/>
        <v>0.43</v>
      </c>
      <c r="O18" s="90">
        <f t="shared" si="5"/>
        <v>0.43</v>
      </c>
      <c r="P18" s="90">
        <f t="shared" si="5"/>
        <v>0.43</v>
      </c>
    </row>
    <row r="19" spans="1:16" s="11" customFormat="1" x14ac:dyDescent="0.2">
      <c r="A19" s="2"/>
      <c r="B19" s="496" t="s">
        <v>149</v>
      </c>
      <c r="C19" s="90">
        <f t="shared" si="6"/>
        <v>0.69600000000000006</v>
      </c>
      <c r="D19" s="89">
        <f>0.232*3</f>
        <v>0.69600000000000006</v>
      </c>
      <c r="E19" s="90">
        <f t="shared" si="5"/>
        <v>0.69600000000000006</v>
      </c>
      <c r="F19" s="90">
        <f t="shared" si="5"/>
        <v>0.69600000000000006</v>
      </c>
      <c r="G19" s="90">
        <f t="shared" si="5"/>
        <v>0.69600000000000006</v>
      </c>
      <c r="H19" s="90">
        <f t="shared" si="5"/>
        <v>0.69600000000000006</v>
      </c>
      <c r="I19" s="90">
        <f t="shared" si="5"/>
        <v>0.69600000000000006</v>
      </c>
      <c r="J19" s="90">
        <f t="shared" si="5"/>
        <v>0.69600000000000006</v>
      </c>
      <c r="K19" s="90">
        <f t="shared" si="5"/>
        <v>0.69600000000000006</v>
      </c>
      <c r="L19" s="90">
        <f t="shared" si="5"/>
        <v>0.69600000000000006</v>
      </c>
      <c r="M19" s="90">
        <f t="shared" si="5"/>
        <v>0.69600000000000006</v>
      </c>
      <c r="N19" s="90">
        <f t="shared" si="5"/>
        <v>0.69600000000000006</v>
      </c>
      <c r="O19" s="90">
        <f t="shared" si="5"/>
        <v>0.69600000000000006</v>
      </c>
      <c r="P19" s="90">
        <f t="shared" si="5"/>
        <v>0.69600000000000006</v>
      </c>
    </row>
    <row r="20" spans="1:16" s="11" customFormat="1" x14ac:dyDescent="0.2">
      <c r="A20" s="2"/>
      <c r="B20" s="496" t="s">
        <v>481</v>
      </c>
      <c r="C20" s="90">
        <f t="shared" si="6"/>
        <v>5.67</v>
      </c>
      <c r="D20" s="89">
        <f>1.89*3</f>
        <v>5.67</v>
      </c>
      <c r="E20" s="90">
        <f t="shared" si="5"/>
        <v>5.67</v>
      </c>
      <c r="F20" s="90">
        <f t="shared" si="5"/>
        <v>5.67</v>
      </c>
      <c r="G20" s="90">
        <f t="shared" si="5"/>
        <v>5.67</v>
      </c>
      <c r="H20" s="90">
        <f t="shared" si="5"/>
        <v>5.67</v>
      </c>
      <c r="I20" s="90">
        <f t="shared" si="5"/>
        <v>5.67</v>
      </c>
      <c r="J20" s="90">
        <f t="shared" si="5"/>
        <v>5.67</v>
      </c>
      <c r="K20" s="90">
        <f t="shared" si="5"/>
        <v>5.67</v>
      </c>
      <c r="L20" s="90">
        <f t="shared" si="5"/>
        <v>5.67</v>
      </c>
      <c r="M20" s="90">
        <f t="shared" si="5"/>
        <v>5.67</v>
      </c>
      <c r="N20" s="90">
        <f t="shared" si="5"/>
        <v>5.67</v>
      </c>
      <c r="O20" s="90">
        <f t="shared" si="5"/>
        <v>5.67</v>
      </c>
      <c r="P20" s="90">
        <f t="shared" si="5"/>
        <v>5.67</v>
      </c>
    </row>
    <row r="21" spans="1:16" s="11" customFormat="1" x14ac:dyDescent="0.2">
      <c r="A21" s="2"/>
      <c r="B21" s="496" t="s">
        <v>483</v>
      </c>
      <c r="C21" s="90">
        <f t="shared" si="6"/>
        <v>11.7</v>
      </c>
      <c r="D21" s="89">
        <f>1.35*2+3*3</f>
        <v>11.7</v>
      </c>
      <c r="E21" s="90">
        <f t="shared" si="5"/>
        <v>11.7</v>
      </c>
      <c r="F21" s="90">
        <f t="shared" si="5"/>
        <v>11.7</v>
      </c>
      <c r="G21" s="90">
        <f t="shared" si="5"/>
        <v>11.7</v>
      </c>
      <c r="H21" s="90">
        <f t="shared" si="5"/>
        <v>11.7</v>
      </c>
      <c r="I21" s="90">
        <f t="shared" si="5"/>
        <v>11.7</v>
      </c>
      <c r="J21" s="90">
        <f t="shared" si="5"/>
        <v>11.7</v>
      </c>
      <c r="K21" s="90">
        <f t="shared" si="5"/>
        <v>11.7</v>
      </c>
      <c r="L21" s="90">
        <f t="shared" si="5"/>
        <v>11.7</v>
      </c>
      <c r="M21" s="90">
        <f t="shared" si="5"/>
        <v>11.7</v>
      </c>
      <c r="N21" s="90">
        <f t="shared" si="5"/>
        <v>11.7</v>
      </c>
      <c r="O21" s="90">
        <f t="shared" si="5"/>
        <v>11.7</v>
      </c>
      <c r="P21" s="90">
        <f t="shared" si="5"/>
        <v>11.7</v>
      </c>
    </row>
    <row r="22" spans="1:16" s="11" customFormat="1" x14ac:dyDescent="0.2">
      <c r="A22" s="2"/>
      <c r="B22" s="496" t="s">
        <v>484</v>
      </c>
      <c r="C22" s="90">
        <f t="shared" si="6"/>
        <v>24</v>
      </c>
      <c r="D22" s="89">
        <f>8*3</f>
        <v>24</v>
      </c>
      <c r="E22" s="90">
        <f t="shared" si="5"/>
        <v>24</v>
      </c>
      <c r="F22" s="90">
        <f t="shared" si="5"/>
        <v>24</v>
      </c>
      <c r="G22" s="90">
        <f t="shared" si="5"/>
        <v>24</v>
      </c>
      <c r="H22" s="90">
        <f t="shared" si="5"/>
        <v>24</v>
      </c>
      <c r="I22" s="90">
        <f t="shared" si="5"/>
        <v>24</v>
      </c>
      <c r="J22" s="90">
        <f t="shared" si="5"/>
        <v>24</v>
      </c>
      <c r="K22" s="90">
        <f t="shared" si="5"/>
        <v>24</v>
      </c>
      <c r="L22" s="90">
        <f t="shared" si="5"/>
        <v>24</v>
      </c>
      <c r="M22" s="90">
        <f t="shared" si="5"/>
        <v>24</v>
      </c>
      <c r="N22" s="90">
        <f t="shared" si="5"/>
        <v>24</v>
      </c>
      <c r="O22" s="90">
        <f t="shared" si="5"/>
        <v>24</v>
      </c>
      <c r="P22" s="90">
        <f t="shared" si="5"/>
        <v>24</v>
      </c>
    </row>
    <row r="23" spans="1:16" s="11" customFormat="1" x14ac:dyDescent="0.2">
      <c r="A23" s="2"/>
      <c r="B23" s="496" t="s">
        <v>485</v>
      </c>
      <c r="C23" s="90">
        <f t="shared" si="6"/>
        <v>20.64</v>
      </c>
      <c r="D23" s="89">
        <f>6.88*3</f>
        <v>20.64</v>
      </c>
      <c r="E23" s="90">
        <f t="shared" si="5"/>
        <v>20.64</v>
      </c>
      <c r="F23" s="90">
        <f t="shared" si="5"/>
        <v>20.64</v>
      </c>
      <c r="G23" s="90">
        <f t="shared" si="5"/>
        <v>20.64</v>
      </c>
      <c r="H23" s="90">
        <f t="shared" si="5"/>
        <v>20.64</v>
      </c>
      <c r="I23" s="90">
        <f t="shared" si="5"/>
        <v>20.64</v>
      </c>
      <c r="J23" s="90">
        <f t="shared" si="5"/>
        <v>20.64</v>
      </c>
      <c r="K23" s="90">
        <f t="shared" si="5"/>
        <v>20.64</v>
      </c>
      <c r="L23" s="90">
        <f t="shared" si="5"/>
        <v>20.64</v>
      </c>
      <c r="M23" s="90">
        <f t="shared" si="5"/>
        <v>20.64</v>
      </c>
      <c r="N23" s="90">
        <f t="shared" si="5"/>
        <v>20.64</v>
      </c>
      <c r="O23" s="90">
        <f t="shared" si="5"/>
        <v>20.64</v>
      </c>
      <c r="P23" s="90">
        <f t="shared" si="5"/>
        <v>20.64</v>
      </c>
    </row>
    <row r="24" spans="1:16" s="11" customFormat="1" x14ac:dyDescent="0.2">
      <c r="A24" s="2"/>
      <c r="B24" s="496" t="s">
        <v>150</v>
      </c>
      <c r="C24" s="90">
        <f t="shared" si="6"/>
        <v>7.35</v>
      </c>
      <c r="D24" s="89">
        <f>2.5*2+2.35</f>
        <v>7.35</v>
      </c>
      <c r="E24" s="90">
        <f t="shared" si="5"/>
        <v>7.35</v>
      </c>
      <c r="F24" s="90">
        <f t="shared" si="5"/>
        <v>7.35</v>
      </c>
      <c r="G24" s="90">
        <f t="shared" si="5"/>
        <v>7.35</v>
      </c>
      <c r="H24" s="90">
        <f t="shared" si="5"/>
        <v>7.35</v>
      </c>
      <c r="I24" s="90">
        <f t="shared" si="5"/>
        <v>7.35</v>
      </c>
      <c r="J24" s="90">
        <f t="shared" si="5"/>
        <v>7.35</v>
      </c>
      <c r="K24" s="90">
        <f t="shared" si="5"/>
        <v>7.35</v>
      </c>
      <c r="L24" s="90">
        <f t="shared" si="5"/>
        <v>7.35</v>
      </c>
      <c r="M24" s="90">
        <f t="shared" si="5"/>
        <v>7.35</v>
      </c>
      <c r="N24" s="90">
        <f t="shared" si="5"/>
        <v>7.35</v>
      </c>
      <c r="O24" s="90">
        <f t="shared" si="5"/>
        <v>7.35</v>
      </c>
      <c r="P24" s="90">
        <f t="shared" si="5"/>
        <v>7.35</v>
      </c>
    </row>
    <row r="25" spans="1:16" s="11" customFormat="1" x14ac:dyDescent="0.2">
      <c r="A25" s="2"/>
      <c r="B25" s="496" t="s">
        <v>486</v>
      </c>
      <c r="C25" s="90">
        <f t="shared" si="6"/>
        <v>1.38</v>
      </c>
      <c r="D25" s="89">
        <f>0.44*2+0.5</f>
        <v>1.38</v>
      </c>
      <c r="E25" s="90">
        <f t="shared" si="5"/>
        <v>1.38</v>
      </c>
      <c r="F25" s="90">
        <f t="shared" si="5"/>
        <v>1.38</v>
      </c>
      <c r="G25" s="90">
        <f t="shared" si="5"/>
        <v>1.38</v>
      </c>
      <c r="H25" s="90">
        <f t="shared" si="5"/>
        <v>1.38</v>
      </c>
      <c r="I25" s="90">
        <f t="shared" si="5"/>
        <v>1.38</v>
      </c>
      <c r="J25" s="90">
        <f t="shared" si="5"/>
        <v>1.38</v>
      </c>
      <c r="K25" s="90">
        <f t="shared" si="5"/>
        <v>1.38</v>
      </c>
      <c r="L25" s="90">
        <f t="shared" si="5"/>
        <v>1.38</v>
      </c>
      <c r="M25" s="90">
        <f t="shared" si="5"/>
        <v>1.38</v>
      </c>
      <c r="N25" s="90">
        <f t="shared" si="5"/>
        <v>1.38</v>
      </c>
      <c r="O25" s="90">
        <f t="shared" si="5"/>
        <v>1.38</v>
      </c>
      <c r="P25" s="90">
        <f t="shared" si="5"/>
        <v>1.38</v>
      </c>
    </row>
    <row r="26" spans="1:16" s="17" customFormat="1" x14ac:dyDescent="0.2">
      <c r="A26" s="56" t="s">
        <v>204</v>
      </c>
      <c r="B26" s="6" t="s">
        <v>452</v>
      </c>
      <c r="C26" s="278">
        <f>SUM(C27:C28)</f>
        <v>71.5</v>
      </c>
      <c r="D26" s="278">
        <f t="shared" ref="D26" si="7">SUM(D27:D28)</f>
        <v>71.5</v>
      </c>
      <c r="E26" s="278">
        <f t="shared" ref="E26" si="8">SUM(E27:E28)</f>
        <v>71.5</v>
      </c>
      <c r="F26" s="278">
        <f t="shared" ref="F26" si="9">SUM(F27:F28)</f>
        <v>71.5</v>
      </c>
      <c r="G26" s="278">
        <f t="shared" ref="G26" si="10">SUM(G27:G28)</f>
        <v>71.5</v>
      </c>
      <c r="H26" s="278">
        <f t="shared" ref="H26" si="11">SUM(H27:H28)</f>
        <v>71.5</v>
      </c>
      <c r="I26" s="278">
        <f t="shared" ref="I26" si="12">SUM(I27:I28)</f>
        <v>71.5</v>
      </c>
      <c r="J26" s="278">
        <f t="shared" ref="J26" si="13">SUM(J27:J28)</f>
        <v>71.5</v>
      </c>
      <c r="K26" s="278">
        <f t="shared" ref="K26" si="14">SUM(K27:K28)</f>
        <v>71.5</v>
      </c>
      <c r="L26" s="278">
        <f t="shared" ref="L26" si="15">SUM(L27:L28)</f>
        <v>71.5</v>
      </c>
      <c r="M26" s="278">
        <f t="shared" ref="M26" si="16">SUM(M27:M28)</f>
        <v>71.5</v>
      </c>
      <c r="N26" s="278">
        <f t="shared" ref="N26" si="17">SUM(N27:N28)</f>
        <v>71.5</v>
      </c>
      <c r="O26" s="278">
        <f t="shared" ref="O26" si="18">SUM(O27:O28)</f>
        <v>71.5</v>
      </c>
      <c r="P26" s="278">
        <f t="shared" ref="P26" si="19">SUM(P27:P28)</f>
        <v>71.5</v>
      </c>
    </row>
    <row r="27" spans="1:16" s="11" customFormat="1" x14ac:dyDescent="0.2">
      <c r="A27" s="2"/>
      <c r="B27" s="44" t="s">
        <v>418</v>
      </c>
      <c r="C27" s="107">
        <v>25</v>
      </c>
      <c r="D27" s="90">
        <f>+C27</f>
        <v>25</v>
      </c>
      <c r="E27" s="90">
        <f t="shared" ref="E27:E28" si="20">+D27</f>
        <v>25</v>
      </c>
      <c r="F27" s="90">
        <f t="shared" ref="F27:F28" si="21">+E27</f>
        <v>25</v>
      </c>
      <c r="G27" s="90">
        <f t="shared" ref="G27:G28" si="22">+F27</f>
        <v>25</v>
      </c>
      <c r="H27" s="90">
        <f t="shared" ref="H27:H28" si="23">+G27</f>
        <v>25</v>
      </c>
      <c r="I27" s="90">
        <f t="shared" ref="I27:I28" si="24">+H27</f>
        <v>25</v>
      </c>
      <c r="J27" s="90">
        <f t="shared" ref="J27:J28" si="25">+I27</f>
        <v>25</v>
      </c>
      <c r="K27" s="90">
        <f t="shared" ref="K27:K28" si="26">+J27</f>
        <v>25</v>
      </c>
      <c r="L27" s="90">
        <f t="shared" ref="L27:L28" si="27">+K27</f>
        <v>25</v>
      </c>
      <c r="M27" s="90">
        <f t="shared" ref="M27:M28" si="28">+L27</f>
        <v>25</v>
      </c>
      <c r="N27" s="90">
        <f t="shared" ref="N27:N28" si="29">+M27</f>
        <v>25</v>
      </c>
      <c r="O27" s="90">
        <f t="shared" ref="O27:O28" si="30">+N27</f>
        <v>25</v>
      </c>
      <c r="P27" s="90">
        <f t="shared" ref="P27:P28" si="31">+O27</f>
        <v>25</v>
      </c>
    </row>
    <row r="28" spans="1:16" s="11" customFormat="1" x14ac:dyDescent="0.2">
      <c r="A28" s="2"/>
      <c r="B28" s="44" t="s">
        <v>419</v>
      </c>
      <c r="C28" s="107">
        <v>46.5</v>
      </c>
      <c r="D28" s="90">
        <f>+C28</f>
        <v>46.5</v>
      </c>
      <c r="E28" s="90">
        <f t="shared" si="20"/>
        <v>46.5</v>
      </c>
      <c r="F28" s="90">
        <f t="shared" si="21"/>
        <v>46.5</v>
      </c>
      <c r="G28" s="90">
        <f t="shared" si="22"/>
        <v>46.5</v>
      </c>
      <c r="H28" s="90">
        <f t="shared" si="23"/>
        <v>46.5</v>
      </c>
      <c r="I28" s="90">
        <f t="shared" si="24"/>
        <v>46.5</v>
      </c>
      <c r="J28" s="90">
        <f t="shared" si="25"/>
        <v>46.5</v>
      </c>
      <c r="K28" s="90">
        <f t="shared" si="26"/>
        <v>46.5</v>
      </c>
      <c r="L28" s="90">
        <f t="shared" si="27"/>
        <v>46.5</v>
      </c>
      <c r="M28" s="90">
        <f t="shared" si="28"/>
        <v>46.5</v>
      </c>
      <c r="N28" s="90">
        <f t="shared" si="29"/>
        <v>46.5</v>
      </c>
      <c r="O28" s="90">
        <f t="shared" si="30"/>
        <v>46.5</v>
      </c>
      <c r="P28" s="90">
        <f t="shared" si="31"/>
        <v>46.5</v>
      </c>
    </row>
    <row r="29" spans="1:16" s="74" customFormat="1" x14ac:dyDescent="0.2">
      <c r="A29" s="271">
        <v>7</v>
      </c>
      <c r="B29" s="101" t="s">
        <v>373</v>
      </c>
      <c r="C29" s="103">
        <f>+C30</f>
        <v>395.28399999999993</v>
      </c>
      <c r="D29" s="103">
        <f t="shared" ref="D29:P29" si="32">+D30</f>
        <v>395.28399999999993</v>
      </c>
      <c r="E29" s="103">
        <f t="shared" si="32"/>
        <v>395.28399999999993</v>
      </c>
      <c r="F29" s="103">
        <f t="shared" si="32"/>
        <v>398.43399999999997</v>
      </c>
      <c r="G29" s="103">
        <f t="shared" si="32"/>
        <v>399.67719999999997</v>
      </c>
      <c r="H29" s="103">
        <f t="shared" si="32"/>
        <v>401.07359999999994</v>
      </c>
      <c r="I29" s="103">
        <f t="shared" si="32"/>
        <v>402.62319999999994</v>
      </c>
      <c r="J29" s="103">
        <f t="shared" si="32"/>
        <v>404.32599999999991</v>
      </c>
      <c r="K29" s="103">
        <f t="shared" si="32"/>
        <v>406.18199999999996</v>
      </c>
      <c r="L29" s="103">
        <f t="shared" si="32"/>
        <v>408.36799999999994</v>
      </c>
      <c r="M29" s="103">
        <f t="shared" si="32"/>
        <v>411.31</v>
      </c>
      <c r="N29" s="103">
        <f t="shared" si="32"/>
        <v>415.00799999999998</v>
      </c>
      <c r="O29" s="103">
        <f t="shared" si="32"/>
        <v>419.46199999999993</v>
      </c>
      <c r="P29" s="103">
        <f t="shared" si="32"/>
        <v>424.67199999999997</v>
      </c>
    </row>
    <row r="30" spans="1:16" s="32" customFormat="1" x14ac:dyDescent="0.2">
      <c r="A30" s="33"/>
      <c r="B30" s="205" t="s">
        <v>214</v>
      </c>
      <c r="C30" s="207">
        <f t="shared" ref="C30:P30" si="33">+C31+C60</f>
        <v>395.28399999999993</v>
      </c>
      <c r="D30" s="207">
        <f t="shared" si="33"/>
        <v>395.28399999999993</v>
      </c>
      <c r="E30" s="207">
        <f t="shared" si="33"/>
        <v>395.28399999999993</v>
      </c>
      <c r="F30" s="207">
        <f t="shared" si="33"/>
        <v>398.43399999999997</v>
      </c>
      <c r="G30" s="207">
        <f t="shared" si="33"/>
        <v>399.67719999999997</v>
      </c>
      <c r="H30" s="207">
        <f t="shared" si="33"/>
        <v>401.07359999999994</v>
      </c>
      <c r="I30" s="207">
        <f t="shared" si="33"/>
        <v>402.62319999999994</v>
      </c>
      <c r="J30" s="207">
        <f t="shared" si="33"/>
        <v>404.32599999999991</v>
      </c>
      <c r="K30" s="207">
        <f t="shared" si="33"/>
        <v>406.18199999999996</v>
      </c>
      <c r="L30" s="207">
        <f t="shared" si="33"/>
        <v>408.36799999999994</v>
      </c>
      <c r="M30" s="207">
        <f t="shared" si="33"/>
        <v>411.31</v>
      </c>
      <c r="N30" s="207">
        <f t="shared" si="33"/>
        <v>415.00799999999998</v>
      </c>
      <c r="O30" s="207">
        <f t="shared" si="33"/>
        <v>419.46199999999993</v>
      </c>
      <c r="P30" s="207">
        <f t="shared" si="33"/>
        <v>424.67199999999997</v>
      </c>
    </row>
    <row r="31" spans="1:16" s="17" customFormat="1" x14ac:dyDescent="0.2">
      <c r="A31" s="56" t="s">
        <v>175</v>
      </c>
      <c r="B31" s="6" t="s">
        <v>417</v>
      </c>
      <c r="C31" s="278">
        <f>+C32+C36+C39+C42+C43+C46+C47+C48+C49+C50+C51+C52+C55+C56+C57+C58+C59</f>
        <v>376.14399999999995</v>
      </c>
      <c r="D31" s="278">
        <f t="shared" ref="D31:P31" si="34">+D32+D36+D39+D42+D43+D46+D47+D48+D49+D50+D51+D52+D55+D56+D57+D58+D59</f>
        <v>376.14399999999995</v>
      </c>
      <c r="E31" s="278">
        <f t="shared" si="34"/>
        <v>376.14399999999995</v>
      </c>
      <c r="F31" s="278">
        <f t="shared" si="34"/>
        <v>379.29399999999998</v>
      </c>
      <c r="G31" s="278">
        <f t="shared" si="34"/>
        <v>380.53719999999998</v>
      </c>
      <c r="H31" s="278">
        <f t="shared" si="34"/>
        <v>381.93359999999996</v>
      </c>
      <c r="I31" s="278">
        <f t="shared" si="34"/>
        <v>383.48319999999995</v>
      </c>
      <c r="J31" s="278">
        <f t="shared" si="34"/>
        <v>385.18599999999992</v>
      </c>
      <c r="K31" s="278">
        <f t="shared" si="34"/>
        <v>387.04199999999997</v>
      </c>
      <c r="L31" s="278">
        <f t="shared" si="34"/>
        <v>389.22799999999995</v>
      </c>
      <c r="M31" s="278">
        <f t="shared" si="34"/>
        <v>392.17</v>
      </c>
      <c r="N31" s="278">
        <f t="shared" si="34"/>
        <v>395.86799999999999</v>
      </c>
      <c r="O31" s="278">
        <f t="shared" si="34"/>
        <v>400.32199999999995</v>
      </c>
      <c r="P31" s="278">
        <f t="shared" si="34"/>
        <v>405.53199999999998</v>
      </c>
    </row>
    <row r="32" spans="1:16" s="11" customFormat="1" x14ac:dyDescent="0.2">
      <c r="A32" s="2"/>
      <c r="B32" s="44" t="s">
        <v>369</v>
      </c>
      <c r="C32" s="270">
        <f t="shared" ref="C32:P32" si="35">SUM(C33:C34)</f>
        <v>55.097000000000001</v>
      </c>
      <c r="D32" s="270">
        <f t="shared" si="35"/>
        <v>55.097000000000001</v>
      </c>
      <c r="E32" s="270">
        <f t="shared" si="35"/>
        <v>55.097000000000001</v>
      </c>
      <c r="F32" s="270">
        <f t="shared" si="35"/>
        <v>55.697000000000003</v>
      </c>
      <c r="G32" s="270">
        <f t="shared" si="35"/>
        <v>55.697000000000003</v>
      </c>
      <c r="H32" s="270">
        <f t="shared" si="35"/>
        <v>55.697000000000003</v>
      </c>
      <c r="I32" s="270">
        <f t="shared" si="35"/>
        <v>55.697000000000003</v>
      </c>
      <c r="J32" s="270">
        <f t="shared" si="35"/>
        <v>55.697000000000003</v>
      </c>
      <c r="K32" s="270">
        <f t="shared" si="35"/>
        <v>55.697000000000003</v>
      </c>
      <c r="L32" s="270">
        <f t="shared" si="35"/>
        <v>55.697000000000003</v>
      </c>
      <c r="M32" s="270">
        <f t="shared" si="35"/>
        <v>55.697000000000003</v>
      </c>
      <c r="N32" s="270">
        <f t="shared" si="35"/>
        <v>55.697000000000003</v>
      </c>
      <c r="O32" s="270">
        <f t="shared" si="35"/>
        <v>55.697000000000003</v>
      </c>
      <c r="P32" s="270">
        <f t="shared" si="35"/>
        <v>55.697000000000003</v>
      </c>
    </row>
    <row r="33" spans="1:16" s="247" customFormat="1" x14ac:dyDescent="0.2">
      <c r="A33" s="244"/>
      <c r="B33" s="364" t="s">
        <v>374</v>
      </c>
      <c r="C33" s="107">
        <v>55.097000000000001</v>
      </c>
      <c r="D33" s="90">
        <f>+C33</f>
        <v>55.097000000000001</v>
      </c>
      <c r="E33" s="90">
        <f t="shared" ref="E33" si="36">+D33</f>
        <v>55.097000000000001</v>
      </c>
      <c r="F33" s="90">
        <f t="shared" ref="F33" si="37">+E33</f>
        <v>55.097000000000001</v>
      </c>
      <c r="G33" s="90">
        <f t="shared" ref="G33" si="38">+F33</f>
        <v>55.097000000000001</v>
      </c>
      <c r="H33" s="90">
        <f t="shared" ref="H33" si="39">+G33</f>
        <v>55.097000000000001</v>
      </c>
      <c r="I33" s="90">
        <f t="shared" ref="I33" si="40">+H33</f>
        <v>55.097000000000001</v>
      </c>
      <c r="J33" s="90">
        <f t="shared" ref="J33" si="41">+I33</f>
        <v>55.097000000000001</v>
      </c>
      <c r="K33" s="90">
        <f t="shared" ref="K33" si="42">+J33</f>
        <v>55.097000000000001</v>
      </c>
      <c r="L33" s="90">
        <f t="shared" ref="L33" si="43">+K33</f>
        <v>55.097000000000001</v>
      </c>
      <c r="M33" s="90">
        <f t="shared" ref="M33" si="44">+L33</f>
        <v>55.097000000000001</v>
      </c>
      <c r="N33" s="90">
        <f t="shared" ref="N33" si="45">+M33</f>
        <v>55.097000000000001</v>
      </c>
      <c r="O33" s="90">
        <f t="shared" ref="O33" si="46">+N33</f>
        <v>55.097000000000001</v>
      </c>
      <c r="P33" s="90">
        <f t="shared" ref="P33" si="47">+O33</f>
        <v>55.097000000000001</v>
      </c>
    </row>
    <row r="34" spans="1:16" s="213" customFormat="1" x14ac:dyDescent="0.2">
      <c r="A34" s="212"/>
      <c r="B34" s="360" t="s">
        <v>358</v>
      </c>
      <c r="C34" s="209"/>
      <c r="D34" s="209"/>
      <c r="E34" s="209"/>
      <c r="F34" s="204">
        <f t="shared" ref="F34:P34" si="48">0.6</f>
        <v>0.6</v>
      </c>
      <c r="G34" s="204">
        <f t="shared" si="48"/>
        <v>0.6</v>
      </c>
      <c r="H34" s="204">
        <f t="shared" si="48"/>
        <v>0.6</v>
      </c>
      <c r="I34" s="204">
        <f t="shared" si="48"/>
        <v>0.6</v>
      </c>
      <c r="J34" s="204">
        <f t="shared" si="48"/>
        <v>0.6</v>
      </c>
      <c r="K34" s="204">
        <f t="shared" si="48"/>
        <v>0.6</v>
      </c>
      <c r="L34" s="204">
        <f t="shared" si="48"/>
        <v>0.6</v>
      </c>
      <c r="M34" s="204">
        <f t="shared" si="48"/>
        <v>0.6</v>
      </c>
      <c r="N34" s="204">
        <f t="shared" si="48"/>
        <v>0.6</v>
      </c>
      <c r="O34" s="204">
        <f t="shared" si="48"/>
        <v>0.6</v>
      </c>
      <c r="P34" s="204">
        <f t="shared" si="48"/>
        <v>0.6</v>
      </c>
    </row>
    <row r="35" spans="1:16" s="11" customFormat="1" ht="22.5" x14ac:dyDescent="0.2">
      <c r="A35" s="2"/>
      <c r="B35" s="44" t="s">
        <v>370</v>
      </c>
      <c r="C35" s="208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</row>
    <row r="36" spans="1:16" s="11" customFormat="1" x14ac:dyDescent="0.2">
      <c r="A36" s="2"/>
      <c r="B36" s="44" t="s">
        <v>371</v>
      </c>
      <c r="C36" s="270">
        <f>SUM(C37:C38)</f>
        <v>43.031999999999996</v>
      </c>
      <c r="D36" s="270">
        <f t="shared" ref="D36:P36" si="49">SUM(D37:D38)</f>
        <v>43.031999999999996</v>
      </c>
      <c r="E36" s="270">
        <f t="shared" si="49"/>
        <v>43.031999999999996</v>
      </c>
      <c r="F36" s="270">
        <f t="shared" si="49"/>
        <v>44.531999999999996</v>
      </c>
      <c r="G36" s="270">
        <f t="shared" si="49"/>
        <v>44.622</v>
      </c>
      <c r="H36" s="270">
        <f t="shared" si="49"/>
        <v>44.711999999999996</v>
      </c>
      <c r="I36" s="270">
        <f t="shared" si="49"/>
        <v>44.802</v>
      </c>
      <c r="J36" s="270">
        <f t="shared" si="49"/>
        <v>44.891999999999996</v>
      </c>
      <c r="K36" s="270">
        <f t="shared" si="49"/>
        <v>44.981999999999999</v>
      </c>
      <c r="L36" s="270">
        <f t="shared" si="49"/>
        <v>45.433999999999997</v>
      </c>
      <c r="M36" s="270">
        <f t="shared" si="49"/>
        <v>45.885999999999996</v>
      </c>
      <c r="N36" s="270">
        <f t="shared" si="49"/>
        <v>46.337999999999994</v>
      </c>
      <c r="O36" s="270">
        <f t="shared" si="49"/>
        <v>46.79</v>
      </c>
      <c r="P36" s="270">
        <f t="shared" si="49"/>
        <v>47.241999999999997</v>
      </c>
    </row>
    <row r="37" spans="1:16" s="247" customFormat="1" x14ac:dyDescent="0.2">
      <c r="A37" s="244"/>
      <c r="B37" s="364" t="s">
        <v>375</v>
      </c>
      <c r="C37" s="107">
        <f>50.032-7</f>
        <v>43.031999999999996</v>
      </c>
      <c r="D37" s="90">
        <f>+C37</f>
        <v>43.031999999999996</v>
      </c>
      <c r="E37" s="90">
        <f t="shared" ref="E37" si="50">+D37</f>
        <v>43.031999999999996</v>
      </c>
      <c r="F37" s="90">
        <f t="shared" ref="F37" si="51">+E37</f>
        <v>43.031999999999996</v>
      </c>
      <c r="G37" s="90">
        <f t="shared" ref="G37" si="52">+F37</f>
        <v>43.031999999999996</v>
      </c>
      <c r="H37" s="90">
        <f t="shared" ref="H37" si="53">+G37</f>
        <v>43.031999999999996</v>
      </c>
      <c r="I37" s="90">
        <f t="shared" ref="I37" si="54">+H37</f>
        <v>43.031999999999996</v>
      </c>
      <c r="J37" s="90">
        <f t="shared" ref="J37" si="55">+I37</f>
        <v>43.031999999999996</v>
      </c>
      <c r="K37" s="90">
        <f t="shared" ref="K37" si="56">+J37</f>
        <v>43.031999999999996</v>
      </c>
      <c r="L37" s="90">
        <f t="shared" ref="L37" si="57">+K37</f>
        <v>43.031999999999996</v>
      </c>
      <c r="M37" s="90">
        <f t="shared" ref="M37" si="58">+L37</f>
        <v>43.031999999999996</v>
      </c>
      <c r="N37" s="90">
        <f t="shared" ref="N37" si="59">+M37</f>
        <v>43.031999999999996</v>
      </c>
      <c r="O37" s="90">
        <f t="shared" ref="O37" si="60">+N37</f>
        <v>43.031999999999996</v>
      </c>
      <c r="P37" s="90">
        <f t="shared" ref="P37" si="61">+O37</f>
        <v>43.031999999999996</v>
      </c>
    </row>
    <row r="38" spans="1:16" s="213" customFormat="1" x14ac:dyDescent="0.2">
      <c r="A38" s="212"/>
      <c r="B38" s="360" t="s">
        <v>358</v>
      </c>
      <c r="C38" s="209"/>
      <c r="D38" s="209"/>
      <c r="E38" s="209"/>
      <c r="F38" s="204">
        <f>+[2]Кот.!K$98</f>
        <v>1.5</v>
      </c>
      <c r="G38" s="204">
        <f>+[2]Кот.!L$98</f>
        <v>1.59</v>
      </c>
      <c r="H38" s="204">
        <f>+[2]Кот.!M$98</f>
        <v>1.6800000000000002</v>
      </c>
      <c r="I38" s="204">
        <f>+[2]Кот.!N$98</f>
        <v>1.7700000000000002</v>
      </c>
      <c r="J38" s="204">
        <f>+[2]Кот.!O$98</f>
        <v>1.8600000000000003</v>
      </c>
      <c r="K38" s="204">
        <f>+[2]Кот.!P$98</f>
        <v>1.9500000000000004</v>
      </c>
      <c r="L38" s="204">
        <f>+[2]Кот.!Q$98</f>
        <v>2.4020000000000001</v>
      </c>
      <c r="M38" s="204">
        <f>+[2]Кот.!R$98</f>
        <v>2.8540000000000001</v>
      </c>
      <c r="N38" s="204">
        <f>+[2]Кот.!S$98</f>
        <v>3.306</v>
      </c>
      <c r="O38" s="204">
        <f>+[2]Кот.!T$98</f>
        <v>3.758</v>
      </c>
      <c r="P38" s="204">
        <f>+[2]Кот.!U$98</f>
        <v>4.21</v>
      </c>
    </row>
    <row r="39" spans="1:16" s="11" customFormat="1" x14ac:dyDescent="0.2">
      <c r="A39" s="2"/>
      <c r="B39" s="44" t="s">
        <v>487</v>
      </c>
      <c r="C39" s="270">
        <f>SUM(C40:C41)</f>
        <v>22.045999999999999</v>
      </c>
      <c r="D39" s="270">
        <f t="shared" ref="D39:E39" si="62">SUM(D40:D41)</f>
        <v>22.045999999999999</v>
      </c>
      <c r="E39" s="270">
        <f t="shared" si="62"/>
        <v>22.045999999999999</v>
      </c>
      <c r="F39" s="270">
        <f>+E39+F41</f>
        <v>22.045999999999999</v>
      </c>
      <c r="G39" s="270">
        <f>+F39+G41</f>
        <v>22.159199999999998</v>
      </c>
      <c r="H39" s="270">
        <f>+G39+H41</f>
        <v>22.425599999999996</v>
      </c>
      <c r="I39" s="270">
        <f t="shared" ref="I39:P39" si="63">+H39+I41</f>
        <v>22.845199999999995</v>
      </c>
      <c r="J39" s="270">
        <f t="shared" si="63"/>
        <v>23.417999999999992</v>
      </c>
      <c r="K39" s="270">
        <f t="shared" si="63"/>
        <v>24.143999999999991</v>
      </c>
      <c r="L39" s="270">
        <f t="shared" si="63"/>
        <v>25.625999999999991</v>
      </c>
      <c r="M39" s="270">
        <f t="shared" si="63"/>
        <v>27.86399999999999</v>
      </c>
      <c r="N39" s="270">
        <f t="shared" si="63"/>
        <v>30.85799999999999</v>
      </c>
      <c r="O39" s="270">
        <f t="shared" si="63"/>
        <v>34.60799999999999</v>
      </c>
      <c r="P39" s="270">
        <f t="shared" si="63"/>
        <v>39.11399999999999</v>
      </c>
    </row>
    <row r="40" spans="1:16" s="247" customFormat="1" x14ac:dyDescent="0.2">
      <c r="A40" s="244"/>
      <c r="B40" s="364" t="s">
        <v>421</v>
      </c>
      <c r="C40" s="107">
        <v>22.045999999999999</v>
      </c>
      <c r="D40" s="90">
        <f>+C40</f>
        <v>22.045999999999999</v>
      </c>
      <c r="E40" s="90">
        <f t="shared" ref="E40" si="64">+D40</f>
        <v>22.045999999999999</v>
      </c>
      <c r="F40" s="90">
        <f t="shared" ref="F40" si="65">+E40</f>
        <v>22.045999999999999</v>
      </c>
      <c r="G40" s="90">
        <f t="shared" ref="G40" si="66">+F40</f>
        <v>22.045999999999999</v>
      </c>
      <c r="H40" s="90">
        <f t="shared" ref="H40" si="67">+G40</f>
        <v>22.045999999999999</v>
      </c>
      <c r="I40" s="90">
        <f t="shared" ref="I40" si="68">+H40</f>
        <v>22.045999999999999</v>
      </c>
      <c r="J40" s="90">
        <f t="shared" ref="J40" si="69">+I40</f>
        <v>22.045999999999999</v>
      </c>
      <c r="K40" s="90">
        <f t="shared" ref="K40" si="70">+J40</f>
        <v>22.045999999999999</v>
      </c>
      <c r="L40" s="90">
        <f t="shared" ref="L40" si="71">+K40</f>
        <v>22.045999999999999</v>
      </c>
      <c r="M40" s="90">
        <f t="shared" ref="M40" si="72">+L40</f>
        <v>22.045999999999999</v>
      </c>
      <c r="N40" s="90">
        <f t="shared" ref="N40" si="73">+M40</f>
        <v>22.045999999999999</v>
      </c>
      <c r="O40" s="90">
        <f t="shared" ref="O40" si="74">+N40</f>
        <v>22.045999999999999</v>
      </c>
      <c r="P40" s="90">
        <f t="shared" ref="P40" si="75">+O40</f>
        <v>22.045999999999999</v>
      </c>
    </row>
    <row r="41" spans="1:16" s="213" customFormat="1" x14ac:dyDescent="0.2">
      <c r="A41" s="212"/>
      <c r="B41" s="360" t="s">
        <v>358</v>
      </c>
      <c r="C41" s="214"/>
      <c r="D41" s="214"/>
      <c r="E41" s="214"/>
      <c r="F41" s="204">
        <v>0</v>
      </c>
      <c r="G41" s="204">
        <f>+[2]Кот.!L101-9.9</f>
        <v>0.11319999999999908</v>
      </c>
      <c r="H41" s="204">
        <f>+[2]Кот.!M101-9.9</f>
        <v>0.26639999999999908</v>
      </c>
      <c r="I41" s="204">
        <f>+[2]Кот.!N101-9.9</f>
        <v>0.41959999999999908</v>
      </c>
      <c r="J41" s="204">
        <f>+[2]Кот.!O101-9.9</f>
        <v>0.57279999999999909</v>
      </c>
      <c r="K41" s="204">
        <f>+[2]Кот.!P101-9.9</f>
        <v>0.72599999999999909</v>
      </c>
      <c r="L41" s="204">
        <f>+[2]Кот.!Q101-9.9</f>
        <v>1.4819999999999993</v>
      </c>
      <c r="M41" s="204">
        <f>+[2]Кот.!R101-9.9</f>
        <v>2.2379999999999995</v>
      </c>
      <c r="N41" s="204">
        <f>+[2]Кот.!S101-9.9</f>
        <v>2.9939999999999998</v>
      </c>
      <c r="O41" s="204">
        <f>+[2]Кот.!T101-9.9</f>
        <v>3.75</v>
      </c>
      <c r="P41" s="204">
        <f>+[2]Кот.!U101-9.9</f>
        <v>4.5060000000000002</v>
      </c>
    </row>
    <row r="42" spans="1:16" s="11" customFormat="1" x14ac:dyDescent="0.2">
      <c r="A42" s="2"/>
      <c r="B42" s="44" t="s">
        <v>372</v>
      </c>
      <c r="C42" s="107">
        <f>+'[18]приложение 1'!$K$17</f>
        <v>0.57299999999999995</v>
      </c>
      <c r="D42" s="90">
        <f>+C42</f>
        <v>0.57299999999999995</v>
      </c>
      <c r="E42" s="90">
        <f t="shared" ref="E42:P42" si="76">+D42</f>
        <v>0.57299999999999995</v>
      </c>
      <c r="F42" s="90">
        <f t="shared" si="76"/>
        <v>0.57299999999999995</v>
      </c>
      <c r="G42" s="90">
        <f t="shared" si="76"/>
        <v>0.57299999999999995</v>
      </c>
      <c r="H42" s="90">
        <f t="shared" si="76"/>
        <v>0.57299999999999995</v>
      </c>
      <c r="I42" s="90">
        <f t="shared" si="76"/>
        <v>0.57299999999999995</v>
      </c>
      <c r="J42" s="90">
        <f t="shared" si="76"/>
        <v>0.57299999999999995</v>
      </c>
      <c r="K42" s="90">
        <f t="shared" si="76"/>
        <v>0.57299999999999995</v>
      </c>
      <c r="L42" s="90">
        <f t="shared" si="76"/>
        <v>0.57299999999999995</v>
      </c>
      <c r="M42" s="90">
        <f t="shared" si="76"/>
        <v>0.57299999999999995</v>
      </c>
      <c r="N42" s="90">
        <f t="shared" si="76"/>
        <v>0.57299999999999995</v>
      </c>
      <c r="O42" s="90">
        <f t="shared" si="76"/>
        <v>0.57299999999999995</v>
      </c>
      <c r="P42" s="90">
        <f t="shared" si="76"/>
        <v>0.57299999999999995</v>
      </c>
    </row>
    <row r="43" spans="1:16" s="32" customFormat="1" x14ac:dyDescent="0.2">
      <c r="A43" s="33"/>
      <c r="B43" s="496" t="s">
        <v>476</v>
      </c>
      <c r="C43" s="90">
        <f t="shared" ref="C43:P43" si="77">SUM(C44:C45)</f>
        <v>202.44499999999999</v>
      </c>
      <c r="D43" s="90">
        <f t="shared" si="77"/>
        <v>202.44499999999999</v>
      </c>
      <c r="E43" s="90">
        <f t="shared" si="77"/>
        <v>202.44499999999999</v>
      </c>
      <c r="F43" s="90">
        <f t="shared" si="77"/>
        <v>203.495</v>
      </c>
      <c r="G43" s="90">
        <f t="shared" si="77"/>
        <v>204.38899999999998</v>
      </c>
      <c r="H43" s="90">
        <f t="shared" si="77"/>
        <v>205.28299999999999</v>
      </c>
      <c r="I43" s="90">
        <f t="shared" si="77"/>
        <v>206.17699999999999</v>
      </c>
      <c r="J43" s="90">
        <f t="shared" si="77"/>
        <v>207.071</v>
      </c>
      <c r="K43" s="90">
        <f t="shared" si="77"/>
        <v>207.965</v>
      </c>
      <c r="L43" s="90">
        <f t="shared" si="77"/>
        <v>208.21699999999998</v>
      </c>
      <c r="M43" s="90">
        <f t="shared" si="77"/>
        <v>208.46899999999999</v>
      </c>
      <c r="N43" s="90">
        <f t="shared" si="77"/>
        <v>208.721</v>
      </c>
      <c r="O43" s="90">
        <f t="shared" si="77"/>
        <v>208.97299999999998</v>
      </c>
      <c r="P43" s="90">
        <f t="shared" si="77"/>
        <v>209.22499999999999</v>
      </c>
    </row>
    <row r="44" spans="1:16" s="247" customFormat="1" x14ac:dyDescent="0.2">
      <c r="A44" s="244"/>
      <c r="B44" s="364" t="s">
        <v>477</v>
      </c>
      <c r="C44" s="90">
        <f>+D44</f>
        <v>202.44499999999999</v>
      </c>
      <c r="D44" s="89">
        <v>202.44499999999999</v>
      </c>
      <c r="E44" s="90">
        <f t="shared" ref="E44:P44" si="78">+D44</f>
        <v>202.44499999999999</v>
      </c>
      <c r="F44" s="90">
        <f t="shared" si="78"/>
        <v>202.44499999999999</v>
      </c>
      <c r="G44" s="90">
        <f t="shared" si="78"/>
        <v>202.44499999999999</v>
      </c>
      <c r="H44" s="90">
        <f t="shared" si="78"/>
        <v>202.44499999999999</v>
      </c>
      <c r="I44" s="90">
        <f t="shared" si="78"/>
        <v>202.44499999999999</v>
      </c>
      <c r="J44" s="90">
        <f t="shared" si="78"/>
        <v>202.44499999999999</v>
      </c>
      <c r="K44" s="90">
        <f t="shared" si="78"/>
        <v>202.44499999999999</v>
      </c>
      <c r="L44" s="90">
        <f t="shared" si="78"/>
        <v>202.44499999999999</v>
      </c>
      <c r="M44" s="90">
        <f t="shared" si="78"/>
        <v>202.44499999999999</v>
      </c>
      <c r="N44" s="90">
        <f t="shared" si="78"/>
        <v>202.44499999999999</v>
      </c>
      <c r="O44" s="90">
        <f t="shared" si="78"/>
        <v>202.44499999999999</v>
      </c>
      <c r="P44" s="90">
        <f t="shared" si="78"/>
        <v>202.44499999999999</v>
      </c>
    </row>
    <row r="45" spans="1:16" s="213" customFormat="1" x14ac:dyDescent="0.2">
      <c r="A45" s="212"/>
      <c r="B45" s="360" t="s">
        <v>358</v>
      </c>
      <c r="C45" s="497"/>
      <c r="D45" s="497"/>
      <c r="E45" s="497"/>
      <c r="F45" s="498">
        <v>1.05</v>
      </c>
      <c r="G45" s="498">
        <f>4.47/5+F45</f>
        <v>1.944</v>
      </c>
      <c r="H45" s="498">
        <f>4.47/5+G45</f>
        <v>2.8380000000000001</v>
      </c>
      <c r="I45" s="498">
        <f>4.47/5+H45</f>
        <v>3.7320000000000002</v>
      </c>
      <c r="J45" s="498">
        <f>4.47/5+I45</f>
        <v>4.6260000000000003</v>
      </c>
      <c r="K45" s="498">
        <f>4.47/5+J45</f>
        <v>5.5200000000000005</v>
      </c>
      <c r="L45" s="498">
        <f>1.26/5+K45</f>
        <v>5.7720000000000002</v>
      </c>
      <c r="M45" s="498">
        <f>1.26/5+L45</f>
        <v>6.024</v>
      </c>
      <c r="N45" s="498">
        <f>1.26/5+M45</f>
        <v>6.2759999999999998</v>
      </c>
      <c r="O45" s="498">
        <f>1.26/5+N45</f>
        <v>6.5279999999999996</v>
      </c>
      <c r="P45" s="498">
        <f>1.26/5+O45</f>
        <v>6.7799999999999994</v>
      </c>
    </row>
    <row r="46" spans="1:16" s="11" customFormat="1" x14ac:dyDescent="0.2">
      <c r="A46" s="2"/>
      <c r="B46" s="496" t="s">
        <v>147</v>
      </c>
      <c r="C46" s="90">
        <f t="shared" ref="C46:C51" si="79">+D46</f>
        <v>7.4790000000000001</v>
      </c>
      <c r="D46" s="89">
        <v>7.4790000000000001</v>
      </c>
      <c r="E46" s="90">
        <f t="shared" ref="E46:P46" si="80">+D46</f>
        <v>7.4790000000000001</v>
      </c>
      <c r="F46" s="90">
        <f t="shared" si="80"/>
        <v>7.4790000000000001</v>
      </c>
      <c r="G46" s="90">
        <f t="shared" si="80"/>
        <v>7.4790000000000001</v>
      </c>
      <c r="H46" s="90">
        <f t="shared" si="80"/>
        <v>7.4790000000000001</v>
      </c>
      <c r="I46" s="90">
        <f t="shared" si="80"/>
        <v>7.4790000000000001</v>
      </c>
      <c r="J46" s="90">
        <f t="shared" si="80"/>
        <v>7.4790000000000001</v>
      </c>
      <c r="K46" s="90">
        <f t="shared" si="80"/>
        <v>7.4790000000000001</v>
      </c>
      <c r="L46" s="90">
        <f t="shared" si="80"/>
        <v>7.4790000000000001</v>
      </c>
      <c r="M46" s="90">
        <f t="shared" si="80"/>
        <v>7.4790000000000001</v>
      </c>
      <c r="N46" s="90">
        <f t="shared" si="80"/>
        <v>7.4790000000000001</v>
      </c>
      <c r="O46" s="90">
        <f t="shared" si="80"/>
        <v>7.4790000000000001</v>
      </c>
      <c r="P46" s="90">
        <f t="shared" si="80"/>
        <v>7.4790000000000001</v>
      </c>
    </row>
    <row r="47" spans="1:16" s="11" customFormat="1" x14ac:dyDescent="0.2">
      <c r="A47" s="2"/>
      <c r="B47" s="496" t="s">
        <v>148</v>
      </c>
      <c r="C47" s="90">
        <f t="shared" si="79"/>
        <v>0.18</v>
      </c>
      <c r="D47" s="89">
        <v>0.18</v>
      </c>
      <c r="E47" s="90">
        <f t="shared" ref="E47:P47" si="81">+D47</f>
        <v>0.18</v>
      </c>
      <c r="F47" s="90">
        <f t="shared" si="81"/>
        <v>0.18</v>
      </c>
      <c r="G47" s="90">
        <f t="shared" si="81"/>
        <v>0.18</v>
      </c>
      <c r="H47" s="90">
        <f t="shared" si="81"/>
        <v>0.18</v>
      </c>
      <c r="I47" s="90">
        <f t="shared" si="81"/>
        <v>0.18</v>
      </c>
      <c r="J47" s="90">
        <f t="shared" si="81"/>
        <v>0.18</v>
      </c>
      <c r="K47" s="90">
        <f t="shared" si="81"/>
        <v>0.18</v>
      </c>
      <c r="L47" s="90">
        <f t="shared" si="81"/>
        <v>0.18</v>
      </c>
      <c r="M47" s="90">
        <f t="shared" si="81"/>
        <v>0.18</v>
      </c>
      <c r="N47" s="90">
        <f t="shared" si="81"/>
        <v>0.18</v>
      </c>
      <c r="O47" s="90">
        <f t="shared" si="81"/>
        <v>0.18</v>
      </c>
      <c r="P47" s="90">
        <f t="shared" si="81"/>
        <v>0.18</v>
      </c>
    </row>
    <row r="48" spans="1:16" s="11" customFormat="1" x14ac:dyDescent="0.2">
      <c r="A48" s="2"/>
      <c r="B48" s="496" t="s">
        <v>478</v>
      </c>
      <c r="C48" s="90">
        <f t="shared" si="79"/>
        <v>0.19800000000000001</v>
      </c>
      <c r="D48" s="89">
        <v>0.19800000000000001</v>
      </c>
      <c r="E48" s="90">
        <f t="shared" ref="E48:P48" si="82">+D48</f>
        <v>0.19800000000000001</v>
      </c>
      <c r="F48" s="90">
        <f t="shared" si="82"/>
        <v>0.19800000000000001</v>
      </c>
      <c r="G48" s="90">
        <f t="shared" si="82"/>
        <v>0.19800000000000001</v>
      </c>
      <c r="H48" s="90">
        <f t="shared" si="82"/>
        <v>0.19800000000000001</v>
      </c>
      <c r="I48" s="90">
        <f t="shared" si="82"/>
        <v>0.19800000000000001</v>
      </c>
      <c r="J48" s="90">
        <f t="shared" si="82"/>
        <v>0.19800000000000001</v>
      </c>
      <c r="K48" s="90">
        <f t="shared" si="82"/>
        <v>0.19800000000000001</v>
      </c>
      <c r="L48" s="90">
        <f t="shared" si="82"/>
        <v>0.19800000000000001</v>
      </c>
      <c r="M48" s="90">
        <f t="shared" si="82"/>
        <v>0.19800000000000001</v>
      </c>
      <c r="N48" s="90">
        <f t="shared" si="82"/>
        <v>0.19800000000000001</v>
      </c>
      <c r="O48" s="90">
        <f t="shared" si="82"/>
        <v>0.19800000000000001</v>
      </c>
      <c r="P48" s="90">
        <f t="shared" si="82"/>
        <v>0.19800000000000001</v>
      </c>
    </row>
    <row r="49" spans="1:19" s="11" customFormat="1" x14ac:dyDescent="0.2">
      <c r="A49" s="2"/>
      <c r="B49" s="496" t="s">
        <v>479</v>
      </c>
      <c r="C49" s="90">
        <f t="shared" si="79"/>
        <v>1.744</v>
      </c>
      <c r="D49" s="89">
        <v>1.744</v>
      </c>
      <c r="E49" s="90">
        <f t="shared" ref="E49:P49" si="83">+D49</f>
        <v>1.744</v>
      </c>
      <c r="F49" s="90">
        <f t="shared" si="83"/>
        <v>1.744</v>
      </c>
      <c r="G49" s="90">
        <f t="shared" si="83"/>
        <v>1.744</v>
      </c>
      <c r="H49" s="90">
        <f t="shared" si="83"/>
        <v>1.744</v>
      </c>
      <c r="I49" s="90">
        <f t="shared" si="83"/>
        <v>1.744</v>
      </c>
      <c r="J49" s="90">
        <f t="shared" si="83"/>
        <v>1.744</v>
      </c>
      <c r="K49" s="90">
        <f t="shared" si="83"/>
        <v>1.744</v>
      </c>
      <c r="L49" s="90">
        <f t="shared" si="83"/>
        <v>1.744</v>
      </c>
      <c r="M49" s="90">
        <f t="shared" si="83"/>
        <v>1.744</v>
      </c>
      <c r="N49" s="90">
        <f t="shared" si="83"/>
        <v>1.744</v>
      </c>
      <c r="O49" s="90">
        <f t="shared" si="83"/>
        <v>1.744</v>
      </c>
      <c r="P49" s="90">
        <f t="shared" si="83"/>
        <v>1.744</v>
      </c>
    </row>
    <row r="50" spans="1:19" s="11" customFormat="1" x14ac:dyDescent="0.2">
      <c r="A50" s="2"/>
      <c r="B50" s="496" t="s">
        <v>480</v>
      </c>
      <c r="C50" s="90">
        <f t="shared" si="79"/>
        <v>0.216</v>
      </c>
      <c r="D50" s="89">
        <v>0.216</v>
      </c>
      <c r="E50" s="90">
        <f t="shared" ref="E50:P50" si="84">+D50</f>
        <v>0.216</v>
      </c>
      <c r="F50" s="90">
        <f t="shared" si="84"/>
        <v>0.216</v>
      </c>
      <c r="G50" s="90">
        <f t="shared" si="84"/>
        <v>0.216</v>
      </c>
      <c r="H50" s="90">
        <f t="shared" si="84"/>
        <v>0.216</v>
      </c>
      <c r="I50" s="90">
        <f t="shared" si="84"/>
        <v>0.216</v>
      </c>
      <c r="J50" s="90">
        <f t="shared" si="84"/>
        <v>0.216</v>
      </c>
      <c r="K50" s="90">
        <f t="shared" si="84"/>
        <v>0.216</v>
      </c>
      <c r="L50" s="90">
        <f t="shared" si="84"/>
        <v>0.216</v>
      </c>
      <c r="M50" s="90">
        <f t="shared" si="84"/>
        <v>0.216</v>
      </c>
      <c r="N50" s="90">
        <f t="shared" si="84"/>
        <v>0.216</v>
      </c>
      <c r="O50" s="90">
        <f t="shared" si="84"/>
        <v>0.216</v>
      </c>
      <c r="P50" s="90">
        <f t="shared" si="84"/>
        <v>0.216</v>
      </c>
    </row>
    <row r="51" spans="1:19" s="11" customFormat="1" x14ac:dyDescent="0.2">
      <c r="A51" s="2"/>
      <c r="B51" s="496" t="s">
        <v>149</v>
      </c>
      <c r="C51" s="90">
        <f t="shared" si="79"/>
        <v>0.7</v>
      </c>
      <c r="D51" s="89">
        <v>0.7</v>
      </c>
      <c r="E51" s="90">
        <f t="shared" ref="E51:P51" si="85">+D51</f>
        <v>0.7</v>
      </c>
      <c r="F51" s="90">
        <f t="shared" si="85"/>
        <v>0.7</v>
      </c>
      <c r="G51" s="90">
        <f t="shared" si="85"/>
        <v>0.7</v>
      </c>
      <c r="H51" s="90">
        <f t="shared" si="85"/>
        <v>0.7</v>
      </c>
      <c r="I51" s="90">
        <f t="shared" si="85"/>
        <v>0.7</v>
      </c>
      <c r="J51" s="90">
        <f t="shared" si="85"/>
        <v>0.7</v>
      </c>
      <c r="K51" s="90">
        <f t="shared" si="85"/>
        <v>0.7</v>
      </c>
      <c r="L51" s="90">
        <f t="shared" si="85"/>
        <v>0.7</v>
      </c>
      <c r="M51" s="90">
        <f t="shared" si="85"/>
        <v>0.7</v>
      </c>
      <c r="N51" s="90">
        <f t="shared" si="85"/>
        <v>0.7</v>
      </c>
      <c r="O51" s="90">
        <f t="shared" si="85"/>
        <v>0.7</v>
      </c>
      <c r="P51" s="90">
        <f t="shared" si="85"/>
        <v>0.7</v>
      </c>
    </row>
    <row r="52" spans="1:19" s="32" customFormat="1" x14ac:dyDescent="0.2">
      <c r="A52" s="33"/>
      <c r="B52" s="496" t="s">
        <v>481</v>
      </c>
      <c r="C52" s="90">
        <f t="shared" ref="C52:P52" si="86">SUM(C53:C54)</f>
        <v>1.6539999999999999</v>
      </c>
      <c r="D52" s="90">
        <f t="shared" si="86"/>
        <v>1.6539999999999999</v>
      </c>
      <c r="E52" s="90">
        <f t="shared" si="86"/>
        <v>1.6539999999999999</v>
      </c>
      <c r="F52" s="90">
        <f t="shared" si="86"/>
        <v>1.6539999999999999</v>
      </c>
      <c r="G52" s="90">
        <f t="shared" si="86"/>
        <v>1.7999999999999998</v>
      </c>
      <c r="H52" s="90">
        <f t="shared" si="86"/>
        <v>1.946</v>
      </c>
      <c r="I52" s="90">
        <f t="shared" si="86"/>
        <v>2.0919999999999996</v>
      </c>
      <c r="J52" s="90">
        <f t="shared" si="86"/>
        <v>2.238</v>
      </c>
      <c r="K52" s="90">
        <f t="shared" si="86"/>
        <v>2.3839999999999999</v>
      </c>
      <c r="L52" s="90">
        <f t="shared" si="86"/>
        <v>2.3839999999999999</v>
      </c>
      <c r="M52" s="90">
        <f t="shared" si="86"/>
        <v>2.3839999999999999</v>
      </c>
      <c r="N52" s="90">
        <f t="shared" si="86"/>
        <v>2.3839999999999999</v>
      </c>
      <c r="O52" s="90">
        <f t="shared" si="86"/>
        <v>2.3839999999999999</v>
      </c>
      <c r="P52" s="90">
        <f t="shared" si="86"/>
        <v>2.3839999999999999</v>
      </c>
    </row>
    <row r="53" spans="1:19" s="247" customFormat="1" x14ac:dyDescent="0.2">
      <c r="A53" s="244"/>
      <c r="B53" s="364" t="s">
        <v>482</v>
      </c>
      <c r="C53" s="90">
        <f>+D53</f>
        <v>1.6539999999999999</v>
      </c>
      <c r="D53" s="89">
        <v>1.6539999999999999</v>
      </c>
      <c r="E53" s="90">
        <f t="shared" ref="E53:P53" si="87">+D53</f>
        <v>1.6539999999999999</v>
      </c>
      <c r="F53" s="90">
        <f t="shared" si="87"/>
        <v>1.6539999999999999</v>
      </c>
      <c r="G53" s="90">
        <f t="shared" si="87"/>
        <v>1.6539999999999999</v>
      </c>
      <c r="H53" s="90">
        <f t="shared" si="87"/>
        <v>1.6539999999999999</v>
      </c>
      <c r="I53" s="90">
        <f t="shared" si="87"/>
        <v>1.6539999999999999</v>
      </c>
      <c r="J53" s="90">
        <f t="shared" si="87"/>
        <v>1.6539999999999999</v>
      </c>
      <c r="K53" s="90">
        <f t="shared" si="87"/>
        <v>1.6539999999999999</v>
      </c>
      <c r="L53" s="90">
        <f t="shared" si="87"/>
        <v>1.6539999999999999</v>
      </c>
      <c r="M53" s="90">
        <f t="shared" si="87"/>
        <v>1.6539999999999999</v>
      </c>
      <c r="N53" s="90">
        <f t="shared" si="87"/>
        <v>1.6539999999999999</v>
      </c>
      <c r="O53" s="90">
        <f t="shared" si="87"/>
        <v>1.6539999999999999</v>
      </c>
      <c r="P53" s="90">
        <f t="shared" si="87"/>
        <v>1.6539999999999999</v>
      </c>
    </row>
    <row r="54" spans="1:19" s="213" customFormat="1" x14ac:dyDescent="0.2">
      <c r="A54" s="212"/>
      <c r="B54" s="360" t="s">
        <v>358</v>
      </c>
      <c r="C54" s="497"/>
      <c r="D54" s="497"/>
      <c r="E54" s="497"/>
      <c r="F54" s="497"/>
      <c r="G54" s="498">
        <f>0.73/5+F54</f>
        <v>0.14599999999999999</v>
      </c>
      <c r="H54" s="498">
        <f>0.73/5+G54</f>
        <v>0.29199999999999998</v>
      </c>
      <c r="I54" s="498">
        <f>0.73/5+H54</f>
        <v>0.43799999999999994</v>
      </c>
      <c r="J54" s="498">
        <f>0.73/5+I54</f>
        <v>0.58399999999999996</v>
      </c>
      <c r="K54" s="498">
        <f>0.73/5+J54</f>
        <v>0.73</v>
      </c>
      <c r="L54" s="90">
        <f t="shared" ref="L54:P59" si="88">+K54</f>
        <v>0.73</v>
      </c>
      <c r="M54" s="90">
        <f t="shared" si="88"/>
        <v>0.73</v>
      </c>
      <c r="N54" s="90">
        <f t="shared" si="88"/>
        <v>0.73</v>
      </c>
      <c r="O54" s="90">
        <f t="shared" si="88"/>
        <v>0.73</v>
      </c>
      <c r="P54" s="90">
        <f t="shared" si="88"/>
        <v>0.73</v>
      </c>
    </row>
    <row r="55" spans="1:19" s="32" customFormat="1" x14ac:dyDescent="0.2">
      <c r="A55" s="33"/>
      <c r="B55" s="496" t="s">
        <v>483</v>
      </c>
      <c r="C55" s="90">
        <f>+D55</f>
        <v>2.12</v>
      </c>
      <c r="D55" s="89">
        <v>2.12</v>
      </c>
      <c r="E55" s="90">
        <f t="shared" ref="E55:K59" si="89">+D55</f>
        <v>2.12</v>
      </c>
      <c r="F55" s="90">
        <f t="shared" si="89"/>
        <v>2.12</v>
      </c>
      <c r="G55" s="90">
        <f t="shared" si="89"/>
        <v>2.12</v>
      </c>
      <c r="H55" s="90">
        <f t="shared" si="89"/>
        <v>2.12</v>
      </c>
      <c r="I55" s="90">
        <f t="shared" si="89"/>
        <v>2.12</v>
      </c>
      <c r="J55" s="90">
        <f t="shared" si="89"/>
        <v>2.12</v>
      </c>
      <c r="K55" s="90">
        <f t="shared" si="89"/>
        <v>2.12</v>
      </c>
      <c r="L55" s="90">
        <f t="shared" si="88"/>
        <v>2.12</v>
      </c>
      <c r="M55" s="90">
        <f t="shared" si="88"/>
        <v>2.12</v>
      </c>
      <c r="N55" s="90">
        <f t="shared" si="88"/>
        <v>2.12</v>
      </c>
      <c r="O55" s="90">
        <f t="shared" si="88"/>
        <v>2.12</v>
      </c>
      <c r="P55" s="90">
        <f t="shared" si="88"/>
        <v>2.12</v>
      </c>
    </row>
    <row r="56" spans="1:19" s="11" customFormat="1" x14ac:dyDescent="0.2">
      <c r="A56" s="2"/>
      <c r="B56" s="496" t="s">
        <v>484</v>
      </c>
      <c r="C56" s="90">
        <f>+D56</f>
        <v>15.191000000000001</v>
      </c>
      <c r="D56" s="89">
        <v>15.191000000000001</v>
      </c>
      <c r="E56" s="90">
        <f t="shared" si="89"/>
        <v>15.191000000000001</v>
      </c>
      <c r="F56" s="90">
        <f t="shared" si="89"/>
        <v>15.191000000000001</v>
      </c>
      <c r="G56" s="90">
        <f t="shared" si="89"/>
        <v>15.191000000000001</v>
      </c>
      <c r="H56" s="90">
        <f t="shared" si="89"/>
        <v>15.191000000000001</v>
      </c>
      <c r="I56" s="90">
        <f t="shared" si="89"/>
        <v>15.191000000000001</v>
      </c>
      <c r="J56" s="90">
        <f t="shared" si="89"/>
        <v>15.191000000000001</v>
      </c>
      <c r="K56" s="90">
        <f t="shared" si="89"/>
        <v>15.191000000000001</v>
      </c>
      <c r="L56" s="90">
        <f t="shared" si="88"/>
        <v>15.191000000000001</v>
      </c>
      <c r="M56" s="90">
        <f t="shared" si="88"/>
        <v>15.191000000000001</v>
      </c>
      <c r="N56" s="90">
        <f t="shared" si="88"/>
        <v>15.191000000000001</v>
      </c>
      <c r="O56" s="90">
        <f t="shared" si="88"/>
        <v>15.191000000000001</v>
      </c>
      <c r="P56" s="90">
        <f t="shared" si="88"/>
        <v>15.191000000000001</v>
      </c>
    </row>
    <row r="57" spans="1:19" s="11" customFormat="1" x14ac:dyDescent="0.2">
      <c r="A57" s="2"/>
      <c r="B57" s="496" t="s">
        <v>485</v>
      </c>
      <c r="C57" s="90">
        <f>+D57</f>
        <v>17.248000000000001</v>
      </c>
      <c r="D57" s="89">
        <v>17.248000000000001</v>
      </c>
      <c r="E57" s="90">
        <f t="shared" si="89"/>
        <v>17.248000000000001</v>
      </c>
      <c r="F57" s="90">
        <f t="shared" si="89"/>
        <v>17.248000000000001</v>
      </c>
      <c r="G57" s="90">
        <f t="shared" si="89"/>
        <v>17.248000000000001</v>
      </c>
      <c r="H57" s="90">
        <f t="shared" si="89"/>
        <v>17.248000000000001</v>
      </c>
      <c r="I57" s="90">
        <f t="shared" si="89"/>
        <v>17.248000000000001</v>
      </c>
      <c r="J57" s="90">
        <f t="shared" si="89"/>
        <v>17.248000000000001</v>
      </c>
      <c r="K57" s="90">
        <f t="shared" si="89"/>
        <v>17.248000000000001</v>
      </c>
      <c r="L57" s="90">
        <f t="shared" si="88"/>
        <v>17.248000000000001</v>
      </c>
      <c r="M57" s="90">
        <f t="shared" si="88"/>
        <v>17.248000000000001</v>
      </c>
      <c r="N57" s="90">
        <f t="shared" si="88"/>
        <v>17.248000000000001</v>
      </c>
      <c r="O57" s="90">
        <f t="shared" si="88"/>
        <v>17.248000000000001</v>
      </c>
      <c r="P57" s="90">
        <f t="shared" si="88"/>
        <v>17.248000000000001</v>
      </c>
    </row>
    <row r="58" spans="1:19" s="11" customFormat="1" x14ac:dyDescent="0.2">
      <c r="A58" s="2"/>
      <c r="B58" s="496" t="s">
        <v>150</v>
      </c>
      <c r="C58" s="90">
        <f>+D58</f>
        <v>5.2759999999999998</v>
      </c>
      <c r="D58" s="89">
        <v>5.2759999999999998</v>
      </c>
      <c r="E58" s="90">
        <f t="shared" si="89"/>
        <v>5.2759999999999998</v>
      </c>
      <c r="F58" s="90">
        <f t="shared" si="89"/>
        <v>5.2759999999999998</v>
      </c>
      <c r="G58" s="90">
        <f t="shared" si="89"/>
        <v>5.2759999999999998</v>
      </c>
      <c r="H58" s="90">
        <f t="shared" si="89"/>
        <v>5.2759999999999998</v>
      </c>
      <c r="I58" s="90">
        <f t="shared" si="89"/>
        <v>5.2759999999999998</v>
      </c>
      <c r="J58" s="90">
        <f t="shared" si="89"/>
        <v>5.2759999999999998</v>
      </c>
      <c r="K58" s="90">
        <f t="shared" si="89"/>
        <v>5.2759999999999998</v>
      </c>
      <c r="L58" s="90">
        <f t="shared" si="88"/>
        <v>5.2759999999999998</v>
      </c>
      <c r="M58" s="90">
        <f t="shared" si="88"/>
        <v>5.2759999999999998</v>
      </c>
      <c r="N58" s="90">
        <f t="shared" si="88"/>
        <v>5.2759999999999998</v>
      </c>
      <c r="O58" s="90">
        <f t="shared" si="88"/>
        <v>5.2759999999999998</v>
      </c>
      <c r="P58" s="90">
        <f t="shared" si="88"/>
        <v>5.2759999999999998</v>
      </c>
    </row>
    <row r="59" spans="1:19" s="11" customFormat="1" x14ac:dyDescent="0.2">
      <c r="A59" s="2"/>
      <c r="B59" s="496" t="s">
        <v>486</v>
      </c>
      <c r="C59" s="90">
        <f>+D59</f>
        <v>0.94499999999999995</v>
      </c>
      <c r="D59" s="89">
        <v>0.94499999999999995</v>
      </c>
      <c r="E59" s="90">
        <f t="shared" si="89"/>
        <v>0.94499999999999995</v>
      </c>
      <c r="F59" s="90">
        <f t="shared" si="89"/>
        <v>0.94499999999999995</v>
      </c>
      <c r="G59" s="90">
        <f t="shared" si="89"/>
        <v>0.94499999999999995</v>
      </c>
      <c r="H59" s="90">
        <f t="shared" si="89"/>
        <v>0.94499999999999995</v>
      </c>
      <c r="I59" s="90">
        <f t="shared" si="89"/>
        <v>0.94499999999999995</v>
      </c>
      <c r="J59" s="90">
        <f t="shared" si="89"/>
        <v>0.94499999999999995</v>
      </c>
      <c r="K59" s="90">
        <f t="shared" si="89"/>
        <v>0.94499999999999995</v>
      </c>
      <c r="L59" s="90">
        <f t="shared" si="88"/>
        <v>0.94499999999999995</v>
      </c>
      <c r="M59" s="90">
        <f t="shared" si="88"/>
        <v>0.94499999999999995</v>
      </c>
      <c r="N59" s="90">
        <f t="shared" si="88"/>
        <v>0.94499999999999995</v>
      </c>
      <c r="O59" s="90">
        <f t="shared" si="88"/>
        <v>0.94499999999999995</v>
      </c>
      <c r="P59" s="90">
        <f t="shared" si="88"/>
        <v>0.94499999999999995</v>
      </c>
    </row>
    <row r="60" spans="1:19" s="17" customFormat="1" x14ac:dyDescent="0.2">
      <c r="A60" s="56" t="s">
        <v>223</v>
      </c>
      <c r="B60" s="6" t="s">
        <v>420</v>
      </c>
      <c r="C60" s="278">
        <f t="shared" ref="C60:P60" si="90">SUM(C61:C62)</f>
        <v>19.14</v>
      </c>
      <c r="D60" s="278">
        <f t="shared" si="90"/>
        <v>19.14</v>
      </c>
      <c r="E60" s="278">
        <f t="shared" si="90"/>
        <v>19.14</v>
      </c>
      <c r="F60" s="278">
        <f t="shared" si="90"/>
        <v>19.14</v>
      </c>
      <c r="G60" s="278">
        <f t="shared" si="90"/>
        <v>19.14</v>
      </c>
      <c r="H60" s="278">
        <f t="shared" si="90"/>
        <v>19.14</v>
      </c>
      <c r="I60" s="278">
        <f t="shared" si="90"/>
        <v>19.14</v>
      </c>
      <c r="J60" s="278">
        <f t="shared" si="90"/>
        <v>19.14</v>
      </c>
      <c r="K60" s="278">
        <f t="shared" si="90"/>
        <v>19.14</v>
      </c>
      <c r="L60" s="278">
        <f t="shared" si="90"/>
        <v>19.14</v>
      </c>
      <c r="M60" s="278">
        <f t="shared" si="90"/>
        <v>19.14</v>
      </c>
      <c r="N60" s="278">
        <f t="shared" si="90"/>
        <v>19.14</v>
      </c>
      <c r="O60" s="278">
        <f t="shared" si="90"/>
        <v>19.14</v>
      </c>
      <c r="P60" s="278">
        <f t="shared" si="90"/>
        <v>19.14</v>
      </c>
    </row>
    <row r="61" spans="1:19" s="11" customFormat="1" x14ac:dyDescent="0.2">
      <c r="A61" s="2"/>
      <c r="B61" s="44" t="s">
        <v>418</v>
      </c>
      <c r="C61" s="107">
        <v>12.65</v>
      </c>
      <c r="D61" s="90">
        <f>+C61</f>
        <v>12.65</v>
      </c>
      <c r="E61" s="90">
        <f t="shared" ref="E61" si="91">+D61</f>
        <v>12.65</v>
      </c>
      <c r="F61" s="90">
        <f t="shared" ref="F61:F62" si="92">+E61</f>
        <v>12.65</v>
      </c>
      <c r="G61" s="90">
        <f t="shared" ref="G61:G62" si="93">+F61</f>
        <v>12.65</v>
      </c>
      <c r="H61" s="90">
        <f t="shared" ref="H61:H62" si="94">+G61</f>
        <v>12.65</v>
      </c>
      <c r="I61" s="90">
        <f t="shared" ref="I61:I62" si="95">+H61</f>
        <v>12.65</v>
      </c>
      <c r="J61" s="90">
        <f t="shared" ref="J61:J62" si="96">+I61</f>
        <v>12.65</v>
      </c>
      <c r="K61" s="90">
        <f t="shared" ref="K61:K62" si="97">+J61</f>
        <v>12.65</v>
      </c>
      <c r="L61" s="90">
        <f t="shared" ref="L61:L62" si="98">+K61</f>
        <v>12.65</v>
      </c>
      <c r="M61" s="90">
        <f t="shared" ref="M61:M62" si="99">+L61</f>
        <v>12.65</v>
      </c>
      <c r="N61" s="90">
        <f t="shared" ref="N61:N62" si="100">+M61</f>
        <v>12.65</v>
      </c>
      <c r="O61" s="90">
        <f t="shared" ref="O61:O62" si="101">+N61</f>
        <v>12.65</v>
      </c>
      <c r="P61" s="90">
        <f t="shared" ref="P61:P62" si="102">+O61</f>
        <v>12.65</v>
      </c>
    </row>
    <row r="62" spans="1:19" s="11" customFormat="1" x14ac:dyDescent="0.2">
      <c r="A62" s="2"/>
      <c r="B62" s="44" t="s">
        <v>419</v>
      </c>
      <c r="C62" s="107">
        <v>6.49</v>
      </c>
      <c r="D62" s="90">
        <f>+C62</f>
        <v>6.49</v>
      </c>
      <c r="E62" s="90">
        <f t="shared" ref="E62" si="103">+D62</f>
        <v>6.49</v>
      </c>
      <c r="F62" s="90">
        <f t="shared" si="92"/>
        <v>6.49</v>
      </c>
      <c r="G62" s="90">
        <f t="shared" si="93"/>
        <v>6.49</v>
      </c>
      <c r="H62" s="90">
        <f t="shared" si="94"/>
        <v>6.49</v>
      </c>
      <c r="I62" s="90">
        <f t="shared" si="95"/>
        <v>6.49</v>
      </c>
      <c r="J62" s="90">
        <f t="shared" si="96"/>
        <v>6.49</v>
      </c>
      <c r="K62" s="90">
        <f t="shared" si="97"/>
        <v>6.49</v>
      </c>
      <c r="L62" s="90">
        <f t="shared" si="98"/>
        <v>6.49</v>
      </c>
      <c r="M62" s="90">
        <f t="shared" si="99"/>
        <v>6.49</v>
      </c>
      <c r="N62" s="90">
        <f t="shared" si="100"/>
        <v>6.49</v>
      </c>
      <c r="O62" s="90">
        <f t="shared" si="101"/>
        <v>6.49</v>
      </c>
      <c r="P62" s="90">
        <f t="shared" si="102"/>
        <v>6.49</v>
      </c>
    </row>
    <row r="63" spans="1:19" s="35" customFormat="1" ht="12" customHeight="1" x14ac:dyDescent="0.2">
      <c r="A63" s="33" t="s">
        <v>223</v>
      </c>
      <c r="B63" s="110" t="s">
        <v>489</v>
      </c>
      <c r="C63" s="174">
        <f t="shared" ref="C63:P63" si="104">+C30/C6</f>
        <v>0.6081198750788448</v>
      </c>
      <c r="D63" s="174">
        <f t="shared" si="104"/>
        <v>0.6081198750788448</v>
      </c>
      <c r="E63" s="174">
        <f t="shared" si="104"/>
        <v>0.6081198750788448</v>
      </c>
      <c r="F63" s="174">
        <f t="shared" si="104"/>
        <v>0.61296595436993262</v>
      </c>
      <c r="G63" s="174">
        <f t="shared" si="104"/>
        <v>0.61487854033014866</v>
      </c>
      <c r="H63" s="174">
        <f t="shared" si="104"/>
        <v>0.61702681497207712</v>
      </c>
      <c r="I63" s="174">
        <f t="shared" si="104"/>
        <v>0.61941077829571833</v>
      </c>
      <c r="J63" s="174">
        <f t="shared" si="104"/>
        <v>0.62203043030107208</v>
      </c>
      <c r="K63" s="174">
        <f t="shared" si="104"/>
        <v>0.62488577098813847</v>
      </c>
      <c r="L63" s="174">
        <f t="shared" si="104"/>
        <v>0.6282487961723664</v>
      </c>
      <c r="M63" s="174">
        <f t="shared" si="104"/>
        <v>0.63277488038645546</v>
      </c>
      <c r="N63" s="174">
        <f t="shared" si="104"/>
        <v>0.63846402363040555</v>
      </c>
      <c r="O63" s="174">
        <f t="shared" si="104"/>
        <v>0.64531622590421667</v>
      </c>
      <c r="P63" s="174">
        <f t="shared" si="104"/>
        <v>0.65333148720788892</v>
      </c>
      <c r="Q63" s="32"/>
      <c r="R63" s="32"/>
      <c r="S63" s="32"/>
    </row>
    <row r="64" spans="1:19" s="74" customFormat="1" x14ac:dyDescent="0.2">
      <c r="A64" s="71">
        <v>8</v>
      </c>
      <c r="B64" s="101" t="s">
        <v>176</v>
      </c>
      <c r="C64" s="103">
        <f t="shared" ref="C64:P64" si="105">SUM(C65:C65)</f>
        <v>570.10398999999973</v>
      </c>
      <c r="D64" s="103">
        <f t="shared" si="105"/>
        <v>882.62625383333352</v>
      </c>
      <c r="E64" s="103">
        <f t="shared" si="105"/>
        <v>843.11152182306625</v>
      </c>
      <c r="F64" s="103">
        <f t="shared" si="105"/>
        <v>824.22099905687344</v>
      </c>
      <c r="G64" s="103">
        <f t="shared" si="105"/>
        <v>811.04591548194651</v>
      </c>
      <c r="H64" s="103">
        <f t="shared" si="105"/>
        <v>791.9596126710311</v>
      </c>
      <c r="I64" s="103">
        <f t="shared" si="105"/>
        <v>774.70557023061986</v>
      </c>
      <c r="J64" s="103">
        <f t="shared" si="105"/>
        <v>758.3965647771621</v>
      </c>
      <c r="K64" s="103">
        <f t="shared" si="105"/>
        <v>761.46208199532623</v>
      </c>
      <c r="L64" s="103">
        <f t="shared" si="105"/>
        <v>765.68377391761567</v>
      </c>
      <c r="M64" s="103">
        <f t="shared" si="105"/>
        <v>769.74122293801349</v>
      </c>
      <c r="N64" s="103">
        <f t="shared" si="105"/>
        <v>773.77318970630324</v>
      </c>
      <c r="O64" s="103">
        <f t="shared" si="105"/>
        <v>777.78039207384029</v>
      </c>
      <c r="P64" s="103">
        <f t="shared" si="105"/>
        <v>781.76352028667645</v>
      </c>
    </row>
    <row r="65" spans="1:16" s="32" customFormat="1" x14ac:dyDescent="0.2">
      <c r="A65" s="33"/>
      <c r="B65" s="205" t="s">
        <v>214</v>
      </c>
      <c r="C65" s="207">
        <f>+C66</f>
        <v>570.10398999999973</v>
      </c>
      <c r="D65" s="207">
        <f>+D66</f>
        <v>882.62625383333352</v>
      </c>
      <c r="E65" s="207">
        <f t="shared" ref="E65:P65" si="106">+E66</f>
        <v>843.11152182306625</v>
      </c>
      <c r="F65" s="207">
        <f t="shared" si="106"/>
        <v>824.22099905687344</v>
      </c>
      <c r="G65" s="207">
        <f t="shared" si="106"/>
        <v>811.04591548194651</v>
      </c>
      <c r="H65" s="207">
        <f t="shared" si="106"/>
        <v>791.9596126710311</v>
      </c>
      <c r="I65" s="207">
        <f t="shared" si="106"/>
        <v>774.70557023061986</v>
      </c>
      <c r="J65" s="207">
        <f t="shared" si="106"/>
        <v>758.3965647771621</v>
      </c>
      <c r="K65" s="207">
        <f t="shared" si="106"/>
        <v>761.46208199532623</v>
      </c>
      <c r="L65" s="207">
        <f t="shared" si="106"/>
        <v>765.68377391761567</v>
      </c>
      <c r="M65" s="207">
        <f t="shared" si="106"/>
        <v>769.74122293801349</v>
      </c>
      <c r="N65" s="207">
        <f t="shared" si="106"/>
        <v>773.77318970630324</v>
      </c>
      <c r="O65" s="207">
        <f t="shared" si="106"/>
        <v>777.78039207384029</v>
      </c>
      <c r="P65" s="207">
        <f t="shared" si="106"/>
        <v>781.76352028667645</v>
      </c>
    </row>
    <row r="66" spans="1:16" s="11" customFormat="1" x14ac:dyDescent="0.2">
      <c r="A66" s="2" t="s">
        <v>177</v>
      </c>
      <c r="B66" s="44" t="s">
        <v>368</v>
      </c>
      <c r="C66" s="270">
        <f>+C67+C72+C76+C79+C80+C84+C85+C86+C87+C88+C89+C90+C93+C94+C95+C96+C97</f>
        <v>570.10398999999973</v>
      </c>
      <c r="D66" s="270">
        <f t="shared" ref="D66:P66" si="107">+D67+D72+D76+D79+D80+D84+D85+D86+D87+D88+D89+D90+D93+D94+D95+D96+D97</f>
        <v>882.62625383333352</v>
      </c>
      <c r="E66" s="270">
        <f t="shared" si="107"/>
        <v>843.11152182306625</v>
      </c>
      <c r="F66" s="270">
        <f t="shared" si="107"/>
        <v>824.22099905687344</v>
      </c>
      <c r="G66" s="270">
        <f t="shared" si="107"/>
        <v>811.04591548194651</v>
      </c>
      <c r="H66" s="270">
        <f t="shared" si="107"/>
        <v>791.9596126710311</v>
      </c>
      <c r="I66" s="270">
        <f t="shared" si="107"/>
        <v>774.70557023061986</v>
      </c>
      <c r="J66" s="270">
        <f t="shared" si="107"/>
        <v>758.3965647771621</v>
      </c>
      <c r="K66" s="270">
        <f t="shared" si="107"/>
        <v>761.46208199532623</v>
      </c>
      <c r="L66" s="270">
        <f t="shared" si="107"/>
        <v>765.68377391761567</v>
      </c>
      <c r="M66" s="270">
        <f t="shared" si="107"/>
        <v>769.74122293801349</v>
      </c>
      <c r="N66" s="270">
        <f t="shared" si="107"/>
        <v>773.77318970630324</v>
      </c>
      <c r="O66" s="270">
        <f t="shared" si="107"/>
        <v>777.78039207384029</v>
      </c>
      <c r="P66" s="270">
        <f t="shared" si="107"/>
        <v>781.76352028667645</v>
      </c>
    </row>
    <row r="67" spans="1:16" s="11" customFormat="1" x14ac:dyDescent="0.2">
      <c r="A67" s="2"/>
      <c r="B67" s="44" t="s">
        <v>369</v>
      </c>
      <c r="C67" s="270">
        <f>SUM(C68:C70)</f>
        <v>146.44369599999999</v>
      </c>
      <c r="D67" s="270">
        <f t="shared" ref="D67:P67" si="108">SUM(D68:D70)</f>
        <v>120.927437</v>
      </c>
      <c r="E67" s="270">
        <f t="shared" si="108"/>
        <v>123.95623333333334</v>
      </c>
      <c r="F67" s="270">
        <f t="shared" si="108"/>
        <v>120.27034250452583</v>
      </c>
      <c r="G67" s="270">
        <f t="shared" si="108"/>
        <v>117.32600146420195</v>
      </c>
      <c r="H67" s="270">
        <f t="shared" si="108"/>
        <v>112.99482909486466</v>
      </c>
      <c r="I67" s="270">
        <f t="shared" si="108"/>
        <v>109.02418299668059</v>
      </c>
      <c r="J67" s="270">
        <f t="shared" si="108"/>
        <v>105.24091158431249</v>
      </c>
      <c r="K67" s="270">
        <f t="shared" si="108"/>
        <v>105.24091158431249</v>
      </c>
      <c r="L67" s="270">
        <f t="shared" si="108"/>
        <v>105.24091158431249</v>
      </c>
      <c r="M67" s="270">
        <f t="shared" si="108"/>
        <v>105.24091158431249</v>
      </c>
      <c r="N67" s="270">
        <f t="shared" si="108"/>
        <v>105.24091158431249</v>
      </c>
      <c r="O67" s="270">
        <f t="shared" si="108"/>
        <v>105.24091158431249</v>
      </c>
      <c r="P67" s="270">
        <f t="shared" si="108"/>
        <v>105.24091158431249</v>
      </c>
    </row>
    <row r="68" spans="1:16" s="235" customFormat="1" x14ac:dyDescent="0.2">
      <c r="A68" s="366"/>
      <c r="B68" s="262" t="s">
        <v>374</v>
      </c>
      <c r="C68" s="365">
        <f>+'[4]4.4.Р_т'!$H$17</f>
        <v>146.44369599999999</v>
      </c>
      <c r="D68" s="365">
        <f>+'[4]4.4.Р_т'!$R$17</f>
        <v>120.927437</v>
      </c>
      <c r="E68" s="365">
        <f>+'[4]4.1.РчПО_ТЭ'!$S$14</f>
        <v>123.95623333333334</v>
      </c>
      <c r="F68" s="333">
        <f t="shared" ref="F68:P69" si="109">+E68</f>
        <v>123.95623333333334</v>
      </c>
      <c r="G68" s="333">
        <f t="shared" si="109"/>
        <v>123.95623333333334</v>
      </c>
      <c r="H68" s="333">
        <f t="shared" si="109"/>
        <v>123.95623333333334</v>
      </c>
      <c r="I68" s="333">
        <f t="shared" si="109"/>
        <v>123.95623333333334</v>
      </c>
      <c r="J68" s="333">
        <f t="shared" si="109"/>
        <v>123.95623333333334</v>
      </c>
      <c r="K68" s="333">
        <f t="shared" si="109"/>
        <v>123.95623333333334</v>
      </c>
      <c r="L68" s="333">
        <f t="shared" si="109"/>
        <v>123.95623333333334</v>
      </c>
      <c r="M68" s="333">
        <f t="shared" si="109"/>
        <v>123.95623333333334</v>
      </c>
      <c r="N68" s="333">
        <f t="shared" si="109"/>
        <v>123.95623333333334</v>
      </c>
      <c r="O68" s="333">
        <f t="shared" si="109"/>
        <v>123.95623333333334</v>
      </c>
      <c r="P68" s="333">
        <f t="shared" si="109"/>
        <v>123.95623333333334</v>
      </c>
    </row>
    <row r="69" spans="1:16" s="240" customFormat="1" ht="22.5" x14ac:dyDescent="0.2">
      <c r="A69" s="237"/>
      <c r="B69" s="238" t="s">
        <v>357</v>
      </c>
      <c r="C69" s="239"/>
      <c r="D69" s="239"/>
      <c r="E69" s="239"/>
      <c r="F69" s="462">
        <f>F68*Сети!F$31</f>
        <v>-3.6858908288075161</v>
      </c>
      <c r="G69" s="462">
        <f>G68*Сети!G$31</f>
        <v>-7.9655594451229188</v>
      </c>
      <c r="H69" s="462">
        <f>H68*Сети!H$31</f>
        <v>-12.296731814460212</v>
      </c>
      <c r="I69" s="462">
        <f>I68*Сети!I$31</f>
        <v>-16.267377912644271</v>
      </c>
      <c r="J69" s="462">
        <f>J68*Сети!J$31</f>
        <v>-20.050649325012387</v>
      </c>
      <c r="K69" s="198">
        <f t="shared" si="109"/>
        <v>-20.050649325012387</v>
      </c>
      <c r="L69" s="198">
        <f t="shared" si="109"/>
        <v>-20.050649325012387</v>
      </c>
      <c r="M69" s="198">
        <f t="shared" si="109"/>
        <v>-20.050649325012387</v>
      </c>
      <c r="N69" s="198">
        <f t="shared" si="109"/>
        <v>-20.050649325012387</v>
      </c>
      <c r="O69" s="198">
        <f t="shared" si="109"/>
        <v>-20.050649325012387</v>
      </c>
      <c r="P69" s="198">
        <f t="shared" si="109"/>
        <v>-20.050649325012387</v>
      </c>
    </row>
    <row r="70" spans="1:16" s="240" customFormat="1" x14ac:dyDescent="0.2">
      <c r="A70" s="237"/>
      <c r="B70" s="238" t="s">
        <v>358</v>
      </c>
      <c r="C70" s="239"/>
      <c r="D70" s="363">
        <f>+D68*C34/C32</f>
        <v>0</v>
      </c>
      <c r="E70" s="363">
        <f t="shared" ref="E70:P70" si="110">+E68*D34/D32</f>
        <v>0</v>
      </c>
      <c r="F70" s="363">
        <f t="shared" si="110"/>
        <v>0</v>
      </c>
      <c r="G70" s="363">
        <f t="shared" si="110"/>
        <v>1.3353275759915255</v>
      </c>
      <c r="H70" s="363">
        <f t="shared" si="110"/>
        <v>1.3353275759915255</v>
      </c>
      <c r="I70" s="363">
        <f t="shared" si="110"/>
        <v>1.3353275759915255</v>
      </c>
      <c r="J70" s="363">
        <f t="shared" si="110"/>
        <v>1.3353275759915255</v>
      </c>
      <c r="K70" s="363">
        <f t="shared" si="110"/>
        <v>1.3353275759915255</v>
      </c>
      <c r="L70" s="363">
        <f t="shared" si="110"/>
        <v>1.3353275759915255</v>
      </c>
      <c r="M70" s="363">
        <f t="shared" si="110"/>
        <v>1.3353275759915255</v>
      </c>
      <c r="N70" s="363">
        <f t="shared" si="110"/>
        <v>1.3353275759915255</v>
      </c>
      <c r="O70" s="363">
        <f t="shared" si="110"/>
        <v>1.3353275759915255</v>
      </c>
      <c r="P70" s="363">
        <f t="shared" si="110"/>
        <v>1.3353275759915255</v>
      </c>
    </row>
    <row r="71" spans="1:16" s="11" customFormat="1" ht="22.5" x14ac:dyDescent="0.2">
      <c r="A71" s="2"/>
      <c r="B71" s="44" t="s">
        <v>370</v>
      </c>
      <c r="C71" s="208"/>
      <c r="D71" s="208"/>
      <c r="E71" s="208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</row>
    <row r="72" spans="1:16" s="11" customFormat="1" x14ac:dyDescent="0.2">
      <c r="A72" s="2"/>
      <c r="B72" s="44" t="s">
        <v>371</v>
      </c>
      <c r="C72" s="270">
        <f>SUM(C73:C75)</f>
        <v>136.00272999999999</v>
      </c>
      <c r="D72" s="270">
        <f t="shared" ref="D72:P72" si="111">SUM(D73:D75)</f>
        <v>136.55816100000001</v>
      </c>
      <c r="E72" s="270">
        <f t="shared" si="111"/>
        <v>130.11510733333333</v>
      </c>
      <c r="F72" s="270">
        <f t="shared" si="111"/>
        <v>126.24607979101069</v>
      </c>
      <c r="G72" s="270">
        <f t="shared" si="111"/>
        <v>126.13652294516343</v>
      </c>
      <c r="H72" s="270">
        <f t="shared" si="111"/>
        <v>121.84374739411103</v>
      </c>
      <c r="I72" s="270">
        <f t="shared" si="111"/>
        <v>117.92839026421508</v>
      </c>
      <c r="J72" s="270">
        <f t="shared" si="111"/>
        <v>114.20870293454635</v>
      </c>
      <c r="K72" s="270">
        <f t="shared" si="111"/>
        <v>114.45925351260833</v>
      </c>
      <c r="L72" s="270">
        <f t="shared" si="111"/>
        <v>114.70880148731669</v>
      </c>
      <c r="M72" s="270">
        <f t="shared" si="111"/>
        <v>115.94713593866612</v>
      </c>
      <c r="N72" s="270">
        <f t="shared" si="111"/>
        <v>117.16107396531044</v>
      </c>
      <c r="O72" s="270">
        <f t="shared" si="111"/>
        <v>118.35132948567292</v>
      </c>
      <c r="P72" s="270">
        <f t="shared" si="111"/>
        <v>119.51858883184418</v>
      </c>
    </row>
    <row r="73" spans="1:16" s="235" customFormat="1" x14ac:dyDescent="0.2">
      <c r="A73" s="366"/>
      <c r="B73" s="262" t="s">
        <v>375</v>
      </c>
      <c r="C73" s="365">
        <f>+'[4]4.4.Р_т'!$J$17</f>
        <v>136.00272999999999</v>
      </c>
      <c r="D73" s="365">
        <f>+'[4]4.4.Р_т'!$T$17</f>
        <v>136.55816100000001</v>
      </c>
      <c r="E73" s="365">
        <f>+'[4]4.1.РчПО_ТЭ'!$S$16</f>
        <v>130.11510733333333</v>
      </c>
      <c r="F73" s="333">
        <f t="shared" ref="F73:P74" si="112">+E73</f>
        <v>130.11510733333333</v>
      </c>
      <c r="G73" s="333">
        <f t="shared" si="112"/>
        <v>130.11510733333333</v>
      </c>
      <c r="H73" s="333">
        <f t="shared" si="112"/>
        <v>130.11510733333333</v>
      </c>
      <c r="I73" s="333">
        <f t="shared" si="112"/>
        <v>130.11510733333333</v>
      </c>
      <c r="J73" s="333">
        <f t="shared" si="112"/>
        <v>130.11510733333333</v>
      </c>
      <c r="K73" s="333">
        <f t="shared" si="112"/>
        <v>130.11510733333333</v>
      </c>
      <c r="L73" s="333">
        <f t="shared" si="112"/>
        <v>130.11510733333333</v>
      </c>
      <c r="M73" s="333">
        <f t="shared" si="112"/>
        <v>130.11510733333333</v>
      </c>
      <c r="N73" s="333">
        <f t="shared" si="112"/>
        <v>130.11510733333333</v>
      </c>
      <c r="O73" s="333">
        <f t="shared" si="112"/>
        <v>130.11510733333333</v>
      </c>
      <c r="P73" s="333">
        <f t="shared" si="112"/>
        <v>130.11510733333333</v>
      </c>
    </row>
    <row r="74" spans="1:16" s="240" customFormat="1" ht="22.5" x14ac:dyDescent="0.2">
      <c r="A74" s="237"/>
      <c r="B74" s="238" t="s">
        <v>357</v>
      </c>
      <c r="C74" s="239"/>
      <c r="D74" s="239"/>
      <c r="E74" s="239"/>
      <c r="F74" s="462">
        <f>F73*Сети!F$31</f>
        <v>-3.8690275423226437</v>
      </c>
      <c r="G74" s="462">
        <f>G73*Сети!G$31</f>
        <v>-8.3613352414888542</v>
      </c>
      <c r="H74" s="462">
        <f>H73*Сети!H$31</f>
        <v>-12.907705702747004</v>
      </c>
      <c r="I74" s="462">
        <f>I73*Сети!I$31</f>
        <v>-17.075636829361585</v>
      </c>
      <c r="J74" s="462">
        <f>J73*Сети!J$31</f>
        <v>-21.046883394813928</v>
      </c>
      <c r="K74" s="198">
        <f t="shared" si="112"/>
        <v>-21.046883394813928</v>
      </c>
      <c r="L74" s="198">
        <f t="shared" si="112"/>
        <v>-21.046883394813928</v>
      </c>
      <c r="M74" s="198">
        <f t="shared" si="112"/>
        <v>-21.046883394813928</v>
      </c>
      <c r="N74" s="198">
        <f t="shared" si="112"/>
        <v>-21.046883394813928</v>
      </c>
      <c r="O74" s="198">
        <f t="shared" si="112"/>
        <v>-21.046883394813928</v>
      </c>
      <c r="P74" s="198">
        <f t="shared" si="112"/>
        <v>-21.046883394813928</v>
      </c>
    </row>
    <row r="75" spans="1:16" s="240" customFormat="1" x14ac:dyDescent="0.2">
      <c r="A75" s="237"/>
      <c r="B75" s="238" t="s">
        <v>358</v>
      </c>
      <c r="C75" s="239"/>
      <c r="D75" s="363">
        <f>+D73*C38/C36</f>
        <v>0</v>
      </c>
      <c r="E75" s="363">
        <f t="shared" ref="E75:P75" si="113">+E73*D38/D36</f>
        <v>0</v>
      </c>
      <c r="F75" s="363">
        <f t="shared" si="113"/>
        <v>0</v>
      </c>
      <c r="G75" s="363">
        <f t="shared" si="113"/>
        <v>4.3827508533189619</v>
      </c>
      <c r="H75" s="363">
        <f t="shared" si="113"/>
        <v>4.6363457635247185</v>
      </c>
      <c r="I75" s="363">
        <f t="shared" si="113"/>
        <v>4.8889197602433363</v>
      </c>
      <c r="J75" s="363">
        <f t="shared" si="113"/>
        <v>5.1404789960269639</v>
      </c>
      <c r="K75" s="363">
        <f t="shared" si="113"/>
        <v>5.3910295740889262</v>
      </c>
      <c r="L75" s="363">
        <f t="shared" si="113"/>
        <v>5.6405775487972978</v>
      </c>
      <c r="M75" s="363">
        <f t="shared" si="113"/>
        <v>6.878912000146733</v>
      </c>
      <c r="N75" s="363">
        <f t="shared" si="113"/>
        <v>8.0928500267910337</v>
      </c>
      <c r="O75" s="363">
        <f t="shared" si="113"/>
        <v>9.2831055471535251</v>
      </c>
      <c r="P75" s="363">
        <f t="shared" si="113"/>
        <v>10.450364893324783</v>
      </c>
    </row>
    <row r="76" spans="1:16" s="11" customFormat="1" x14ac:dyDescent="0.2">
      <c r="A76" s="2"/>
      <c r="B76" s="44" t="s">
        <v>383</v>
      </c>
      <c r="C76" s="270">
        <f>SUM(C77:C78)</f>
        <v>68.902477000000005</v>
      </c>
      <c r="D76" s="270">
        <f t="shared" ref="D76:P76" si="114">SUM(D77:D78)</f>
        <v>73.552431999999996</v>
      </c>
      <c r="E76" s="270">
        <f t="shared" si="114"/>
        <v>69.112020000000001</v>
      </c>
      <c r="F76" s="270">
        <f t="shared" si="114"/>
        <v>69.112020000000001</v>
      </c>
      <c r="G76" s="270">
        <f t="shared" si="114"/>
        <v>69.466890754966883</v>
      </c>
      <c r="H76" s="270">
        <f t="shared" si="114"/>
        <v>69.947157536423845</v>
      </c>
      <c r="I76" s="270">
        <f t="shared" si="114"/>
        <v>70.427424317880792</v>
      </c>
      <c r="J76" s="270">
        <f t="shared" si="114"/>
        <v>70.90769109933774</v>
      </c>
      <c r="K76" s="270">
        <f t="shared" si="114"/>
        <v>71.387957880794701</v>
      </c>
      <c r="L76" s="270">
        <f t="shared" si="114"/>
        <v>73.757942781456947</v>
      </c>
      <c r="M76" s="270">
        <f t="shared" si="114"/>
        <v>76.127927682119207</v>
      </c>
      <c r="N76" s="270">
        <f t="shared" si="114"/>
        <v>78.497912582781453</v>
      </c>
      <c r="O76" s="270">
        <f t="shared" si="114"/>
        <v>80.867897483443713</v>
      </c>
      <c r="P76" s="270">
        <f t="shared" si="114"/>
        <v>83.237882384105959</v>
      </c>
    </row>
    <row r="77" spans="1:16" s="247" customFormat="1" x14ac:dyDescent="0.2">
      <c r="A77" s="244"/>
      <c r="B77" s="364" t="s">
        <v>421</v>
      </c>
      <c r="C77" s="107">
        <f>+'[4]4.4.Р_т'!$L$17</f>
        <v>68.902477000000005</v>
      </c>
      <c r="D77" s="107">
        <f>+'[4]4.4.Р_т'!$V$17</f>
        <v>73.552431999999996</v>
      </c>
      <c r="E77" s="107">
        <f>+'[4]4.1.РчПО_ТЭ'!$S$18</f>
        <v>69.112020000000001</v>
      </c>
      <c r="F77" s="90">
        <f t="shared" ref="F77" si="115">+E77</f>
        <v>69.112020000000001</v>
      </c>
      <c r="G77" s="90">
        <f t="shared" ref="G77" si="116">+F77</f>
        <v>69.112020000000001</v>
      </c>
      <c r="H77" s="90">
        <f t="shared" ref="H77" si="117">+G77</f>
        <v>69.112020000000001</v>
      </c>
      <c r="I77" s="90">
        <f t="shared" ref="I77" si="118">+H77</f>
        <v>69.112020000000001</v>
      </c>
      <c r="J77" s="90">
        <f t="shared" ref="J77" si="119">+I77</f>
        <v>69.112020000000001</v>
      </c>
      <c r="K77" s="90">
        <f t="shared" ref="K77" si="120">+J77</f>
        <v>69.112020000000001</v>
      </c>
      <c r="L77" s="90">
        <f t="shared" ref="L77" si="121">+K77</f>
        <v>69.112020000000001</v>
      </c>
      <c r="M77" s="90">
        <f t="shared" ref="M77" si="122">+L77</f>
        <v>69.112020000000001</v>
      </c>
      <c r="N77" s="90">
        <f t="shared" ref="N77" si="123">+M77</f>
        <v>69.112020000000001</v>
      </c>
      <c r="O77" s="90">
        <f t="shared" ref="O77" si="124">+N77</f>
        <v>69.112020000000001</v>
      </c>
      <c r="P77" s="90">
        <f t="shared" ref="P77" si="125">+O77</f>
        <v>69.112020000000001</v>
      </c>
    </row>
    <row r="78" spans="1:16" s="213" customFormat="1" x14ac:dyDescent="0.2">
      <c r="A78" s="212"/>
      <c r="B78" s="360" t="s">
        <v>358</v>
      </c>
      <c r="C78" s="214"/>
      <c r="D78" s="214"/>
      <c r="E78" s="214"/>
      <c r="F78" s="330">
        <f t="shared" ref="F78:P78" si="126">+F77*F41/F40</f>
        <v>0</v>
      </c>
      <c r="G78" s="330">
        <f t="shared" si="126"/>
        <v>0.35487075496688458</v>
      </c>
      <c r="H78" s="330">
        <f t="shared" si="126"/>
        <v>0.83513753642383826</v>
      </c>
      <c r="I78" s="330">
        <f t="shared" si="126"/>
        <v>1.3154043178807919</v>
      </c>
      <c r="J78" s="330">
        <f t="shared" si="126"/>
        <v>1.7956710993377456</v>
      </c>
      <c r="K78" s="330">
        <f t="shared" si="126"/>
        <v>2.2759378807946993</v>
      </c>
      <c r="L78" s="330">
        <f t="shared" si="126"/>
        <v>4.6459227814569521</v>
      </c>
      <c r="M78" s="330">
        <f t="shared" si="126"/>
        <v>7.0159076821192041</v>
      </c>
      <c r="N78" s="330">
        <f t="shared" si="126"/>
        <v>9.385892582781457</v>
      </c>
      <c r="O78" s="330">
        <f t="shared" si="126"/>
        <v>11.755877483443708</v>
      </c>
      <c r="P78" s="330">
        <f t="shared" si="126"/>
        <v>14.125862384105961</v>
      </c>
    </row>
    <row r="79" spans="1:16" s="11" customFormat="1" x14ac:dyDescent="0.2">
      <c r="A79" s="2"/>
      <c r="B79" s="44" t="s">
        <v>372</v>
      </c>
      <c r="C79" s="107">
        <f>+'[4]+Лок.к.'!$E$6</f>
        <v>1.052637</v>
      </c>
      <c r="D79" s="107">
        <f>+'[4]+Лок.к.'!$S$6</f>
        <v>1.4135600000000001</v>
      </c>
      <c r="E79" s="89">
        <f>+'[4]4.1.РчПО_ТЭ'!$S$20</f>
        <v>1.1365779999999999</v>
      </c>
      <c r="F79" s="90">
        <f t="shared" ref="F79:P79" si="127">+E79</f>
        <v>1.1365779999999999</v>
      </c>
      <c r="G79" s="90">
        <f t="shared" si="127"/>
        <v>1.1365779999999999</v>
      </c>
      <c r="H79" s="90">
        <f t="shared" si="127"/>
        <v>1.1365779999999999</v>
      </c>
      <c r="I79" s="90">
        <f t="shared" si="127"/>
        <v>1.1365779999999999</v>
      </c>
      <c r="J79" s="90">
        <f t="shared" si="127"/>
        <v>1.1365779999999999</v>
      </c>
      <c r="K79" s="90">
        <f t="shared" si="127"/>
        <v>1.1365779999999999</v>
      </c>
      <c r="L79" s="90">
        <f t="shared" si="127"/>
        <v>1.1365779999999999</v>
      </c>
      <c r="M79" s="90">
        <f t="shared" si="127"/>
        <v>1.1365779999999999</v>
      </c>
      <c r="N79" s="90">
        <f t="shared" si="127"/>
        <v>1.1365779999999999</v>
      </c>
      <c r="O79" s="90">
        <f t="shared" si="127"/>
        <v>1.1365779999999999</v>
      </c>
      <c r="P79" s="90">
        <f t="shared" si="127"/>
        <v>1.1365779999999999</v>
      </c>
    </row>
    <row r="80" spans="1:16" s="32" customFormat="1" x14ac:dyDescent="0.2">
      <c r="A80" s="33"/>
      <c r="B80" s="496" t="s">
        <v>476</v>
      </c>
      <c r="C80" s="90">
        <f t="shared" ref="C80:P80" si="128">SUM(C81:C83)</f>
        <v>156.62468699999999</v>
      </c>
      <c r="D80" s="90">
        <f t="shared" si="128"/>
        <v>381.21552933333339</v>
      </c>
      <c r="E80" s="90">
        <f t="shared" si="128"/>
        <v>381.21552933333339</v>
      </c>
      <c r="F80" s="90">
        <f t="shared" si="128"/>
        <v>369.87992493827079</v>
      </c>
      <c r="G80" s="90">
        <f t="shared" si="128"/>
        <v>358.68522186294808</v>
      </c>
      <c r="H80" s="90">
        <f t="shared" si="128"/>
        <v>347.02395355936522</v>
      </c>
      <c r="I80" s="90">
        <f t="shared" si="128"/>
        <v>336.45700093397664</v>
      </c>
      <c r="J80" s="90">
        <f t="shared" si="128"/>
        <v>326.45204080949878</v>
      </c>
      <c r="K80" s="90">
        <f t="shared" si="128"/>
        <v>328.06809403654393</v>
      </c>
      <c r="L80" s="90">
        <f t="shared" si="128"/>
        <v>329.67025308346274</v>
      </c>
      <c r="M80" s="90">
        <f t="shared" si="128"/>
        <v>330.11938275184889</v>
      </c>
      <c r="N80" s="90">
        <f t="shared" si="128"/>
        <v>330.56742659283202</v>
      </c>
      <c r="O80" s="90">
        <f t="shared" si="128"/>
        <v>331.01438853934434</v>
      </c>
      <c r="P80" s="90">
        <f t="shared" si="128"/>
        <v>331.46027250534695</v>
      </c>
    </row>
    <row r="81" spans="1:19" s="233" customFormat="1" x14ac:dyDescent="0.2">
      <c r="A81" s="339"/>
      <c r="B81" s="499" t="s">
        <v>477</v>
      </c>
      <c r="C81" s="365">
        <f>+'[4]4.1.РчПО_ТЭ'!$C$17</f>
        <v>156.62468699999999</v>
      </c>
      <c r="D81" s="365">
        <f>+E81</f>
        <v>381.21552933333339</v>
      </c>
      <c r="E81" s="234">
        <f>+'[4]4.1.РчПО_ТЭ'!$S$17</f>
        <v>381.21552933333339</v>
      </c>
      <c r="F81" s="333">
        <f t="shared" ref="F81:P82" si="129">+E81</f>
        <v>381.21552933333339</v>
      </c>
      <c r="G81" s="333">
        <f t="shared" si="129"/>
        <v>381.21552933333339</v>
      </c>
      <c r="H81" s="333">
        <f t="shared" si="129"/>
        <v>381.21552933333339</v>
      </c>
      <c r="I81" s="333">
        <f t="shared" si="129"/>
        <v>381.21552933333339</v>
      </c>
      <c r="J81" s="333">
        <f t="shared" si="129"/>
        <v>381.21552933333339</v>
      </c>
      <c r="K81" s="333">
        <f t="shared" si="129"/>
        <v>381.21552933333339</v>
      </c>
      <c r="L81" s="333">
        <f t="shared" si="129"/>
        <v>381.21552933333339</v>
      </c>
      <c r="M81" s="333">
        <f t="shared" si="129"/>
        <v>381.21552933333339</v>
      </c>
      <c r="N81" s="333">
        <f t="shared" si="129"/>
        <v>381.21552933333339</v>
      </c>
      <c r="O81" s="333">
        <f t="shared" si="129"/>
        <v>381.21552933333339</v>
      </c>
      <c r="P81" s="333">
        <f t="shared" si="129"/>
        <v>381.21552933333339</v>
      </c>
      <c r="Q81" s="235"/>
      <c r="R81" s="235"/>
      <c r="S81" s="235"/>
    </row>
    <row r="82" spans="1:19" s="240" customFormat="1" ht="22.5" x14ac:dyDescent="0.2">
      <c r="A82" s="237"/>
      <c r="B82" s="238" t="s">
        <v>357</v>
      </c>
      <c r="C82" s="239"/>
      <c r="D82" s="239"/>
      <c r="E82" s="239"/>
      <c r="F82" s="462">
        <f>F81*Сети!F$31</f>
        <v>-11.33560439506258</v>
      </c>
      <c r="G82" s="462">
        <f>G81*Сети!G$31</f>
        <v>-24.497315533482649</v>
      </c>
      <c r="H82" s="462">
        <f>H81*Сети!H$31</f>
        <v>-37.817421533886751</v>
      </c>
      <c r="I82" s="462">
        <f>I81*Сети!I$31</f>
        <v>-50.028763500402654</v>
      </c>
      <c r="J82" s="462">
        <f>J81*Сети!J$31</f>
        <v>-61.663852557999427</v>
      </c>
      <c r="K82" s="198">
        <f t="shared" si="129"/>
        <v>-61.663852557999427</v>
      </c>
      <c r="L82" s="198">
        <f t="shared" si="129"/>
        <v>-61.663852557999427</v>
      </c>
      <c r="M82" s="198">
        <f t="shared" si="129"/>
        <v>-61.663852557999427</v>
      </c>
      <c r="N82" s="198">
        <f t="shared" si="129"/>
        <v>-61.663852557999427</v>
      </c>
      <c r="O82" s="198">
        <f t="shared" si="129"/>
        <v>-61.663852557999427</v>
      </c>
      <c r="P82" s="198">
        <f t="shared" si="129"/>
        <v>-61.663852557999427</v>
      </c>
    </row>
    <row r="83" spans="1:19" s="265" customFormat="1" x14ac:dyDescent="0.2">
      <c r="A83" s="359"/>
      <c r="B83" s="360" t="s">
        <v>358</v>
      </c>
      <c r="C83" s="332"/>
      <c r="D83" s="332"/>
      <c r="E83" s="332"/>
      <c r="F83" s="361">
        <f>+F81*Кот.!E45/Кот.!E43</f>
        <v>0</v>
      </c>
      <c r="G83" s="361">
        <f>+G81*Кот.!F45/Кот.!F43</f>
        <v>1.9670080630973739</v>
      </c>
      <c r="H83" s="361">
        <f>+H81*Кот.!G45/Кот.!G43</f>
        <v>3.6258457599185872</v>
      </c>
      <c r="I83" s="361">
        <f>+I81*Кот.!H45/Кот.!H43</f>
        <v>5.2702351010458743</v>
      </c>
      <c r="J83" s="361">
        <f>+J81*Кот.!I45/Кот.!I43</f>
        <v>6.9003640341648209</v>
      </c>
      <c r="K83" s="361">
        <f>+K81*Кот.!J45/Кот.!J43</f>
        <v>8.5164172612099254</v>
      </c>
      <c r="L83" s="361">
        <f>+L81*Кот.!K45/Кот.!K43</f>
        <v>10.118576308128773</v>
      </c>
      <c r="M83" s="361">
        <f>+M81*Кот.!L45/Кот.!L43</f>
        <v>10.567705976514889</v>
      </c>
      <c r="N83" s="361">
        <f>+N81*Кот.!M45/Кот.!M43</f>
        <v>11.015749817498047</v>
      </c>
      <c r="O83" s="361">
        <f>+O81*Кот.!N45/Кот.!N43</f>
        <v>11.462711764010329</v>
      </c>
      <c r="P83" s="361">
        <f>+P81*Кот.!O45/Кот.!O43</f>
        <v>11.908595730012971</v>
      </c>
    </row>
    <row r="84" spans="1:19" s="32" customFormat="1" x14ac:dyDescent="0.2">
      <c r="A84" s="33"/>
      <c r="B84" s="496" t="s">
        <v>147</v>
      </c>
      <c r="C84" s="89">
        <f>+'[4]4.1.РчПО_ТЭ'!$C21</f>
        <v>8.7918029999999998</v>
      </c>
      <c r="D84" s="89">
        <f>+'[4]4.1.РчПО_ТЭ'!$K21</f>
        <v>19.060011000000003</v>
      </c>
      <c r="E84" s="89">
        <f>+'[4]4.1.РчПО_ТЭ'!$S21</f>
        <v>20.346970333333335</v>
      </c>
      <c r="F84" s="90">
        <f t="shared" ref="F84:P84" si="130">+E84</f>
        <v>20.346970333333335</v>
      </c>
      <c r="G84" s="90">
        <f t="shared" si="130"/>
        <v>20.346970333333335</v>
      </c>
      <c r="H84" s="90">
        <f t="shared" si="130"/>
        <v>20.346970333333335</v>
      </c>
      <c r="I84" s="90">
        <f t="shared" si="130"/>
        <v>20.346970333333335</v>
      </c>
      <c r="J84" s="90">
        <f t="shared" si="130"/>
        <v>20.346970333333335</v>
      </c>
      <c r="K84" s="90">
        <f t="shared" si="130"/>
        <v>20.346970333333335</v>
      </c>
      <c r="L84" s="90">
        <f t="shared" si="130"/>
        <v>20.346970333333335</v>
      </c>
      <c r="M84" s="90">
        <f t="shared" si="130"/>
        <v>20.346970333333335</v>
      </c>
      <c r="N84" s="90">
        <f t="shared" si="130"/>
        <v>20.346970333333335</v>
      </c>
      <c r="O84" s="90">
        <f t="shared" si="130"/>
        <v>20.346970333333335</v>
      </c>
      <c r="P84" s="90">
        <f t="shared" si="130"/>
        <v>20.346970333333335</v>
      </c>
    </row>
    <row r="85" spans="1:19" s="11" customFormat="1" x14ac:dyDescent="0.2">
      <c r="A85" s="2"/>
      <c r="B85" s="496" t="s">
        <v>148</v>
      </c>
      <c r="C85" s="89">
        <f>+'[4]4.1.РчПО_ТЭ'!$C22</f>
        <v>3.2127999999999997E-2</v>
      </c>
      <c r="D85" s="89">
        <f>+'[4]4.1.РчПО_ТЭ'!$K22</f>
        <v>0.311921</v>
      </c>
      <c r="E85" s="89">
        <f>+'[4]4.1.РчПО_ТЭ'!$S22</f>
        <v>0.32691533333333339</v>
      </c>
      <c r="F85" s="90">
        <f t="shared" ref="F85:P85" si="131">+E85</f>
        <v>0.32691533333333339</v>
      </c>
      <c r="G85" s="90">
        <f t="shared" si="131"/>
        <v>0.32691533333333339</v>
      </c>
      <c r="H85" s="90">
        <f t="shared" si="131"/>
        <v>0.32691533333333339</v>
      </c>
      <c r="I85" s="90">
        <f t="shared" si="131"/>
        <v>0.32691533333333339</v>
      </c>
      <c r="J85" s="90">
        <f t="shared" si="131"/>
        <v>0.32691533333333339</v>
      </c>
      <c r="K85" s="90">
        <f t="shared" si="131"/>
        <v>0.32691533333333339</v>
      </c>
      <c r="L85" s="90">
        <f t="shared" si="131"/>
        <v>0.32691533333333339</v>
      </c>
      <c r="M85" s="90">
        <f t="shared" si="131"/>
        <v>0.32691533333333339</v>
      </c>
      <c r="N85" s="90">
        <f t="shared" si="131"/>
        <v>0.32691533333333339</v>
      </c>
      <c r="O85" s="90">
        <f t="shared" si="131"/>
        <v>0.32691533333333339</v>
      </c>
      <c r="P85" s="90">
        <f t="shared" si="131"/>
        <v>0.32691533333333339</v>
      </c>
    </row>
    <row r="86" spans="1:19" s="11" customFormat="1" x14ac:dyDescent="0.2">
      <c r="A86" s="2"/>
      <c r="B86" s="496" t="s">
        <v>478</v>
      </c>
      <c r="C86" s="89">
        <f>+'[4]4.1.РчПО_ТЭ'!$C23</f>
        <v>8.1860000000000016E-2</v>
      </c>
      <c r="D86" s="89">
        <f>+'[4]4.1.РчПО_ТЭ'!$K23</f>
        <v>0.18205700000000002</v>
      </c>
      <c r="E86" s="89">
        <f>+'[4]4.1.РчПО_ТЭ'!$S23</f>
        <v>0.28585717666666666</v>
      </c>
      <c r="F86" s="90">
        <f t="shared" ref="F86:P86" si="132">+E86</f>
        <v>0.28585717666666666</v>
      </c>
      <c r="G86" s="90">
        <f t="shared" si="132"/>
        <v>0.28585717666666666</v>
      </c>
      <c r="H86" s="90">
        <f t="shared" si="132"/>
        <v>0.28585717666666666</v>
      </c>
      <c r="I86" s="90">
        <f t="shared" si="132"/>
        <v>0.28585717666666666</v>
      </c>
      <c r="J86" s="90">
        <f t="shared" si="132"/>
        <v>0.28585717666666666</v>
      </c>
      <c r="K86" s="90">
        <f t="shared" si="132"/>
        <v>0.28585717666666666</v>
      </c>
      <c r="L86" s="90">
        <f t="shared" si="132"/>
        <v>0.28585717666666666</v>
      </c>
      <c r="M86" s="90">
        <f t="shared" si="132"/>
        <v>0.28585717666666666</v>
      </c>
      <c r="N86" s="90">
        <f t="shared" si="132"/>
        <v>0.28585717666666666</v>
      </c>
      <c r="O86" s="90">
        <f t="shared" si="132"/>
        <v>0.28585717666666666</v>
      </c>
      <c r="P86" s="90">
        <f t="shared" si="132"/>
        <v>0.28585717666666666</v>
      </c>
    </row>
    <row r="87" spans="1:19" s="11" customFormat="1" x14ac:dyDescent="0.2">
      <c r="A87" s="500"/>
      <c r="B87" s="496" t="s">
        <v>479</v>
      </c>
      <c r="C87" s="89">
        <f>+'[4]4.1.РчПО_ТЭ'!$C24</f>
        <v>0.70404600000000006</v>
      </c>
      <c r="D87" s="89">
        <f>+'[4]4.1.РчПО_ТЭ'!$K24</f>
        <v>2.496842</v>
      </c>
      <c r="E87" s="89">
        <f>+'[4]4.1.РчПО_ТЭ'!$S24</f>
        <v>1.9663933333333332</v>
      </c>
      <c r="F87" s="90">
        <f t="shared" ref="F87:P87" si="133">+E87</f>
        <v>1.9663933333333332</v>
      </c>
      <c r="G87" s="90">
        <f t="shared" si="133"/>
        <v>1.9663933333333332</v>
      </c>
      <c r="H87" s="90">
        <f t="shared" si="133"/>
        <v>1.9663933333333332</v>
      </c>
      <c r="I87" s="90">
        <f t="shared" si="133"/>
        <v>1.9663933333333332</v>
      </c>
      <c r="J87" s="90">
        <f t="shared" si="133"/>
        <v>1.9663933333333332</v>
      </c>
      <c r="K87" s="90">
        <f t="shared" si="133"/>
        <v>1.9663933333333332</v>
      </c>
      <c r="L87" s="90">
        <f t="shared" si="133"/>
        <v>1.9663933333333332</v>
      </c>
      <c r="M87" s="90">
        <f t="shared" si="133"/>
        <v>1.9663933333333332</v>
      </c>
      <c r="N87" s="90">
        <f t="shared" si="133"/>
        <v>1.9663933333333332</v>
      </c>
      <c r="O87" s="90">
        <f t="shared" si="133"/>
        <v>1.9663933333333332</v>
      </c>
      <c r="P87" s="90">
        <f t="shared" si="133"/>
        <v>1.9663933333333332</v>
      </c>
    </row>
    <row r="88" spans="1:19" s="240" customFormat="1" x14ac:dyDescent="0.2">
      <c r="A88" s="237"/>
      <c r="B88" s="496" t="s">
        <v>480</v>
      </c>
      <c r="C88" s="89">
        <f>+'[4]4.1.РчПО_ТЭ'!$C25</f>
        <v>0.13319</v>
      </c>
      <c r="D88" s="89">
        <f>+'[4]4.1.РчПО_ТЭ'!$K25</f>
        <v>0.38517399999999996</v>
      </c>
      <c r="E88" s="89">
        <f>+'[4]4.1.РчПО_ТЭ'!$S25</f>
        <v>0.35498833333333335</v>
      </c>
      <c r="F88" s="90">
        <f t="shared" ref="F88:P88" si="134">+E88</f>
        <v>0.35498833333333335</v>
      </c>
      <c r="G88" s="90">
        <f t="shared" si="134"/>
        <v>0.35498833333333335</v>
      </c>
      <c r="H88" s="90">
        <f t="shared" si="134"/>
        <v>0.35498833333333335</v>
      </c>
      <c r="I88" s="90">
        <f t="shared" si="134"/>
        <v>0.35498833333333335</v>
      </c>
      <c r="J88" s="90">
        <f t="shared" si="134"/>
        <v>0.35498833333333335</v>
      </c>
      <c r="K88" s="90">
        <f t="shared" si="134"/>
        <v>0.35498833333333335</v>
      </c>
      <c r="L88" s="90">
        <f t="shared" si="134"/>
        <v>0.35498833333333335</v>
      </c>
      <c r="M88" s="90">
        <f t="shared" si="134"/>
        <v>0.35498833333333335</v>
      </c>
      <c r="N88" s="90">
        <f t="shared" si="134"/>
        <v>0.35498833333333335</v>
      </c>
      <c r="O88" s="90">
        <f t="shared" si="134"/>
        <v>0.35498833333333335</v>
      </c>
      <c r="P88" s="90">
        <f t="shared" si="134"/>
        <v>0.35498833333333335</v>
      </c>
    </row>
    <row r="89" spans="1:19" s="240" customFormat="1" x14ac:dyDescent="0.2">
      <c r="A89" s="237"/>
      <c r="B89" s="496" t="s">
        <v>149</v>
      </c>
      <c r="C89" s="89">
        <f>+'[4]4.1.РчПО_ТЭ'!$C26</f>
        <v>0.69723299999999999</v>
      </c>
      <c r="D89" s="89">
        <f>+'[4]4.1.РчПО_ТЭ'!$K26</f>
        <v>1.9774710000000002</v>
      </c>
      <c r="E89" s="89">
        <f>+'[4]4.1.РчПО_ТЭ'!$S26</f>
        <v>1.4754986666666665</v>
      </c>
      <c r="F89" s="90">
        <f t="shared" ref="F89:P89" si="135">+E89</f>
        <v>1.4754986666666665</v>
      </c>
      <c r="G89" s="90">
        <f t="shared" si="135"/>
        <v>1.4754986666666665</v>
      </c>
      <c r="H89" s="90">
        <f t="shared" si="135"/>
        <v>1.4754986666666665</v>
      </c>
      <c r="I89" s="90">
        <f t="shared" si="135"/>
        <v>1.4754986666666665</v>
      </c>
      <c r="J89" s="90">
        <f t="shared" si="135"/>
        <v>1.4754986666666665</v>
      </c>
      <c r="K89" s="90">
        <f t="shared" si="135"/>
        <v>1.4754986666666665</v>
      </c>
      <c r="L89" s="90">
        <f t="shared" si="135"/>
        <v>1.4754986666666665</v>
      </c>
      <c r="M89" s="90">
        <f t="shared" si="135"/>
        <v>1.4754986666666665</v>
      </c>
      <c r="N89" s="90">
        <f t="shared" si="135"/>
        <v>1.4754986666666665</v>
      </c>
      <c r="O89" s="90">
        <f t="shared" si="135"/>
        <v>1.4754986666666665</v>
      </c>
      <c r="P89" s="90">
        <f t="shared" si="135"/>
        <v>1.4754986666666665</v>
      </c>
    </row>
    <row r="90" spans="1:19" s="11" customFormat="1" x14ac:dyDescent="0.2">
      <c r="A90" s="2"/>
      <c r="B90" s="496" t="s">
        <v>481</v>
      </c>
      <c r="C90" s="89">
        <f>+'[4]4.1.РчПО_ТЭ'!$C27</f>
        <v>3.5968079999999998</v>
      </c>
      <c r="D90" s="90">
        <f t="shared" ref="D90:P90" si="136">SUM(D91:D92)</f>
        <v>8.8528349999999989</v>
      </c>
      <c r="E90" s="90">
        <f t="shared" si="136"/>
        <v>8.1413803333333341</v>
      </c>
      <c r="F90" s="90">
        <f t="shared" si="136"/>
        <v>8.1413803333333341</v>
      </c>
      <c r="G90" s="90">
        <f t="shared" si="136"/>
        <v>8.8600269649334962</v>
      </c>
      <c r="H90" s="90">
        <f t="shared" si="136"/>
        <v>9.5786735965336565</v>
      </c>
      <c r="I90" s="90">
        <f t="shared" si="136"/>
        <v>10.297320228133817</v>
      </c>
      <c r="J90" s="90">
        <f t="shared" si="136"/>
        <v>11.015966859733979</v>
      </c>
      <c r="K90" s="90">
        <f t="shared" si="136"/>
        <v>11.734613491334141</v>
      </c>
      <c r="L90" s="90">
        <f t="shared" si="136"/>
        <v>11.734613491334141</v>
      </c>
      <c r="M90" s="90">
        <f t="shared" si="136"/>
        <v>11.734613491334141</v>
      </c>
      <c r="N90" s="90">
        <f t="shared" si="136"/>
        <v>11.734613491334141</v>
      </c>
      <c r="O90" s="90">
        <f t="shared" si="136"/>
        <v>11.734613491334141</v>
      </c>
      <c r="P90" s="90">
        <f t="shared" si="136"/>
        <v>11.734613491334141</v>
      </c>
    </row>
    <row r="91" spans="1:19" s="247" customFormat="1" x14ac:dyDescent="0.2">
      <c r="A91" s="244"/>
      <c r="B91" s="364" t="s">
        <v>482</v>
      </c>
      <c r="C91" s="497"/>
      <c r="D91" s="89">
        <f>+'[4]4.1.РчПО_ТЭ'!$K$27</f>
        <v>8.8528349999999989</v>
      </c>
      <c r="E91" s="89">
        <f>+'[4]4.1.РчПО_ТЭ'!$T$27</f>
        <v>8.1413803333333341</v>
      </c>
      <c r="F91" s="90">
        <f t="shared" ref="F91:P91" si="137">+E91</f>
        <v>8.1413803333333341</v>
      </c>
      <c r="G91" s="90">
        <f t="shared" si="137"/>
        <v>8.1413803333333341</v>
      </c>
      <c r="H91" s="90">
        <f t="shared" si="137"/>
        <v>8.1413803333333341</v>
      </c>
      <c r="I91" s="90">
        <f t="shared" si="137"/>
        <v>8.1413803333333341</v>
      </c>
      <c r="J91" s="90">
        <f t="shared" si="137"/>
        <v>8.1413803333333341</v>
      </c>
      <c r="K91" s="90">
        <f t="shared" si="137"/>
        <v>8.1413803333333341</v>
      </c>
      <c r="L91" s="90">
        <f t="shared" si="137"/>
        <v>8.1413803333333341</v>
      </c>
      <c r="M91" s="90">
        <f t="shared" si="137"/>
        <v>8.1413803333333341</v>
      </c>
      <c r="N91" s="90">
        <f t="shared" si="137"/>
        <v>8.1413803333333341</v>
      </c>
      <c r="O91" s="90">
        <f t="shared" si="137"/>
        <v>8.1413803333333341</v>
      </c>
      <c r="P91" s="90">
        <f t="shared" si="137"/>
        <v>8.1413803333333341</v>
      </c>
    </row>
    <row r="92" spans="1:19" s="213" customFormat="1" x14ac:dyDescent="0.2">
      <c r="A92" s="212"/>
      <c r="B92" s="360" t="s">
        <v>358</v>
      </c>
      <c r="C92" s="497"/>
      <c r="D92" s="497"/>
      <c r="E92" s="497"/>
      <c r="F92" s="497"/>
      <c r="G92" s="501">
        <f>+G91*Кот.!G54/Кот.!G53</f>
        <v>0.71864663160016129</v>
      </c>
      <c r="H92" s="501">
        <f>+H91*Кот.!H54/Кот.!H53</f>
        <v>1.4372932632003226</v>
      </c>
      <c r="I92" s="501">
        <f>+I91*Кот.!I54/Кот.!I53</f>
        <v>2.1559398948004835</v>
      </c>
      <c r="J92" s="501">
        <f>+J91*Кот.!J54/Кот.!J53</f>
        <v>2.8745865264006452</v>
      </c>
      <c r="K92" s="501">
        <f>+K91*Кот.!K54/Кот.!K53</f>
        <v>3.5932331580008063</v>
      </c>
      <c r="L92" s="501">
        <f>+L91*Кот.!L54/Кот.!L53</f>
        <v>3.5932331580008063</v>
      </c>
      <c r="M92" s="501">
        <f>+M91*Кот.!M54/Кот.!M53</f>
        <v>3.5932331580008063</v>
      </c>
      <c r="N92" s="501">
        <f>+N91*Кот.!N54/Кот.!N53</f>
        <v>3.5932331580008063</v>
      </c>
      <c r="O92" s="501">
        <f>+O91*Кот.!O54/Кот.!O53</f>
        <v>3.5932331580008063</v>
      </c>
      <c r="P92" s="501">
        <f>+P91*Кот.!P54/Кот.!P53</f>
        <v>3.5932331580008063</v>
      </c>
    </row>
    <row r="93" spans="1:19" s="11" customFormat="1" x14ac:dyDescent="0.2">
      <c r="A93" s="2"/>
      <c r="B93" s="496" t="s">
        <v>483</v>
      </c>
      <c r="C93" s="89">
        <f>+'[4]4.1.РчПО_ТЭ'!$C28</f>
        <v>1.6624190000000001</v>
      </c>
      <c r="D93" s="89">
        <f>+'[4]4.1.РчПО_ТЭ'!$K28</f>
        <v>5.6996560000000001</v>
      </c>
      <c r="E93" s="89">
        <f>+'[4]4.1.РчПО_ТЭ'!$S28</f>
        <v>5.6513706666659997</v>
      </c>
      <c r="F93" s="90">
        <f t="shared" ref="F93:P93" si="138">+E93</f>
        <v>5.6513706666659997</v>
      </c>
      <c r="G93" s="90">
        <f t="shared" si="138"/>
        <v>5.6513706666659997</v>
      </c>
      <c r="H93" s="90">
        <f t="shared" si="138"/>
        <v>5.6513706666659997</v>
      </c>
      <c r="I93" s="90">
        <f t="shared" si="138"/>
        <v>5.6513706666659997</v>
      </c>
      <c r="J93" s="90">
        <f t="shared" si="138"/>
        <v>5.6513706666659997</v>
      </c>
      <c r="K93" s="90">
        <f t="shared" si="138"/>
        <v>5.6513706666659997</v>
      </c>
      <c r="L93" s="90">
        <f t="shared" si="138"/>
        <v>5.6513706666659997</v>
      </c>
      <c r="M93" s="90">
        <f t="shared" si="138"/>
        <v>5.6513706666659997</v>
      </c>
      <c r="N93" s="90">
        <f t="shared" si="138"/>
        <v>5.6513706666659997</v>
      </c>
      <c r="O93" s="90">
        <f t="shared" si="138"/>
        <v>5.6513706666659997</v>
      </c>
      <c r="P93" s="90">
        <f t="shared" si="138"/>
        <v>5.6513706666659997</v>
      </c>
    </row>
    <row r="94" spans="1:19" s="11" customFormat="1" x14ac:dyDescent="0.2">
      <c r="A94" s="500"/>
      <c r="B94" s="496" t="s">
        <v>484</v>
      </c>
      <c r="C94" s="89">
        <f>+'[4]4.1.РчПО_ТЭ'!$C29</f>
        <v>13.989467000000001</v>
      </c>
      <c r="D94" s="89">
        <f>+'[4]4.1.РчПО_ТЭ'!$K29</f>
        <v>38.442861999999998</v>
      </c>
      <c r="E94" s="89">
        <f>+'[4]4.1.РчПО_ТЭ'!$S29</f>
        <v>31.882581333333331</v>
      </c>
      <c r="F94" s="90">
        <f t="shared" ref="F94:P94" si="139">+E94</f>
        <v>31.882581333333331</v>
      </c>
      <c r="G94" s="90">
        <f t="shared" si="139"/>
        <v>31.882581333333331</v>
      </c>
      <c r="H94" s="90">
        <f t="shared" si="139"/>
        <v>31.882581333333331</v>
      </c>
      <c r="I94" s="90">
        <f t="shared" si="139"/>
        <v>31.882581333333331</v>
      </c>
      <c r="J94" s="90">
        <f t="shared" si="139"/>
        <v>31.882581333333331</v>
      </c>
      <c r="K94" s="90">
        <f t="shared" si="139"/>
        <v>31.882581333333331</v>
      </c>
      <c r="L94" s="90">
        <f t="shared" si="139"/>
        <v>31.882581333333331</v>
      </c>
      <c r="M94" s="90">
        <f t="shared" si="139"/>
        <v>31.882581333333331</v>
      </c>
      <c r="N94" s="90">
        <f t="shared" si="139"/>
        <v>31.882581333333331</v>
      </c>
      <c r="O94" s="90">
        <f t="shared" si="139"/>
        <v>31.882581333333331</v>
      </c>
      <c r="P94" s="90">
        <f t="shared" si="139"/>
        <v>31.882581333333331</v>
      </c>
    </row>
    <row r="95" spans="1:19" s="240" customFormat="1" x14ac:dyDescent="0.2">
      <c r="A95" s="237"/>
      <c r="B95" s="496" t="s">
        <v>485</v>
      </c>
      <c r="C95" s="89">
        <f>+'[4]4.1.РчПО_ТЭ'!$C30</f>
        <v>25.937922999999998</v>
      </c>
      <c r="D95" s="89">
        <f>+'[4]4.1.РчПО_ТЭ'!$K30</f>
        <v>74.448634499999997</v>
      </c>
      <c r="E95" s="89">
        <f>+'[4]4.1.РчПО_ТЭ'!$S30</f>
        <v>54.535048643066659</v>
      </c>
      <c r="F95" s="90">
        <f t="shared" ref="F95:P95" si="140">+E95</f>
        <v>54.535048643066659</v>
      </c>
      <c r="G95" s="90">
        <f t="shared" si="140"/>
        <v>54.535048643066659</v>
      </c>
      <c r="H95" s="90">
        <f t="shared" si="140"/>
        <v>54.535048643066659</v>
      </c>
      <c r="I95" s="90">
        <f t="shared" si="140"/>
        <v>54.535048643066659</v>
      </c>
      <c r="J95" s="90">
        <f t="shared" si="140"/>
        <v>54.535048643066659</v>
      </c>
      <c r="K95" s="90">
        <f t="shared" si="140"/>
        <v>54.535048643066659</v>
      </c>
      <c r="L95" s="90">
        <f t="shared" si="140"/>
        <v>54.535048643066659</v>
      </c>
      <c r="M95" s="90">
        <f t="shared" si="140"/>
        <v>54.535048643066659</v>
      </c>
      <c r="N95" s="90">
        <f t="shared" si="140"/>
        <v>54.535048643066659</v>
      </c>
      <c r="O95" s="90">
        <f t="shared" si="140"/>
        <v>54.535048643066659</v>
      </c>
      <c r="P95" s="90">
        <f t="shared" si="140"/>
        <v>54.535048643066659</v>
      </c>
    </row>
    <row r="96" spans="1:19" s="240" customFormat="1" x14ac:dyDescent="0.2">
      <c r="A96" s="237"/>
      <c r="B96" s="496" t="s">
        <v>150</v>
      </c>
      <c r="C96" s="89">
        <f>+'[4]4.1.РчПО_ТЭ'!$C31</f>
        <v>5.2216000000000005</v>
      </c>
      <c r="D96" s="89">
        <f>+'[4]4.1.РчПО_ТЭ'!$K31</f>
        <v>16.229724000000001</v>
      </c>
      <c r="E96" s="89">
        <f>+'[4]4.1.РчПО_ТЭ'!$S31</f>
        <v>11.959850999999999</v>
      </c>
      <c r="F96" s="90">
        <f t="shared" ref="F96:P96" si="141">+E96</f>
        <v>11.959850999999999</v>
      </c>
      <c r="G96" s="90">
        <f t="shared" si="141"/>
        <v>11.959850999999999</v>
      </c>
      <c r="H96" s="90">
        <f t="shared" si="141"/>
        <v>11.959850999999999</v>
      </c>
      <c r="I96" s="90">
        <f t="shared" si="141"/>
        <v>11.959850999999999</v>
      </c>
      <c r="J96" s="90">
        <f t="shared" si="141"/>
        <v>11.959850999999999</v>
      </c>
      <c r="K96" s="90">
        <f t="shared" si="141"/>
        <v>11.959850999999999</v>
      </c>
      <c r="L96" s="90">
        <f t="shared" si="141"/>
        <v>11.959850999999999</v>
      </c>
      <c r="M96" s="90">
        <f t="shared" si="141"/>
        <v>11.959850999999999</v>
      </c>
      <c r="N96" s="90">
        <f t="shared" si="141"/>
        <v>11.959850999999999</v>
      </c>
      <c r="O96" s="90">
        <f t="shared" si="141"/>
        <v>11.959850999999999</v>
      </c>
      <c r="P96" s="90">
        <f t="shared" si="141"/>
        <v>11.959850999999999</v>
      </c>
    </row>
    <row r="97" spans="1:19" s="11" customFormat="1" x14ac:dyDescent="0.2">
      <c r="A97" s="2"/>
      <c r="B97" s="496" t="s">
        <v>486</v>
      </c>
      <c r="C97" s="89">
        <f>+'[4]4.1.РчПО_ТЭ'!$C32</f>
        <v>0.22928599999999999</v>
      </c>
      <c r="D97" s="89">
        <f>+'[4]4.1.РчПО_ТЭ'!$K32</f>
        <v>0.87194699999999992</v>
      </c>
      <c r="E97" s="89">
        <f>+'[4]4.1.РчПО_ТЭ'!$S32</f>
        <v>0.64919867000000031</v>
      </c>
      <c r="F97" s="90">
        <f t="shared" ref="F97:P97" si="142">+E97</f>
        <v>0.64919867000000031</v>
      </c>
      <c r="G97" s="90">
        <f t="shared" si="142"/>
        <v>0.64919867000000031</v>
      </c>
      <c r="H97" s="90">
        <f t="shared" si="142"/>
        <v>0.64919867000000031</v>
      </c>
      <c r="I97" s="90">
        <f t="shared" si="142"/>
        <v>0.64919867000000031</v>
      </c>
      <c r="J97" s="90">
        <f t="shared" si="142"/>
        <v>0.64919867000000031</v>
      </c>
      <c r="K97" s="90">
        <f t="shared" si="142"/>
        <v>0.64919867000000031</v>
      </c>
      <c r="L97" s="90">
        <f t="shared" si="142"/>
        <v>0.64919867000000031</v>
      </c>
      <c r="M97" s="90">
        <f t="shared" si="142"/>
        <v>0.64919867000000031</v>
      </c>
      <c r="N97" s="90">
        <f t="shared" si="142"/>
        <v>0.64919867000000031</v>
      </c>
      <c r="O97" s="90">
        <f t="shared" si="142"/>
        <v>0.64919867000000031</v>
      </c>
      <c r="P97" s="90">
        <f t="shared" si="142"/>
        <v>0.64919867000000031</v>
      </c>
    </row>
    <row r="98" spans="1:19" x14ac:dyDescent="0.2">
      <c r="A98" s="29" t="s">
        <v>207</v>
      </c>
      <c r="B98" s="3" t="s">
        <v>178</v>
      </c>
      <c r="C98" s="229"/>
      <c r="D98" s="229"/>
      <c r="E98" s="229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</row>
    <row r="99" spans="1:19" s="35" customFormat="1" x14ac:dyDescent="0.2">
      <c r="A99" s="112" t="s">
        <v>208</v>
      </c>
      <c r="B99" s="34" t="s">
        <v>179</v>
      </c>
      <c r="C99" s="70">
        <f t="shared" ref="C99:P99" si="143">C98/C64</f>
        <v>0</v>
      </c>
      <c r="D99" s="70">
        <f t="shared" si="143"/>
        <v>0</v>
      </c>
      <c r="E99" s="70">
        <f t="shared" si="143"/>
        <v>0</v>
      </c>
      <c r="F99" s="70">
        <f t="shared" si="143"/>
        <v>0</v>
      </c>
      <c r="G99" s="70">
        <f t="shared" si="143"/>
        <v>0</v>
      </c>
      <c r="H99" s="70">
        <f t="shared" si="143"/>
        <v>0</v>
      </c>
      <c r="I99" s="70">
        <f t="shared" si="143"/>
        <v>0</v>
      </c>
      <c r="J99" s="70">
        <f t="shared" si="143"/>
        <v>0</v>
      </c>
      <c r="K99" s="70">
        <f t="shared" si="143"/>
        <v>0</v>
      </c>
      <c r="L99" s="70">
        <f t="shared" si="143"/>
        <v>0</v>
      </c>
      <c r="M99" s="70">
        <f t="shared" si="143"/>
        <v>0</v>
      </c>
      <c r="N99" s="70">
        <f t="shared" si="143"/>
        <v>0</v>
      </c>
      <c r="O99" s="70">
        <f t="shared" si="143"/>
        <v>0</v>
      </c>
      <c r="P99" s="70">
        <f t="shared" si="143"/>
        <v>0</v>
      </c>
      <c r="Q99" s="32"/>
      <c r="R99" s="32"/>
      <c r="S99" s="32"/>
    </row>
    <row r="100" spans="1:19" x14ac:dyDescent="0.2">
      <c r="A100" s="29" t="s">
        <v>376</v>
      </c>
      <c r="B100" s="3" t="s">
        <v>377</v>
      </c>
      <c r="C100" s="107">
        <f>+'[4]4.1.РчПО_ТЭ'!$C$34</f>
        <v>136.66149389899999</v>
      </c>
      <c r="D100" s="107">
        <f>+'[4]4.1.РчПО_ТЭ'!$K$34</f>
        <v>57.222790078716969</v>
      </c>
      <c r="E100" s="107">
        <f>+'[4]4.1.РчПО_ТЭ'!$S$34</f>
        <v>54.9359368</v>
      </c>
      <c r="F100" s="90">
        <f t="shared" ref="F100:H100" si="144">+E100</f>
        <v>54.9359368</v>
      </c>
      <c r="G100" s="90">
        <f t="shared" si="144"/>
        <v>54.9359368</v>
      </c>
      <c r="H100" s="90">
        <f t="shared" si="144"/>
        <v>54.9359368</v>
      </c>
      <c r="I100" s="90">
        <f t="shared" ref="I100" si="145">+H100</f>
        <v>54.9359368</v>
      </c>
      <c r="J100" s="90">
        <f t="shared" ref="J100" si="146">+I100</f>
        <v>54.9359368</v>
      </c>
      <c r="K100" s="90">
        <f t="shared" ref="K100" si="147">+J100</f>
        <v>54.9359368</v>
      </c>
      <c r="L100" s="90">
        <f t="shared" ref="L100" si="148">+K100</f>
        <v>54.9359368</v>
      </c>
      <c r="M100" s="90">
        <f t="shared" ref="M100" si="149">+L100</f>
        <v>54.9359368</v>
      </c>
      <c r="N100" s="90">
        <f t="shared" ref="N100" si="150">+M100</f>
        <v>54.9359368</v>
      </c>
      <c r="O100" s="90">
        <f t="shared" ref="O100" si="151">+N100</f>
        <v>54.9359368</v>
      </c>
      <c r="P100" s="90">
        <f t="shared" ref="P100" si="152">+O100</f>
        <v>54.9359368</v>
      </c>
    </row>
    <row r="101" spans="1:19" s="114" customFormat="1" x14ac:dyDescent="0.2">
      <c r="A101" s="113">
        <v>9</v>
      </c>
      <c r="B101" s="72" t="s">
        <v>77</v>
      </c>
      <c r="C101" s="78">
        <f t="shared" ref="C101:P101" si="153">+C64+C100-C98</f>
        <v>706.76548389899972</v>
      </c>
      <c r="D101" s="78">
        <f t="shared" si="153"/>
        <v>939.84904391205055</v>
      </c>
      <c r="E101" s="78">
        <f t="shared" si="153"/>
        <v>898.04745862306629</v>
      </c>
      <c r="F101" s="78">
        <f t="shared" si="153"/>
        <v>879.15693585687347</v>
      </c>
      <c r="G101" s="78">
        <f t="shared" si="153"/>
        <v>865.98185228194654</v>
      </c>
      <c r="H101" s="78">
        <f t="shared" si="153"/>
        <v>846.89554947103113</v>
      </c>
      <c r="I101" s="78">
        <f t="shared" si="153"/>
        <v>829.64150703061989</v>
      </c>
      <c r="J101" s="78">
        <f t="shared" si="153"/>
        <v>813.33250157716213</v>
      </c>
      <c r="K101" s="78">
        <f t="shared" si="153"/>
        <v>816.39801879532627</v>
      </c>
      <c r="L101" s="78">
        <f t="shared" si="153"/>
        <v>820.6197107176157</v>
      </c>
      <c r="M101" s="78">
        <f t="shared" si="153"/>
        <v>824.67715973801353</v>
      </c>
      <c r="N101" s="78">
        <f t="shared" si="153"/>
        <v>828.70912650630328</v>
      </c>
      <c r="O101" s="78">
        <f t="shared" si="153"/>
        <v>832.71632887384033</v>
      </c>
      <c r="P101" s="78">
        <f t="shared" si="153"/>
        <v>836.69945708667649</v>
      </c>
      <c r="Q101" s="74"/>
      <c r="R101" s="74"/>
      <c r="S101" s="74"/>
    </row>
    <row r="102" spans="1:19" s="32" customFormat="1" x14ac:dyDescent="0.2">
      <c r="A102" s="30"/>
      <c r="B102" s="31" t="s">
        <v>21</v>
      </c>
      <c r="C102" s="116">
        <f>+('[19]6 мес.'!$E$61+'[19]6 мес.'!$E$64)/1000</f>
        <v>272.92413626099983</v>
      </c>
      <c r="D102" s="118">
        <f>+C102*D101/C101</f>
        <v>362.93154429437175</v>
      </c>
      <c r="E102" s="118">
        <f>+D102*E101/D101</f>
        <v>346.78946913756215</v>
      </c>
      <c r="F102" s="118">
        <f t="shared" ref="F102:P102" si="154">+E102*F101/E101</f>
        <v>339.49471617220837</v>
      </c>
      <c r="G102" s="118">
        <f t="shared" si="154"/>
        <v>334.40703378424496</v>
      </c>
      <c r="H102" s="118">
        <f t="shared" si="154"/>
        <v>327.03667851399609</v>
      </c>
      <c r="I102" s="118">
        <f t="shared" si="154"/>
        <v>320.37386781180737</v>
      </c>
      <c r="J102" s="118">
        <f t="shared" si="154"/>
        <v>314.07599202689289</v>
      </c>
      <c r="K102" s="118">
        <f t="shared" si="154"/>
        <v>315.25977032113713</v>
      </c>
      <c r="L102" s="118">
        <f t="shared" si="154"/>
        <v>316.89001634715208</v>
      </c>
      <c r="M102" s="118">
        <f t="shared" si="154"/>
        <v>318.45683843247247</v>
      </c>
      <c r="N102" s="118">
        <f t="shared" si="154"/>
        <v>320.01382030656998</v>
      </c>
      <c r="O102" s="118">
        <f t="shared" si="154"/>
        <v>321.56123917449446</v>
      </c>
      <c r="P102" s="118">
        <f t="shared" si="154"/>
        <v>323.0993615812481</v>
      </c>
    </row>
    <row r="103" spans="1:19" s="32" customFormat="1" x14ac:dyDescent="0.2">
      <c r="A103" s="33"/>
      <c r="B103" s="34" t="s">
        <v>22</v>
      </c>
      <c r="C103" s="117">
        <f>+C101-C102</f>
        <v>433.84134763799989</v>
      </c>
      <c r="D103" s="117">
        <f t="shared" ref="D103:P103" si="155">+D101-D102</f>
        <v>576.9174996176788</v>
      </c>
      <c r="E103" s="117">
        <f t="shared" si="155"/>
        <v>551.25798948550414</v>
      </c>
      <c r="F103" s="117">
        <f t="shared" si="155"/>
        <v>539.66221968466516</v>
      </c>
      <c r="G103" s="117">
        <f t="shared" si="155"/>
        <v>531.57481849770159</v>
      </c>
      <c r="H103" s="117">
        <f t="shared" si="155"/>
        <v>519.85887095703504</v>
      </c>
      <c r="I103" s="117">
        <f t="shared" si="155"/>
        <v>509.26763921881252</v>
      </c>
      <c r="J103" s="117">
        <f t="shared" si="155"/>
        <v>499.25650955026924</v>
      </c>
      <c r="K103" s="117">
        <f t="shared" si="155"/>
        <v>501.13824847418914</v>
      </c>
      <c r="L103" s="117">
        <f t="shared" si="155"/>
        <v>503.72969437046362</v>
      </c>
      <c r="M103" s="117">
        <f t="shared" si="155"/>
        <v>506.22032130554106</v>
      </c>
      <c r="N103" s="117">
        <f t="shared" si="155"/>
        <v>508.6953061997333</v>
      </c>
      <c r="O103" s="117">
        <f t="shared" si="155"/>
        <v>511.15508969934587</v>
      </c>
      <c r="P103" s="117">
        <f t="shared" si="155"/>
        <v>513.60009550542838</v>
      </c>
    </row>
    <row r="104" spans="1:19" s="143" customFormat="1" x14ac:dyDescent="0.2">
      <c r="A104" s="142"/>
      <c r="B104" s="133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</row>
    <row r="105" spans="1:19" s="274" customFormat="1" x14ac:dyDescent="0.2">
      <c r="A105" s="66">
        <v>12</v>
      </c>
      <c r="B105" s="72" t="s">
        <v>183</v>
      </c>
      <c r="C105" s="272">
        <f>+C106</f>
        <v>76144.628848276683</v>
      </c>
      <c r="D105" s="272">
        <f t="shared" ref="D105:P105" si="156">+D106</f>
        <v>118905.20382665782</v>
      </c>
      <c r="E105" s="272">
        <f t="shared" si="156"/>
        <v>113616.72327548829</v>
      </c>
      <c r="F105" s="272">
        <f t="shared" si="156"/>
        <v>111074.36294170211</v>
      </c>
      <c r="G105" s="272">
        <f t="shared" si="156"/>
        <v>109299.49866343522</v>
      </c>
      <c r="H105" s="272">
        <f t="shared" si="156"/>
        <v>106733.0553304995</v>
      </c>
      <c r="I105" s="272">
        <f t="shared" si="156"/>
        <v>104366.39023940603</v>
      </c>
      <c r="J105" s="272">
        <f t="shared" si="156"/>
        <v>102175.32762003165</v>
      </c>
      <c r="K105" s="272">
        <f t="shared" si="156"/>
        <v>102590.1285710293</v>
      </c>
      <c r="L105" s="272">
        <f t="shared" si="156"/>
        <v>103165.10506443992</v>
      </c>
      <c r="M105" s="272">
        <f t="shared" si="156"/>
        <v>103716.82465293187</v>
      </c>
      <c r="N105" s="272">
        <f t="shared" si="156"/>
        <v>104265.11913065052</v>
      </c>
      <c r="O105" s="272">
        <f t="shared" si="156"/>
        <v>104810.08495769605</v>
      </c>
      <c r="P105" s="272">
        <f t="shared" si="156"/>
        <v>105351.8148848874</v>
      </c>
      <c r="Q105" s="273"/>
      <c r="R105" s="273"/>
      <c r="S105" s="273"/>
    </row>
    <row r="106" spans="1:19" s="32" customFormat="1" x14ac:dyDescent="0.2">
      <c r="A106" s="39" t="s">
        <v>49</v>
      </c>
      <c r="B106" s="3" t="s">
        <v>378</v>
      </c>
      <c r="C106" s="120">
        <f>SUM(C107:C125)</f>
        <v>76144.628848276683</v>
      </c>
      <c r="D106" s="120">
        <f t="shared" ref="D106:P106" si="157">SUM(D107:D125)</f>
        <v>118905.20382665782</v>
      </c>
      <c r="E106" s="120">
        <f t="shared" si="157"/>
        <v>113616.72327548829</v>
      </c>
      <c r="F106" s="120">
        <f t="shared" si="157"/>
        <v>111074.36294170211</v>
      </c>
      <c r="G106" s="120">
        <f t="shared" si="157"/>
        <v>109299.49866343522</v>
      </c>
      <c r="H106" s="120">
        <f t="shared" si="157"/>
        <v>106733.0553304995</v>
      </c>
      <c r="I106" s="120">
        <f t="shared" si="157"/>
        <v>104366.39023940603</v>
      </c>
      <c r="J106" s="120">
        <f t="shared" si="157"/>
        <v>102175.32762003165</v>
      </c>
      <c r="K106" s="120">
        <f t="shared" si="157"/>
        <v>102590.1285710293</v>
      </c>
      <c r="L106" s="120">
        <f t="shared" si="157"/>
        <v>103165.10506443992</v>
      </c>
      <c r="M106" s="120">
        <f t="shared" si="157"/>
        <v>103716.82465293187</v>
      </c>
      <c r="N106" s="120">
        <f t="shared" si="157"/>
        <v>104265.11913065052</v>
      </c>
      <c r="O106" s="120">
        <f t="shared" si="157"/>
        <v>104810.08495769605</v>
      </c>
      <c r="P106" s="120">
        <f t="shared" si="157"/>
        <v>105351.8148848874</v>
      </c>
    </row>
    <row r="107" spans="1:19" s="11" customFormat="1" x14ac:dyDescent="0.2">
      <c r="A107" s="2"/>
      <c r="B107" s="44" t="s">
        <v>369</v>
      </c>
      <c r="C107" s="270">
        <f>+C148*C67</f>
        <v>19040.409542499696</v>
      </c>
      <c r="D107" s="270">
        <f t="shared" ref="D107:P107" si="158">+D148*D67</f>
        <v>15999.561669557215</v>
      </c>
      <c r="E107" s="270">
        <f t="shared" si="158"/>
        <v>16400.293008299603</v>
      </c>
      <c r="F107" s="270">
        <f t="shared" si="158"/>
        <v>15912.623385211822</v>
      </c>
      <c r="G107" s="270">
        <f t="shared" si="158"/>
        <v>15523.066083580845</v>
      </c>
      <c r="H107" s="270">
        <f t="shared" si="158"/>
        <v>14950.021114268426</v>
      </c>
      <c r="I107" s="270">
        <f t="shared" si="158"/>
        <v>14377.873366617316</v>
      </c>
      <c r="J107" s="270">
        <f t="shared" si="158"/>
        <v>13878.943718318751</v>
      </c>
      <c r="K107" s="270">
        <f t="shared" si="158"/>
        <v>13878.943718318751</v>
      </c>
      <c r="L107" s="270">
        <f t="shared" si="158"/>
        <v>13878.943718318751</v>
      </c>
      <c r="M107" s="270">
        <f t="shared" si="158"/>
        <v>13878.943718318751</v>
      </c>
      <c r="N107" s="270">
        <f t="shared" si="158"/>
        <v>13878.943718318751</v>
      </c>
      <c r="O107" s="270">
        <f t="shared" si="158"/>
        <v>13878.943718318751</v>
      </c>
      <c r="P107" s="270">
        <f t="shared" si="158"/>
        <v>13878.943718318751</v>
      </c>
    </row>
    <row r="108" spans="1:19" s="11" customFormat="1" ht="22.5" x14ac:dyDescent="0.2">
      <c r="A108" s="2"/>
      <c r="B108" s="44" t="s">
        <v>370</v>
      </c>
      <c r="C108" s="270">
        <f t="shared" ref="C108:P108" si="159">+C149*C71</f>
        <v>0</v>
      </c>
      <c r="D108" s="270">
        <f t="shared" si="159"/>
        <v>0</v>
      </c>
      <c r="E108" s="270">
        <f t="shared" si="159"/>
        <v>0</v>
      </c>
      <c r="F108" s="270">
        <f t="shared" si="159"/>
        <v>0</v>
      </c>
      <c r="G108" s="270">
        <f t="shared" si="159"/>
        <v>0</v>
      </c>
      <c r="H108" s="270">
        <f t="shared" si="159"/>
        <v>0</v>
      </c>
      <c r="I108" s="270">
        <f t="shared" si="159"/>
        <v>0</v>
      </c>
      <c r="J108" s="270">
        <f t="shared" si="159"/>
        <v>0</v>
      </c>
      <c r="K108" s="270">
        <f t="shared" si="159"/>
        <v>0</v>
      </c>
      <c r="L108" s="270">
        <f t="shared" si="159"/>
        <v>0</v>
      </c>
      <c r="M108" s="270">
        <f t="shared" si="159"/>
        <v>0</v>
      </c>
      <c r="N108" s="270">
        <f t="shared" si="159"/>
        <v>0</v>
      </c>
      <c r="O108" s="270">
        <f t="shared" si="159"/>
        <v>0</v>
      </c>
      <c r="P108" s="270">
        <f t="shared" si="159"/>
        <v>0</v>
      </c>
    </row>
    <row r="109" spans="1:19" s="11" customFormat="1" x14ac:dyDescent="0.2">
      <c r="A109" s="2"/>
      <c r="B109" s="44" t="s">
        <v>371</v>
      </c>
      <c r="C109" s="270">
        <f>+C150*(C72)</f>
        <v>18209.986140071134</v>
      </c>
      <c r="D109" s="270">
        <f t="shared" ref="D109:P109" si="160">+D150*(D72)</f>
        <v>18349.008386544832</v>
      </c>
      <c r="E109" s="270">
        <f t="shared" si="160"/>
        <v>17483.269972239257</v>
      </c>
      <c r="F109" s="270">
        <f t="shared" si="160"/>
        <v>16963.397572801692</v>
      </c>
      <c r="G109" s="270">
        <f t="shared" si="160"/>
        <v>16948.676669499146</v>
      </c>
      <c r="H109" s="270">
        <f t="shared" si="160"/>
        <v>16371.866217373805</v>
      </c>
      <c r="I109" s="270">
        <f t="shared" si="160"/>
        <v>15845.768617005717</v>
      </c>
      <c r="J109" s="270">
        <f t="shared" si="160"/>
        <v>15345.962721059183</v>
      </c>
      <c r="K109" s="270">
        <f t="shared" si="160"/>
        <v>15379.628630327783</v>
      </c>
      <c r="L109" s="270">
        <f t="shared" si="160"/>
        <v>15413.159822072295</v>
      </c>
      <c r="M109" s="270">
        <f t="shared" si="160"/>
        <v>15579.551995683642</v>
      </c>
      <c r="N109" s="270">
        <f t="shared" si="160"/>
        <v>15742.666077394526</v>
      </c>
      <c r="O109" s="270">
        <f t="shared" si="160"/>
        <v>15902.597994793901</v>
      </c>
      <c r="P109" s="270">
        <f t="shared" si="160"/>
        <v>16059.439968758163</v>
      </c>
    </row>
    <row r="110" spans="1:19" s="11" customFormat="1" x14ac:dyDescent="0.2">
      <c r="A110" s="2"/>
      <c r="B110" s="44" t="s">
        <v>383</v>
      </c>
      <c r="C110" s="270">
        <f>+C151*C76</f>
        <v>9434.645161290322</v>
      </c>
      <c r="D110" s="270">
        <f t="shared" ref="D110:P110" si="161">+D151*D76</f>
        <v>10071.351958361895</v>
      </c>
      <c r="E110" s="270">
        <f t="shared" si="161"/>
        <v>9463.3373641995477</v>
      </c>
      <c r="F110" s="270">
        <f t="shared" si="161"/>
        <v>9463.3373641995477</v>
      </c>
      <c r="G110" s="270">
        <f t="shared" si="161"/>
        <v>9511.928935896336</v>
      </c>
      <c r="H110" s="270">
        <f t="shared" si="161"/>
        <v>9577.6906742704341</v>
      </c>
      <c r="I110" s="270">
        <f t="shared" si="161"/>
        <v>9643.4524126445322</v>
      </c>
      <c r="J110" s="270">
        <f t="shared" si="161"/>
        <v>9709.2141510186302</v>
      </c>
      <c r="K110" s="270">
        <f t="shared" si="161"/>
        <v>9774.9758893927283</v>
      </c>
      <c r="L110" s="270">
        <f t="shared" si="161"/>
        <v>10099.492039593892</v>
      </c>
      <c r="M110" s="270">
        <f t="shared" si="161"/>
        <v>10424.008189795057</v>
      </c>
      <c r="N110" s="270">
        <f t="shared" si="161"/>
        <v>10748.52433999622</v>
      </c>
      <c r="O110" s="270">
        <f t="shared" si="161"/>
        <v>11073.040490197385</v>
      </c>
      <c r="P110" s="270">
        <f t="shared" si="161"/>
        <v>11397.556640398549</v>
      </c>
    </row>
    <row r="111" spans="1:19" s="11" customFormat="1" x14ac:dyDescent="0.2">
      <c r="A111" s="2"/>
      <c r="B111" s="44" t="s">
        <v>372</v>
      </c>
      <c r="C111" s="270">
        <f>+C152*C79</f>
        <v>140.41383539801299</v>
      </c>
      <c r="D111" s="270">
        <f t="shared" ref="D111:P111" si="162">+D152*D79</f>
        <v>195.39827302833314</v>
      </c>
      <c r="E111" s="270">
        <f t="shared" si="162"/>
        <v>157.1106839200294</v>
      </c>
      <c r="F111" s="270">
        <f t="shared" si="162"/>
        <v>157.1106839200294</v>
      </c>
      <c r="G111" s="270">
        <f t="shared" si="162"/>
        <v>157.1106839200294</v>
      </c>
      <c r="H111" s="270">
        <f t="shared" si="162"/>
        <v>157.1106839200294</v>
      </c>
      <c r="I111" s="270">
        <f t="shared" si="162"/>
        <v>157.1106839200294</v>
      </c>
      <c r="J111" s="270">
        <f t="shared" si="162"/>
        <v>157.1106839200294</v>
      </c>
      <c r="K111" s="270">
        <f t="shared" si="162"/>
        <v>157.1106839200294</v>
      </c>
      <c r="L111" s="270">
        <f t="shared" si="162"/>
        <v>157.1106839200294</v>
      </c>
      <c r="M111" s="270">
        <f t="shared" si="162"/>
        <v>157.1106839200294</v>
      </c>
      <c r="N111" s="270">
        <f t="shared" si="162"/>
        <v>157.1106839200294</v>
      </c>
      <c r="O111" s="270">
        <f t="shared" si="162"/>
        <v>157.1106839200294</v>
      </c>
      <c r="P111" s="270">
        <f t="shared" si="162"/>
        <v>157.1106839200294</v>
      </c>
    </row>
    <row r="112" spans="1:19" s="11" customFormat="1" x14ac:dyDescent="0.2">
      <c r="A112" s="2"/>
      <c r="B112" s="496" t="s">
        <v>476</v>
      </c>
      <c r="C112" s="270">
        <f>+C153*C80</f>
        <v>21104.085612657913</v>
      </c>
      <c r="D112" s="270">
        <f t="shared" ref="D112:P112" si="163">+D153*D80</f>
        <v>51615.825196990882</v>
      </c>
      <c r="E112" s="270">
        <f t="shared" si="163"/>
        <v>51615.825196990882</v>
      </c>
      <c r="F112" s="270">
        <f t="shared" si="163"/>
        <v>50081.006885730043</v>
      </c>
      <c r="G112" s="270">
        <f t="shared" si="163"/>
        <v>48565.266333191255</v>
      </c>
      <c r="H112" s="270">
        <f t="shared" si="163"/>
        <v>46986.353775810523</v>
      </c>
      <c r="I112" s="270">
        <f t="shared" si="163"/>
        <v>45555.609386853517</v>
      </c>
      <c r="J112" s="270">
        <f t="shared" si="163"/>
        <v>44200.957665841488</v>
      </c>
      <c r="K112" s="270">
        <f t="shared" si="163"/>
        <v>44419.768061687813</v>
      </c>
      <c r="L112" s="270">
        <f t="shared" si="163"/>
        <v>44636.697213152758</v>
      </c>
      <c r="M112" s="270">
        <f t="shared" si="163"/>
        <v>44697.508477832198</v>
      </c>
      <c r="N112" s="270">
        <f t="shared" si="163"/>
        <v>44758.172723638811</v>
      </c>
      <c r="O112" s="270">
        <f t="shared" si="163"/>
        <v>44818.690483083788</v>
      </c>
      <c r="P112" s="270">
        <f t="shared" si="163"/>
        <v>44879.062286109707</v>
      </c>
    </row>
    <row r="113" spans="1:16" s="11" customFormat="1" x14ac:dyDescent="0.2">
      <c r="A113" s="2"/>
      <c r="B113" s="496" t="s">
        <v>147</v>
      </c>
      <c r="C113" s="270">
        <f t="shared" ref="C113:C119" si="164">+C154*C84</f>
        <v>1196.0186434441309</v>
      </c>
      <c r="D113" s="270">
        <f t="shared" ref="D113:P113" si="165">+D154*D84</f>
        <v>2554.5043566417266</v>
      </c>
      <c r="E113" s="270">
        <f t="shared" si="165"/>
        <v>2726.9881618095583</v>
      </c>
      <c r="F113" s="270">
        <f t="shared" si="165"/>
        <v>2726.9881618095583</v>
      </c>
      <c r="G113" s="270">
        <f t="shared" si="165"/>
        <v>2726.9881618095583</v>
      </c>
      <c r="H113" s="270">
        <f t="shared" si="165"/>
        <v>2726.9881618095583</v>
      </c>
      <c r="I113" s="270">
        <f t="shared" si="165"/>
        <v>2726.9881618095583</v>
      </c>
      <c r="J113" s="270">
        <f t="shared" si="165"/>
        <v>2726.9881618095583</v>
      </c>
      <c r="K113" s="270">
        <f t="shared" si="165"/>
        <v>2726.9881618095583</v>
      </c>
      <c r="L113" s="270">
        <f t="shared" si="165"/>
        <v>2726.9881618095583</v>
      </c>
      <c r="M113" s="270">
        <f t="shared" si="165"/>
        <v>2726.9881618095583</v>
      </c>
      <c r="N113" s="270">
        <f t="shared" si="165"/>
        <v>2726.9881618095583</v>
      </c>
      <c r="O113" s="270">
        <f t="shared" si="165"/>
        <v>2726.9881618095583</v>
      </c>
      <c r="P113" s="270">
        <f t="shared" si="165"/>
        <v>2726.9881618095583</v>
      </c>
    </row>
    <row r="114" spans="1:16" s="11" customFormat="1" x14ac:dyDescent="0.2">
      <c r="A114" s="2"/>
      <c r="B114" s="496" t="s">
        <v>148</v>
      </c>
      <c r="C114" s="270">
        <f t="shared" si="164"/>
        <v>4.4113823132589216</v>
      </c>
      <c r="D114" s="270">
        <f t="shared" ref="D114:P114" si="166">+D155*D85</f>
        <v>43.063691598184718</v>
      </c>
      <c r="E114" s="270">
        <f t="shared" si="166"/>
        <v>45.133803409787816</v>
      </c>
      <c r="F114" s="270">
        <f t="shared" si="166"/>
        <v>45.133803409787816</v>
      </c>
      <c r="G114" s="270">
        <f t="shared" si="166"/>
        <v>45.133803409787816</v>
      </c>
      <c r="H114" s="270">
        <f t="shared" si="166"/>
        <v>45.133803409787816</v>
      </c>
      <c r="I114" s="270">
        <f t="shared" si="166"/>
        <v>45.133803409787816</v>
      </c>
      <c r="J114" s="270">
        <f t="shared" si="166"/>
        <v>45.133803409787816</v>
      </c>
      <c r="K114" s="270">
        <f t="shared" si="166"/>
        <v>45.133803409787816</v>
      </c>
      <c r="L114" s="270">
        <f t="shared" si="166"/>
        <v>45.133803409787816</v>
      </c>
      <c r="M114" s="270">
        <f t="shared" si="166"/>
        <v>45.133803409787816</v>
      </c>
      <c r="N114" s="270">
        <f t="shared" si="166"/>
        <v>45.133803409787816</v>
      </c>
      <c r="O114" s="270">
        <f t="shared" si="166"/>
        <v>45.133803409787816</v>
      </c>
      <c r="P114" s="270">
        <f t="shared" si="166"/>
        <v>45.133803409787816</v>
      </c>
    </row>
    <row r="115" spans="1:16" s="11" customFormat="1" x14ac:dyDescent="0.2">
      <c r="A115" s="2"/>
      <c r="B115" s="496" t="s">
        <v>478</v>
      </c>
      <c r="C115" s="270">
        <f t="shared" si="164"/>
        <v>11.32724150619404</v>
      </c>
      <c r="D115" s="270">
        <f t="shared" ref="D115:P115" si="167">+D156*D86</f>
        <v>24.775204403287134</v>
      </c>
      <c r="E115" s="270">
        <f t="shared" si="167"/>
        <v>38.900838649781264</v>
      </c>
      <c r="F115" s="270">
        <f t="shared" si="167"/>
        <v>38.900838649781264</v>
      </c>
      <c r="G115" s="270">
        <f t="shared" si="167"/>
        <v>38.900838649781264</v>
      </c>
      <c r="H115" s="270">
        <f t="shared" si="167"/>
        <v>38.900838649781264</v>
      </c>
      <c r="I115" s="270">
        <f t="shared" si="167"/>
        <v>38.900838649781264</v>
      </c>
      <c r="J115" s="270">
        <f t="shared" si="167"/>
        <v>38.900838649781264</v>
      </c>
      <c r="K115" s="270">
        <f t="shared" si="167"/>
        <v>38.900838649781264</v>
      </c>
      <c r="L115" s="270">
        <f t="shared" si="167"/>
        <v>38.900838649781264</v>
      </c>
      <c r="M115" s="270">
        <f t="shared" si="167"/>
        <v>38.900838649781264</v>
      </c>
      <c r="N115" s="270">
        <f t="shared" si="167"/>
        <v>38.900838649781264</v>
      </c>
      <c r="O115" s="270">
        <f t="shared" si="167"/>
        <v>38.900838649781264</v>
      </c>
      <c r="P115" s="270">
        <f t="shared" si="167"/>
        <v>38.900838649781264</v>
      </c>
    </row>
    <row r="116" spans="1:16" s="11" customFormat="1" x14ac:dyDescent="0.2">
      <c r="A116" s="2"/>
      <c r="B116" s="496" t="s">
        <v>479</v>
      </c>
      <c r="C116" s="270">
        <f t="shared" si="164"/>
        <v>96.787685514534502</v>
      </c>
      <c r="D116" s="270">
        <f t="shared" ref="D116:P116" si="168">+D157*D87</f>
        <v>345.141780203606</v>
      </c>
      <c r="E116" s="270">
        <f t="shared" si="168"/>
        <v>271.81715769246489</v>
      </c>
      <c r="F116" s="270">
        <f t="shared" si="168"/>
        <v>271.81715769246489</v>
      </c>
      <c r="G116" s="270">
        <f t="shared" si="168"/>
        <v>271.81715769246489</v>
      </c>
      <c r="H116" s="270">
        <f t="shared" si="168"/>
        <v>271.81715769246489</v>
      </c>
      <c r="I116" s="270">
        <f t="shared" si="168"/>
        <v>271.81715769246489</v>
      </c>
      <c r="J116" s="270">
        <f t="shared" si="168"/>
        <v>271.81715769246489</v>
      </c>
      <c r="K116" s="270">
        <f t="shared" si="168"/>
        <v>271.81715769246489</v>
      </c>
      <c r="L116" s="270">
        <f t="shared" si="168"/>
        <v>271.81715769246489</v>
      </c>
      <c r="M116" s="270">
        <f t="shared" si="168"/>
        <v>271.81715769246489</v>
      </c>
      <c r="N116" s="270">
        <f t="shared" si="168"/>
        <v>271.81715769246489</v>
      </c>
      <c r="O116" s="270">
        <f t="shared" si="168"/>
        <v>271.81715769246489</v>
      </c>
      <c r="P116" s="270">
        <f t="shared" si="168"/>
        <v>271.81715769246489</v>
      </c>
    </row>
    <row r="117" spans="1:16" s="11" customFormat="1" x14ac:dyDescent="0.2">
      <c r="A117" s="2"/>
      <c r="B117" s="496" t="s">
        <v>480</v>
      </c>
      <c r="C117" s="270">
        <f t="shared" si="164"/>
        <v>18.565926652765853</v>
      </c>
      <c r="D117" s="270">
        <f t="shared" ref="D117:P117" si="169">+D158*D88</f>
        <v>53.375393744633868</v>
      </c>
      <c r="E117" s="270">
        <f t="shared" si="169"/>
        <v>49.192422298540414</v>
      </c>
      <c r="F117" s="270">
        <f t="shared" si="169"/>
        <v>49.192422298540414</v>
      </c>
      <c r="G117" s="270">
        <f t="shared" si="169"/>
        <v>49.192422298540414</v>
      </c>
      <c r="H117" s="270">
        <f t="shared" si="169"/>
        <v>49.192422298540414</v>
      </c>
      <c r="I117" s="270">
        <f t="shared" si="169"/>
        <v>49.192422298540414</v>
      </c>
      <c r="J117" s="270">
        <f t="shared" si="169"/>
        <v>49.192422298540414</v>
      </c>
      <c r="K117" s="270">
        <f t="shared" si="169"/>
        <v>49.192422298540414</v>
      </c>
      <c r="L117" s="270">
        <f t="shared" si="169"/>
        <v>49.192422298540414</v>
      </c>
      <c r="M117" s="270">
        <f t="shared" si="169"/>
        <v>49.192422298540414</v>
      </c>
      <c r="N117" s="270">
        <f t="shared" si="169"/>
        <v>49.192422298540414</v>
      </c>
      <c r="O117" s="270">
        <f t="shared" si="169"/>
        <v>49.192422298540414</v>
      </c>
      <c r="P117" s="270">
        <f t="shared" si="169"/>
        <v>49.192422298540414</v>
      </c>
    </row>
    <row r="118" spans="1:16" s="11" customFormat="1" x14ac:dyDescent="0.2">
      <c r="A118" s="2"/>
      <c r="B118" s="496" t="s">
        <v>149</v>
      </c>
      <c r="C118" s="270">
        <f t="shared" si="164"/>
        <v>93.57831473077394</v>
      </c>
      <c r="D118" s="270">
        <f t="shared" ref="D118:P118" si="170">+D159*D89</f>
        <v>266.21760941984547</v>
      </c>
      <c r="E118" s="270">
        <f t="shared" si="170"/>
        <v>198.63943781838995</v>
      </c>
      <c r="F118" s="270">
        <f t="shared" si="170"/>
        <v>198.63943781838995</v>
      </c>
      <c r="G118" s="270">
        <f t="shared" si="170"/>
        <v>198.63943781838995</v>
      </c>
      <c r="H118" s="270">
        <f t="shared" si="170"/>
        <v>198.63943781838995</v>
      </c>
      <c r="I118" s="270">
        <f t="shared" si="170"/>
        <v>198.63943781838995</v>
      </c>
      <c r="J118" s="270">
        <f t="shared" si="170"/>
        <v>198.63943781838995</v>
      </c>
      <c r="K118" s="270">
        <f t="shared" si="170"/>
        <v>198.63943781838995</v>
      </c>
      <c r="L118" s="270">
        <f t="shared" si="170"/>
        <v>198.63943781838995</v>
      </c>
      <c r="M118" s="270">
        <f t="shared" si="170"/>
        <v>198.63943781838995</v>
      </c>
      <c r="N118" s="270">
        <f t="shared" si="170"/>
        <v>198.63943781838995</v>
      </c>
      <c r="O118" s="270">
        <f t="shared" si="170"/>
        <v>198.63943781838995</v>
      </c>
      <c r="P118" s="270">
        <f t="shared" si="170"/>
        <v>198.63943781838995</v>
      </c>
    </row>
    <row r="119" spans="1:16" s="11" customFormat="1" x14ac:dyDescent="0.2">
      <c r="A119" s="2"/>
      <c r="B119" s="496" t="s">
        <v>481</v>
      </c>
      <c r="C119" s="270">
        <f t="shared" si="164"/>
        <v>481.25193180424378</v>
      </c>
      <c r="D119" s="270">
        <f t="shared" ref="D119:P119" si="171">+D160*D90</f>
        <v>1189.5352315098735</v>
      </c>
      <c r="E119" s="270">
        <f t="shared" si="171"/>
        <v>1093.9386919129972</v>
      </c>
      <c r="F119" s="270">
        <f t="shared" si="171"/>
        <v>1093.9386919129972</v>
      </c>
      <c r="G119" s="270">
        <f t="shared" si="171"/>
        <v>1190.5015994216417</v>
      </c>
      <c r="H119" s="270">
        <f t="shared" si="171"/>
        <v>1287.0645069302857</v>
      </c>
      <c r="I119" s="270">
        <f t="shared" si="171"/>
        <v>1383.6274144389299</v>
      </c>
      <c r="J119" s="270">
        <f t="shared" si="171"/>
        <v>1480.1903219475744</v>
      </c>
      <c r="K119" s="270">
        <f t="shared" si="171"/>
        <v>1576.7532294562186</v>
      </c>
      <c r="L119" s="270">
        <f t="shared" si="171"/>
        <v>1576.7532294562186</v>
      </c>
      <c r="M119" s="270">
        <f t="shared" si="171"/>
        <v>1576.7532294562186</v>
      </c>
      <c r="N119" s="270">
        <f t="shared" si="171"/>
        <v>1576.7532294562186</v>
      </c>
      <c r="O119" s="270">
        <f t="shared" si="171"/>
        <v>1576.7532294562186</v>
      </c>
      <c r="P119" s="270">
        <f t="shared" si="171"/>
        <v>1576.7532294562186</v>
      </c>
    </row>
    <row r="120" spans="1:16" s="11" customFormat="1" x14ac:dyDescent="0.2">
      <c r="A120" s="2"/>
      <c r="B120" s="496" t="s">
        <v>483</v>
      </c>
      <c r="C120" s="270">
        <f>+C161*C93</f>
        <v>238.14252422421194</v>
      </c>
      <c r="D120" s="270">
        <f t="shared" ref="D120:P120" si="172">+D161*D93</f>
        <v>792.76461474303926</v>
      </c>
      <c r="E120" s="270">
        <f t="shared" si="172"/>
        <v>786.04861228986169</v>
      </c>
      <c r="F120" s="270">
        <f t="shared" si="172"/>
        <v>786.04861228986169</v>
      </c>
      <c r="G120" s="270">
        <f t="shared" si="172"/>
        <v>786.04861228986169</v>
      </c>
      <c r="H120" s="270">
        <f t="shared" si="172"/>
        <v>786.04861228986169</v>
      </c>
      <c r="I120" s="270">
        <f t="shared" si="172"/>
        <v>786.04861228986169</v>
      </c>
      <c r="J120" s="270">
        <f t="shared" si="172"/>
        <v>786.04861228986169</v>
      </c>
      <c r="K120" s="270">
        <f t="shared" si="172"/>
        <v>786.04861228986169</v>
      </c>
      <c r="L120" s="270">
        <f t="shared" si="172"/>
        <v>786.04861228986169</v>
      </c>
      <c r="M120" s="270">
        <f t="shared" si="172"/>
        <v>786.04861228986169</v>
      </c>
      <c r="N120" s="270">
        <f t="shared" si="172"/>
        <v>786.04861228986169</v>
      </c>
      <c r="O120" s="270">
        <f t="shared" si="172"/>
        <v>786.04861228986169</v>
      </c>
      <c r="P120" s="270">
        <f t="shared" si="172"/>
        <v>786.04861228986169</v>
      </c>
    </row>
    <row r="121" spans="1:16" s="11" customFormat="1" x14ac:dyDescent="0.2">
      <c r="A121" s="2"/>
      <c r="B121" s="496" t="s">
        <v>484</v>
      </c>
      <c r="C121" s="270">
        <f>+C162*C94</f>
        <v>1967.3606034588495</v>
      </c>
      <c r="D121" s="270">
        <f t="shared" ref="D121:P121" si="173">+D162*D94</f>
        <v>5429.5296937323674</v>
      </c>
      <c r="E121" s="270">
        <f t="shared" si="173"/>
        <v>4502.9795664581534</v>
      </c>
      <c r="F121" s="270">
        <f t="shared" si="173"/>
        <v>4502.9795664581534</v>
      </c>
      <c r="G121" s="270">
        <f t="shared" si="173"/>
        <v>4502.9795664581534</v>
      </c>
      <c r="H121" s="270">
        <f t="shared" si="173"/>
        <v>4502.9795664581534</v>
      </c>
      <c r="I121" s="270">
        <f t="shared" si="173"/>
        <v>4502.9795664581534</v>
      </c>
      <c r="J121" s="270">
        <f t="shared" si="173"/>
        <v>4502.9795664581534</v>
      </c>
      <c r="K121" s="270">
        <f t="shared" si="173"/>
        <v>4502.9795664581534</v>
      </c>
      <c r="L121" s="270">
        <f t="shared" si="173"/>
        <v>4502.9795664581534</v>
      </c>
      <c r="M121" s="270">
        <f t="shared" si="173"/>
        <v>4502.9795664581534</v>
      </c>
      <c r="N121" s="270">
        <f t="shared" si="173"/>
        <v>4502.9795664581534</v>
      </c>
      <c r="O121" s="270">
        <f t="shared" si="173"/>
        <v>4502.9795664581534</v>
      </c>
      <c r="P121" s="270">
        <f t="shared" si="173"/>
        <v>4502.9795664581534</v>
      </c>
    </row>
    <row r="122" spans="1:16" s="11" customFormat="1" x14ac:dyDescent="0.2">
      <c r="A122" s="2"/>
      <c r="B122" s="496" t="s">
        <v>485</v>
      </c>
      <c r="C122" s="270">
        <f>+C163*C95</f>
        <v>3355.3962958420216</v>
      </c>
      <c r="D122" s="270">
        <f t="shared" ref="D122:P122" si="174">+D163*D95</f>
        <v>9632.7565968416511</v>
      </c>
      <c r="E122" s="270">
        <f t="shared" si="174"/>
        <v>7056.1784390495532</v>
      </c>
      <c r="F122" s="270">
        <f t="shared" si="174"/>
        <v>7056.1784390495532</v>
      </c>
      <c r="G122" s="270">
        <f t="shared" si="174"/>
        <v>7056.1784390495532</v>
      </c>
      <c r="H122" s="270">
        <f t="shared" si="174"/>
        <v>7056.1784390495532</v>
      </c>
      <c r="I122" s="270">
        <f t="shared" si="174"/>
        <v>7056.1784390495532</v>
      </c>
      <c r="J122" s="270">
        <f t="shared" si="174"/>
        <v>7056.1784390495532</v>
      </c>
      <c r="K122" s="270">
        <f t="shared" si="174"/>
        <v>7056.1784390495532</v>
      </c>
      <c r="L122" s="270">
        <f t="shared" si="174"/>
        <v>7056.1784390495532</v>
      </c>
      <c r="M122" s="270">
        <f t="shared" si="174"/>
        <v>7056.1784390495532</v>
      </c>
      <c r="N122" s="270">
        <f t="shared" si="174"/>
        <v>7056.1784390495532</v>
      </c>
      <c r="O122" s="270">
        <f t="shared" si="174"/>
        <v>7056.1784390495532</v>
      </c>
      <c r="P122" s="270">
        <f t="shared" si="174"/>
        <v>7056.1784390495532</v>
      </c>
    </row>
    <row r="123" spans="1:16" s="11" customFormat="1" x14ac:dyDescent="0.2">
      <c r="A123" s="2"/>
      <c r="B123" s="496" t="s">
        <v>150</v>
      </c>
      <c r="C123" s="270">
        <f>+C164*C96</f>
        <v>719.23304305163731</v>
      </c>
      <c r="D123" s="270">
        <f t="shared" ref="D123:P123" si="175">+D164*D96</f>
        <v>2219.7675987243961</v>
      </c>
      <c r="E123" s="270">
        <f t="shared" si="175"/>
        <v>1635.7696369557216</v>
      </c>
      <c r="F123" s="270">
        <f t="shared" si="175"/>
        <v>1635.7696369557216</v>
      </c>
      <c r="G123" s="270">
        <f t="shared" si="175"/>
        <v>1635.7696369557216</v>
      </c>
      <c r="H123" s="270">
        <f t="shared" si="175"/>
        <v>1635.7696369557216</v>
      </c>
      <c r="I123" s="270">
        <f t="shared" si="175"/>
        <v>1635.7696369557216</v>
      </c>
      <c r="J123" s="270">
        <f t="shared" si="175"/>
        <v>1635.7696369557216</v>
      </c>
      <c r="K123" s="270">
        <f t="shared" si="175"/>
        <v>1635.7696369557216</v>
      </c>
      <c r="L123" s="270">
        <f t="shared" si="175"/>
        <v>1635.7696369557216</v>
      </c>
      <c r="M123" s="270">
        <f t="shared" si="175"/>
        <v>1635.7696369557216</v>
      </c>
      <c r="N123" s="270">
        <f t="shared" si="175"/>
        <v>1635.7696369557216</v>
      </c>
      <c r="O123" s="270">
        <f t="shared" si="175"/>
        <v>1635.7696369557216</v>
      </c>
      <c r="P123" s="270">
        <f t="shared" si="175"/>
        <v>1635.7696369557216</v>
      </c>
    </row>
    <row r="124" spans="1:16" s="11" customFormat="1" x14ac:dyDescent="0.2">
      <c r="A124" s="2"/>
      <c r="B124" s="496" t="s">
        <v>486</v>
      </c>
      <c r="C124" s="270">
        <f>+C165*C97</f>
        <v>33.014963816999874</v>
      </c>
      <c r="D124" s="270">
        <f t="shared" ref="D124:P124" si="176">+D165*D97</f>
        <v>122.62657061204463</v>
      </c>
      <c r="E124" s="270">
        <f t="shared" si="176"/>
        <v>91.300281494173973</v>
      </c>
      <c r="F124" s="270">
        <f t="shared" si="176"/>
        <v>91.300281494173973</v>
      </c>
      <c r="G124" s="270">
        <f t="shared" si="176"/>
        <v>91.300281494173973</v>
      </c>
      <c r="H124" s="270">
        <f t="shared" si="176"/>
        <v>91.300281494173973</v>
      </c>
      <c r="I124" s="270">
        <f t="shared" si="176"/>
        <v>91.300281494173973</v>
      </c>
      <c r="J124" s="270">
        <f t="shared" si="176"/>
        <v>91.300281494173973</v>
      </c>
      <c r="K124" s="270">
        <f t="shared" si="176"/>
        <v>91.300281494173973</v>
      </c>
      <c r="L124" s="270">
        <f t="shared" si="176"/>
        <v>91.300281494173973</v>
      </c>
      <c r="M124" s="270">
        <f t="shared" si="176"/>
        <v>91.300281494173973</v>
      </c>
      <c r="N124" s="270">
        <f t="shared" si="176"/>
        <v>91.300281494173973</v>
      </c>
      <c r="O124" s="270">
        <f t="shared" si="176"/>
        <v>91.300281494173973</v>
      </c>
      <c r="P124" s="270">
        <f t="shared" si="176"/>
        <v>91.300281494173973</v>
      </c>
    </row>
    <row r="125" spans="1:16" s="96" customFormat="1" x14ac:dyDescent="0.2">
      <c r="A125" s="64"/>
      <c r="B125" s="502"/>
      <c r="C125" s="292"/>
      <c r="D125" s="292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</row>
    <row r="126" spans="1:16" s="81" customFormat="1" ht="21" x14ac:dyDescent="0.2">
      <c r="A126" s="275"/>
      <c r="B126" s="276" t="s">
        <v>379</v>
      </c>
      <c r="C126" s="277">
        <f t="shared" ref="C126:P126" si="177">+C147*C167</f>
        <v>155.56238608328283</v>
      </c>
      <c r="D126" s="277">
        <f t="shared" si="177"/>
        <v>156.90739873326783</v>
      </c>
      <c r="E126" s="277">
        <f t="shared" si="177"/>
        <v>156.95553585706867</v>
      </c>
      <c r="F126" s="277">
        <f t="shared" si="177"/>
        <v>156.96020538526346</v>
      </c>
      <c r="G126" s="277">
        <f t="shared" si="177"/>
        <v>156.96113510301771</v>
      </c>
      <c r="H126" s="277">
        <f t="shared" si="177"/>
        <v>156.969512475637</v>
      </c>
      <c r="I126" s="277">
        <f t="shared" si="177"/>
        <v>156.90738563307639</v>
      </c>
      <c r="J126" s="277">
        <f t="shared" si="177"/>
        <v>156.91667031951189</v>
      </c>
      <c r="K126" s="277">
        <f t="shared" si="177"/>
        <v>156.91942008042963</v>
      </c>
      <c r="L126" s="277">
        <f t="shared" si="177"/>
        <v>156.92884680183502</v>
      </c>
      <c r="M126" s="277">
        <f t="shared" si="177"/>
        <v>156.93646610364962</v>
      </c>
      <c r="N126" s="277">
        <f t="shared" si="177"/>
        <v>156.94401843938851</v>
      </c>
      <c r="O126" s="277">
        <f t="shared" si="177"/>
        <v>156.95150518215587</v>
      </c>
      <c r="P126" s="277">
        <f t="shared" si="177"/>
        <v>156.9589276529031</v>
      </c>
    </row>
    <row r="127" spans="1:16" s="11" customFormat="1" x14ac:dyDescent="0.2">
      <c r="A127" s="2"/>
      <c r="B127" s="44" t="s">
        <v>369</v>
      </c>
      <c r="C127" s="90">
        <f>SUM(C128:C129)</f>
        <v>151.43456226343812</v>
      </c>
      <c r="D127" s="90">
        <f>SUM(D128:D129)</f>
        <v>154.1</v>
      </c>
      <c r="E127" s="90">
        <f t="shared" ref="E127:P127" si="178">SUM(E128:E129)</f>
        <v>154.1</v>
      </c>
      <c r="F127" s="90">
        <f t="shared" si="178"/>
        <v>154.1</v>
      </c>
      <c r="G127" s="90">
        <f t="shared" si="178"/>
        <v>154.1</v>
      </c>
      <c r="H127" s="90">
        <f t="shared" si="178"/>
        <v>154.1</v>
      </c>
      <c r="I127" s="90">
        <f t="shared" si="178"/>
        <v>153.6</v>
      </c>
      <c r="J127" s="90">
        <f t="shared" si="178"/>
        <v>153.6</v>
      </c>
      <c r="K127" s="90">
        <f t="shared" si="178"/>
        <v>153.6</v>
      </c>
      <c r="L127" s="90">
        <f t="shared" si="178"/>
        <v>153.6</v>
      </c>
      <c r="M127" s="90">
        <f t="shared" si="178"/>
        <v>153.6</v>
      </c>
      <c r="N127" s="90">
        <f t="shared" si="178"/>
        <v>153.6</v>
      </c>
      <c r="O127" s="90">
        <f t="shared" si="178"/>
        <v>153.6</v>
      </c>
      <c r="P127" s="90">
        <f t="shared" si="178"/>
        <v>153.6</v>
      </c>
    </row>
    <row r="128" spans="1:16" s="247" customFormat="1" x14ac:dyDescent="0.2">
      <c r="A128" s="244"/>
      <c r="B128" s="248" t="s">
        <v>504</v>
      </c>
      <c r="C128" s="107">
        <f>+'[4]4.4.Р_т'!$H$25</f>
        <v>151.43456226343812</v>
      </c>
      <c r="D128" s="107">
        <f>+'[4]4.4.Р_т'!$R$25</f>
        <v>154.1</v>
      </c>
      <c r="E128" s="270">
        <f>+D128</f>
        <v>154.1</v>
      </c>
      <c r="F128" s="270">
        <f t="shared" ref="F128:P129" si="179">+E128</f>
        <v>154.1</v>
      </c>
      <c r="G128" s="270">
        <f t="shared" si="179"/>
        <v>154.1</v>
      </c>
      <c r="H128" s="270">
        <f>+G128</f>
        <v>154.1</v>
      </c>
      <c r="I128" s="270">
        <f t="shared" si="179"/>
        <v>154.1</v>
      </c>
      <c r="J128" s="270">
        <f t="shared" si="179"/>
        <v>154.1</v>
      </c>
      <c r="K128" s="270">
        <f t="shared" si="179"/>
        <v>154.1</v>
      </c>
      <c r="L128" s="270">
        <f t="shared" si="179"/>
        <v>154.1</v>
      </c>
      <c r="M128" s="270">
        <f t="shared" si="179"/>
        <v>154.1</v>
      </c>
      <c r="N128" s="270">
        <f t="shared" si="179"/>
        <v>154.1</v>
      </c>
      <c r="O128" s="270">
        <f t="shared" si="179"/>
        <v>154.1</v>
      </c>
      <c r="P128" s="270">
        <f t="shared" si="179"/>
        <v>154.1</v>
      </c>
    </row>
    <row r="129" spans="1:16" s="247" customFormat="1" ht="33.75" x14ac:dyDescent="0.2">
      <c r="A129" s="244"/>
      <c r="B129" s="248" t="s">
        <v>506</v>
      </c>
      <c r="C129" s="508"/>
      <c r="D129" s="508"/>
      <c r="E129" s="524"/>
      <c r="F129" s="525"/>
      <c r="G129" s="525"/>
      <c r="H129" s="525"/>
      <c r="I129" s="526">
        <v>-0.5</v>
      </c>
      <c r="J129" s="527">
        <f>+I129</f>
        <v>-0.5</v>
      </c>
      <c r="K129" s="527">
        <f t="shared" si="179"/>
        <v>-0.5</v>
      </c>
      <c r="L129" s="527">
        <f t="shared" si="179"/>
        <v>-0.5</v>
      </c>
      <c r="M129" s="527">
        <f t="shared" si="179"/>
        <v>-0.5</v>
      </c>
      <c r="N129" s="527">
        <f t="shared" si="179"/>
        <v>-0.5</v>
      </c>
      <c r="O129" s="527">
        <f t="shared" si="179"/>
        <v>-0.5</v>
      </c>
      <c r="P129" s="527">
        <f t="shared" si="179"/>
        <v>-0.5</v>
      </c>
    </row>
    <row r="130" spans="1:16" s="11" customFormat="1" ht="22.5" x14ac:dyDescent="0.2">
      <c r="A130" s="2"/>
      <c r="B130" s="44" t="s">
        <v>370</v>
      </c>
      <c r="C130" s="208"/>
      <c r="D130" s="208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</row>
    <row r="131" spans="1:16" s="11" customFormat="1" x14ac:dyDescent="0.2">
      <c r="A131" s="2"/>
      <c r="B131" s="44" t="s">
        <v>371</v>
      </c>
      <c r="C131" s="107">
        <f>+'[4]4.4.Р_т'!$J$25</f>
        <v>155.94856809124346</v>
      </c>
      <c r="D131" s="107">
        <f>+'[4]4.4.Р_т'!$T$25</f>
        <v>156.5</v>
      </c>
      <c r="E131" s="90">
        <f t="shared" ref="E131:P133" si="180">+D131</f>
        <v>156.5</v>
      </c>
      <c r="F131" s="90">
        <f t="shared" si="180"/>
        <v>156.5</v>
      </c>
      <c r="G131" s="90">
        <f t="shared" si="180"/>
        <v>156.5</v>
      </c>
      <c r="H131" s="90">
        <f t="shared" si="180"/>
        <v>156.5</v>
      </c>
      <c r="I131" s="90">
        <f t="shared" si="180"/>
        <v>156.5</v>
      </c>
      <c r="J131" s="90">
        <f t="shared" si="180"/>
        <v>156.5</v>
      </c>
      <c r="K131" s="90">
        <f t="shared" si="180"/>
        <v>156.5</v>
      </c>
      <c r="L131" s="90">
        <f t="shared" si="180"/>
        <v>156.5</v>
      </c>
      <c r="M131" s="90">
        <f t="shared" si="180"/>
        <v>156.5</v>
      </c>
      <c r="N131" s="90">
        <f t="shared" si="180"/>
        <v>156.5</v>
      </c>
      <c r="O131" s="90">
        <f t="shared" si="180"/>
        <v>156.5</v>
      </c>
      <c r="P131" s="90">
        <f t="shared" si="180"/>
        <v>156.5</v>
      </c>
    </row>
    <row r="132" spans="1:16" s="11" customFormat="1" x14ac:dyDescent="0.2">
      <c r="A132" s="2"/>
      <c r="B132" s="44" t="s">
        <v>383</v>
      </c>
      <c r="C132" s="107">
        <f>+'[4]4.4.Р_т'!$L$25</f>
        <v>159.48143634952342</v>
      </c>
      <c r="D132" s="107">
        <f>+'[4]4.4.Р_т'!$V$25</f>
        <v>159.48143634952342</v>
      </c>
      <c r="E132" s="90">
        <f t="shared" si="180"/>
        <v>159.48143634952342</v>
      </c>
      <c r="F132" s="90">
        <f t="shared" si="180"/>
        <v>159.48143634952342</v>
      </c>
      <c r="G132" s="90">
        <f t="shared" si="180"/>
        <v>159.48143634952342</v>
      </c>
      <c r="H132" s="90">
        <f t="shared" si="180"/>
        <v>159.48143634952342</v>
      </c>
      <c r="I132" s="90">
        <f t="shared" si="180"/>
        <v>159.48143634952342</v>
      </c>
      <c r="J132" s="90">
        <f t="shared" si="180"/>
        <v>159.48143634952342</v>
      </c>
      <c r="K132" s="90">
        <f t="shared" si="180"/>
        <v>159.48143634952342</v>
      </c>
      <c r="L132" s="90">
        <f t="shared" si="180"/>
        <v>159.48143634952342</v>
      </c>
      <c r="M132" s="90">
        <f t="shared" si="180"/>
        <v>159.48143634952342</v>
      </c>
      <c r="N132" s="90">
        <f t="shared" si="180"/>
        <v>159.48143634952342</v>
      </c>
      <c r="O132" s="90">
        <f t="shared" si="180"/>
        <v>159.48143634952342</v>
      </c>
      <c r="P132" s="90">
        <f t="shared" si="180"/>
        <v>159.48143634952342</v>
      </c>
    </row>
    <row r="133" spans="1:16" s="11" customFormat="1" x14ac:dyDescent="0.2">
      <c r="A133" s="2"/>
      <c r="B133" s="44" t="s">
        <v>372</v>
      </c>
      <c r="C133" s="107">
        <f>+'[4]+Лок.к.'!$E$11</f>
        <v>155.36409987488562</v>
      </c>
      <c r="D133" s="107">
        <f>+'[4]+Лок.к.'!$S$11</f>
        <v>161</v>
      </c>
      <c r="E133" s="90">
        <f t="shared" si="180"/>
        <v>161</v>
      </c>
      <c r="F133" s="90">
        <f t="shared" si="180"/>
        <v>161</v>
      </c>
      <c r="G133" s="90">
        <f t="shared" si="180"/>
        <v>161</v>
      </c>
      <c r="H133" s="90">
        <f t="shared" si="180"/>
        <v>161</v>
      </c>
      <c r="I133" s="90">
        <f t="shared" si="180"/>
        <v>161</v>
      </c>
      <c r="J133" s="90">
        <f t="shared" si="180"/>
        <v>161</v>
      </c>
      <c r="K133" s="90">
        <f t="shared" si="180"/>
        <v>161</v>
      </c>
      <c r="L133" s="90">
        <f t="shared" si="180"/>
        <v>161</v>
      </c>
      <c r="M133" s="90">
        <f t="shared" si="180"/>
        <v>161</v>
      </c>
      <c r="N133" s="90">
        <f t="shared" si="180"/>
        <v>161</v>
      </c>
      <c r="O133" s="90">
        <f t="shared" si="180"/>
        <v>161</v>
      </c>
      <c r="P133" s="90">
        <f t="shared" si="180"/>
        <v>161</v>
      </c>
    </row>
    <row r="134" spans="1:16" s="11" customFormat="1" x14ac:dyDescent="0.2">
      <c r="A134" s="2"/>
      <c r="B134" s="496" t="s">
        <v>476</v>
      </c>
      <c r="C134" s="107">
        <f>+'[4]4.4.Р_т'!$K$25</f>
        <v>156.93713724708033</v>
      </c>
      <c r="D134" s="107">
        <f>+'[4]4.4.Р_т'!$U$25</f>
        <v>157.69999999999999</v>
      </c>
      <c r="E134" s="90">
        <f t="shared" ref="E134:P146" si="181">+D134</f>
        <v>157.69999999999999</v>
      </c>
      <c r="F134" s="90">
        <f t="shared" si="181"/>
        <v>157.69999999999999</v>
      </c>
      <c r="G134" s="90">
        <f t="shared" si="181"/>
        <v>157.69999999999999</v>
      </c>
      <c r="H134" s="90">
        <f t="shared" si="181"/>
        <v>157.69999999999999</v>
      </c>
      <c r="I134" s="90">
        <f t="shared" si="181"/>
        <v>157.69999999999999</v>
      </c>
      <c r="J134" s="90">
        <f t="shared" si="181"/>
        <v>157.69999999999999</v>
      </c>
      <c r="K134" s="90">
        <f t="shared" si="181"/>
        <v>157.69999999999999</v>
      </c>
      <c r="L134" s="90">
        <f t="shared" si="181"/>
        <v>157.69999999999999</v>
      </c>
      <c r="M134" s="90">
        <f t="shared" si="181"/>
        <v>157.69999999999999</v>
      </c>
      <c r="N134" s="90">
        <f t="shared" si="181"/>
        <v>157.69999999999999</v>
      </c>
      <c r="O134" s="90">
        <f t="shared" si="181"/>
        <v>157.69999999999999</v>
      </c>
      <c r="P134" s="90">
        <f t="shared" si="181"/>
        <v>157.69999999999999</v>
      </c>
    </row>
    <row r="135" spans="1:16" s="11" customFormat="1" x14ac:dyDescent="0.2">
      <c r="A135" s="2"/>
      <c r="B135" s="496" t="s">
        <v>147</v>
      </c>
      <c r="C135" s="107">
        <f>+'[4]+Лок.к.'!$F$11</f>
        <v>158.44531548306986</v>
      </c>
      <c r="D135" s="107">
        <f>+'[4]+Лок.к.'!$T$11</f>
        <v>156.1</v>
      </c>
      <c r="E135" s="90">
        <f t="shared" si="181"/>
        <v>156.1</v>
      </c>
      <c r="F135" s="90">
        <f t="shared" si="181"/>
        <v>156.1</v>
      </c>
      <c r="G135" s="90">
        <f t="shared" si="181"/>
        <v>156.1</v>
      </c>
      <c r="H135" s="90">
        <f t="shared" si="181"/>
        <v>156.1</v>
      </c>
      <c r="I135" s="90">
        <f t="shared" si="181"/>
        <v>156.1</v>
      </c>
      <c r="J135" s="90">
        <f t="shared" si="181"/>
        <v>156.1</v>
      </c>
      <c r="K135" s="90">
        <f t="shared" si="181"/>
        <v>156.1</v>
      </c>
      <c r="L135" s="90">
        <f t="shared" si="181"/>
        <v>156.1</v>
      </c>
      <c r="M135" s="90">
        <f t="shared" si="181"/>
        <v>156.1</v>
      </c>
      <c r="N135" s="90">
        <f t="shared" si="181"/>
        <v>156.1</v>
      </c>
      <c r="O135" s="90">
        <f t="shared" si="181"/>
        <v>156.1</v>
      </c>
      <c r="P135" s="90">
        <f t="shared" si="181"/>
        <v>156.1</v>
      </c>
    </row>
    <row r="136" spans="1:16" s="11" customFormat="1" x14ac:dyDescent="0.2">
      <c r="A136" s="2"/>
      <c r="B136" s="496" t="s">
        <v>148</v>
      </c>
      <c r="C136" s="107">
        <f>+'[4]+Лок.к.'!$G$11</f>
        <v>159.92280876494024</v>
      </c>
      <c r="D136" s="107">
        <f>+'[4]+Лок.к.'!$U$11</f>
        <v>160.80000000000001</v>
      </c>
      <c r="E136" s="90">
        <f t="shared" si="181"/>
        <v>160.80000000000001</v>
      </c>
      <c r="F136" s="90">
        <f t="shared" si="181"/>
        <v>160.80000000000001</v>
      </c>
      <c r="G136" s="90">
        <f t="shared" si="181"/>
        <v>160.80000000000001</v>
      </c>
      <c r="H136" s="90">
        <f t="shared" si="181"/>
        <v>160.80000000000001</v>
      </c>
      <c r="I136" s="90">
        <f t="shared" si="181"/>
        <v>160.80000000000001</v>
      </c>
      <c r="J136" s="90">
        <f t="shared" si="181"/>
        <v>160.80000000000001</v>
      </c>
      <c r="K136" s="90">
        <f t="shared" si="181"/>
        <v>160.80000000000001</v>
      </c>
      <c r="L136" s="90">
        <f t="shared" si="181"/>
        <v>160.80000000000001</v>
      </c>
      <c r="M136" s="90">
        <f t="shared" si="181"/>
        <v>160.80000000000001</v>
      </c>
      <c r="N136" s="90">
        <f t="shared" si="181"/>
        <v>160.80000000000001</v>
      </c>
      <c r="O136" s="90">
        <f t="shared" si="181"/>
        <v>160.80000000000001</v>
      </c>
      <c r="P136" s="90">
        <f t="shared" si="181"/>
        <v>160.80000000000001</v>
      </c>
    </row>
    <row r="137" spans="1:16" s="11" customFormat="1" x14ac:dyDescent="0.2">
      <c r="A137" s="2"/>
      <c r="B137" s="496" t="s">
        <v>478</v>
      </c>
      <c r="C137" s="107">
        <f>+'[4]+Лок.к.'!$H$11</f>
        <v>161.16540434888833</v>
      </c>
      <c r="D137" s="107">
        <f>+'[4]+Лок.к.'!$V$11</f>
        <v>158.5</v>
      </c>
      <c r="E137" s="90">
        <f t="shared" si="181"/>
        <v>158.5</v>
      </c>
      <c r="F137" s="90">
        <f t="shared" si="181"/>
        <v>158.5</v>
      </c>
      <c r="G137" s="90">
        <f t="shared" si="181"/>
        <v>158.5</v>
      </c>
      <c r="H137" s="90">
        <f t="shared" si="181"/>
        <v>158.5</v>
      </c>
      <c r="I137" s="90">
        <f t="shared" si="181"/>
        <v>158.5</v>
      </c>
      <c r="J137" s="90">
        <f t="shared" si="181"/>
        <v>158.5</v>
      </c>
      <c r="K137" s="90">
        <f t="shared" si="181"/>
        <v>158.5</v>
      </c>
      <c r="L137" s="90">
        <f t="shared" si="181"/>
        <v>158.5</v>
      </c>
      <c r="M137" s="90">
        <f t="shared" si="181"/>
        <v>158.5</v>
      </c>
      <c r="N137" s="90">
        <f t="shared" si="181"/>
        <v>158.5</v>
      </c>
      <c r="O137" s="90">
        <f t="shared" si="181"/>
        <v>158.5</v>
      </c>
      <c r="P137" s="90">
        <f t="shared" si="181"/>
        <v>158.5</v>
      </c>
    </row>
    <row r="138" spans="1:16" s="11" customFormat="1" x14ac:dyDescent="0.2">
      <c r="A138" s="2"/>
      <c r="B138" s="496" t="s">
        <v>479</v>
      </c>
      <c r="C138" s="107">
        <f>+'[4]+Лок.к.'!$I$11</f>
        <v>160.11737869400577</v>
      </c>
      <c r="D138" s="107">
        <f>+'[4]+Лок.к.'!$W$11</f>
        <v>161</v>
      </c>
      <c r="E138" s="90">
        <f t="shared" si="181"/>
        <v>161</v>
      </c>
      <c r="F138" s="90">
        <f t="shared" si="181"/>
        <v>161</v>
      </c>
      <c r="G138" s="90">
        <f t="shared" si="181"/>
        <v>161</v>
      </c>
      <c r="H138" s="90">
        <f t="shared" si="181"/>
        <v>161</v>
      </c>
      <c r="I138" s="90">
        <f t="shared" si="181"/>
        <v>161</v>
      </c>
      <c r="J138" s="90">
        <f t="shared" si="181"/>
        <v>161</v>
      </c>
      <c r="K138" s="90">
        <f t="shared" si="181"/>
        <v>161</v>
      </c>
      <c r="L138" s="90">
        <f t="shared" si="181"/>
        <v>161</v>
      </c>
      <c r="M138" s="90">
        <f t="shared" si="181"/>
        <v>161</v>
      </c>
      <c r="N138" s="90">
        <f t="shared" si="181"/>
        <v>161</v>
      </c>
      <c r="O138" s="90">
        <f t="shared" si="181"/>
        <v>161</v>
      </c>
      <c r="P138" s="90">
        <f t="shared" si="181"/>
        <v>161</v>
      </c>
    </row>
    <row r="139" spans="1:16" s="11" customFormat="1" x14ac:dyDescent="0.2">
      <c r="A139" s="2"/>
      <c r="B139" s="496" t="s">
        <v>480</v>
      </c>
      <c r="C139" s="107">
        <f>+'[4]+Лок.к.'!$J$11</f>
        <v>162.35453112095504</v>
      </c>
      <c r="D139" s="107">
        <f>+'[4]+Лок.к.'!$X$11</f>
        <v>161.4</v>
      </c>
      <c r="E139" s="90">
        <f t="shared" si="181"/>
        <v>161.4</v>
      </c>
      <c r="F139" s="90">
        <f t="shared" si="181"/>
        <v>161.4</v>
      </c>
      <c r="G139" s="90">
        <f t="shared" si="181"/>
        <v>161.4</v>
      </c>
      <c r="H139" s="90">
        <f t="shared" si="181"/>
        <v>161.4</v>
      </c>
      <c r="I139" s="90">
        <f t="shared" si="181"/>
        <v>161.4</v>
      </c>
      <c r="J139" s="90">
        <f t="shared" si="181"/>
        <v>161.4</v>
      </c>
      <c r="K139" s="90">
        <f t="shared" si="181"/>
        <v>161.4</v>
      </c>
      <c r="L139" s="90">
        <f t="shared" si="181"/>
        <v>161.4</v>
      </c>
      <c r="M139" s="90">
        <f t="shared" si="181"/>
        <v>161.4</v>
      </c>
      <c r="N139" s="90">
        <f t="shared" si="181"/>
        <v>161.4</v>
      </c>
      <c r="O139" s="90">
        <f t="shared" si="181"/>
        <v>161.4</v>
      </c>
      <c r="P139" s="90">
        <f t="shared" si="181"/>
        <v>161.4</v>
      </c>
    </row>
    <row r="140" spans="1:16" s="11" customFormat="1" x14ac:dyDescent="0.2">
      <c r="A140" s="2"/>
      <c r="B140" s="496" t="s">
        <v>149</v>
      </c>
      <c r="C140" s="107">
        <f>+'[4]+Лок.к.'!$K$11</f>
        <v>156.32077081836346</v>
      </c>
      <c r="D140" s="107">
        <f>+'[4]+Лок.к.'!$Y$11</f>
        <v>156.80000000000001</v>
      </c>
      <c r="E140" s="90">
        <f t="shared" si="181"/>
        <v>156.80000000000001</v>
      </c>
      <c r="F140" s="90">
        <f t="shared" si="181"/>
        <v>156.80000000000001</v>
      </c>
      <c r="G140" s="90">
        <f t="shared" si="181"/>
        <v>156.80000000000001</v>
      </c>
      <c r="H140" s="90">
        <f t="shared" si="181"/>
        <v>156.80000000000001</v>
      </c>
      <c r="I140" s="90">
        <f t="shared" si="181"/>
        <v>156.80000000000001</v>
      </c>
      <c r="J140" s="90">
        <f t="shared" si="181"/>
        <v>156.80000000000001</v>
      </c>
      <c r="K140" s="90">
        <f t="shared" si="181"/>
        <v>156.80000000000001</v>
      </c>
      <c r="L140" s="90">
        <f t="shared" si="181"/>
        <v>156.80000000000001</v>
      </c>
      <c r="M140" s="90">
        <f t="shared" si="181"/>
        <v>156.80000000000001</v>
      </c>
      <c r="N140" s="90">
        <f t="shared" si="181"/>
        <v>156.80000000000001</v>
      </c>
      <c r="O140" s="90">
        <f t="shared" si="181"/>
        <v>156.80000000000001</v>
      </c>
      <c r="P140" s="90">
        <f t="shared" si="181"/>
        <v>156.80000000000001</v>
      </c>
    </row>
    <row r="141" spans="1:16" s="11" customFormat="1" x14ac:dyDescent="0.2">
      <c r="A141" s="2"/>
      <c r="B141" s="496" t="s">
        <v>481</v>
      </c>
      <c r="C141" s="107">
        <f>+'[4]+Лок.к.'!$L$11</f>
        <v>155.83845454080395</v>
      </c>
      <c r="D141" s="107">
        <f>+'[4]+Лок.к.'!$Z$11</f>
        <v>156.5</v>
      </c>
      <c r="E141" s="90">
        <f t="shared" si="181"/>
        <v>156.5</v>
      </c>
      <c r="F141" s="90">
        <f t="shared" si="181"/>
        <v>156.5</v>
      </c>
      <c r="G141" s="90">
        <f t="shared" si="181"/>
        <v>156.5</v>
      </c>
      <c r="H141" s="90">
        <f t="shared" si="181"/>
        <v>156.5</v>
      </c>
      <c r="I141" s="90">
        <f t="shared" si="181"/>
        <v>156.5</v>
      </c>
      <c r="J141" s="90">
        <f t="shared" si="181"/>
        <v>156.5</v>
      </c>
      <c r="K141" s="90">
        <f t="shared" si="181"/>
        <v>156.5</v>
      </c>
      <c r="L141" s="90">
        <f t="shared" si="181"/>
        <v>156.5</v>
      </c>
      <c r="M141" s="90">
        <f t="shared" si="181"/>
        <v>156.5</v>
      </c>
      <c r="N141" s="90">
        <f t="shared" si="181"/>
        <v>156.5</v>
      </c>
      <c r="O141" s="90">
        <f t="shared" si="181"/>
        <v>156.5</v>
      </c>
      <c r="P141" s="90">
        <f t="shared" si="181"/>
        <v>156.5</v>
      </c>
    </row>
    <row r="142" spans="1:16" s="11" customFormat="1" x14ac:dyDescent="0.2">
      <c r="A142" s="2"/>
      <c r="B142" s="496" t="s">
        <v>483</v>
      </c>
      <c r="C142" s="107">
        <f>+'[4]+Лок.к.'!$M$11</f>
        <v>166.84602377619601</v>
      </c>
      <c r="D142" s="107">
        <f>+'[4]+Лок.к.'!$AA$11</f>
        <v>162</v>
      </c>
      <c r="E142" s="90">
        <f t="shared" si="181"/>
        <v>162</v>
      </c>
      <c r="F142" s="90">
        <f t="shared" si="181"/>
        <v>162</v>
      </c>
      <c r="G142" s="90">
        <f t="shared" si="181"/>
        <v>162</v>
      </c>
      <c r="H142" s="90">
        <f t="shared" si="181"/>
        <v>162</v>
      </c>
      <c r="I142" s="90">
        <f t="shared" si="181"/>
        <v>162</v>
      </c>
      <c r="J142" s="90">
        <f t="shared" si="181"/>
        <v>162</v>
      </c>
      <c r="K142" s="90">
        <f t="shared" si="181"/>
        <v>162</v>
      </c>
      <c r="L142" s="90">
        <f t="shared" si="181"/>
        <v>162</v>
      </c>
      <c r="M142" s="90">
        <f t="shared" si="181"/>
        <v>162</v>
      </c>
      <c r="N142" s="90">
        <f t="shared" si="181"/>
        <v>162</v>
      </c>
      <c r="O142" s="90">
        <f t="shared" si="181"/>
        <v>162</v>
      </c>
      <c r="P142" s="90">
        <f t="shared" si="181"/>
        <v>162</v>
      </c>
    </row>
    <row r="143" spans="1:16" s="11" customFormat="1" x14ac:dyDescent="0.2">
      <c r="A143" s="2"/>
      <c r="B143" s="496" t="s">
        <v>484</v>
      </c>
      <c r="C143" s="107">
        <f>+'[4]+Лок.к.'!$N$11</f>
        <v>163.79558992490564</v>
      </c>
      <c r="D143" s="107">
        <f>+'[4]+Лок.к.'!$AB$11</f>
        <v>164.5</v>
      </c>
      <c r="E143" s="90">
        <f t="shared" si="181"/>
        <v>164.5</v>
      </c>
      <c r="F143" s="90">
        <f t="shared" si="181"/>
        <v>164.5</v>
      </c>
      <c r="G143" s="90">
        <f t="shared" si="181"/>
        <v>164.5</v>
      </c>
      <c r="H143" s="90">
        <f t="shared" si="181"/>
        <v>164.5</v>
      </c>
      <c r="I143" s="90">
        <f t="shared" si="181"/>
        <v>164.5</v>
      </c>
      <c r="J143" s="90">
        <f t="shared" si="181"/>
        <v>164.5</v>
      </c>
      <c r="K143" s="90">
        <f t="shared" si="181"/>
        <v>164.5</v>
      </c>
      <c r="L143" s="90">
        <f t="shared" si="181"/>
        <v>164.5</v>
      </c>
      <c r="M143" s="90">
        <f t="shared" si="181"/>
        <v>164.5</v>
      </c>
      <c r="N143" s="90">
        <f t="shared" si="181"/>
        <v>164.5</v>
      </c>
      <c r="O143" s="90">
        <f t="shared" si="181"/>
        <v>164.5</v>
      </c>
      <c r="P143" s="90">
        <f t="shared" si="181"/>
        <v>164.5</v>
      </c>
    </row>
    <row r="144" spans="1:16" s="11" customFormat="1" x14ac:dyDescent="0.2">
      <c r="A144" s="2"/>
      <c r="B144" s="496" t="s">
        <v>485</v>
      </c>
      <c r="C144" s="107">
        <f>+'[4]+Лок.к.'!$O$11</f>
        <v>150.67042954827187</v>
      </c>
      <c r="D144" s="107">
        <f>+'[4]+Лок.к.'!$AC$11</f>
        <v>150.69999999999999</v>
      </c>
      <c r="E144" s="90">
        <f t="shared" si="181"/>
        <v>150.69999999999999</v>
      </c>
      <c r="F144" s="90">
        <f t="shared" si="181"/>
        <v>150.69999999999999</v>
      </c>
      <c r="G144" s="90">
        <f t="shared" si="181"/>
        <v>150.69999999999999</v>
      </c>
      <c r="H144" s="90">
        <f t="shared" si="181"/>
        <v>150.69999999999999</v>
      </c>
      <c r="I144" s="90">
        <f t="shared" si="181"/>
        <v>150.69999999999999</v>
      </c>
      <c r="J144" s="90">
        <f t="shared" si="181"/>
        <v>150.69999999999999</v>
      </c>
      <c r="K144" s="90">
        <f t="shared" si="181"/>
        <v>150.69999999999999</v>
      </c>
      <c r="L144" s="90">
        <f t="shared" si="181"/>
        <v>150.69999999999999</v>
      </c>
      <c r="M144" s="90">
        <f t="shared" si="181"/>
        <v>150.69999999999999</v>
      </c>
      <c r="N144" s="90">
        <f t="shared" si="181"/>
        <v>150.69999999999999</v>
      </c>
      <c r="O144" s="90">
        <f t="shared" si="181"/>
        <v>150.69999999999999</v>
      </c>
      <c r="P144" s="90">
        <f t="shared" si="181"/>
        <v>150.69999999999999</v>
      </c>
    </row>
    <row r="145" spans="1:16" s="11" customFormat="1" x14ac:dyDescent="0.2">
      <c r="A145" s="2"/>
      <c r="B145" s="496" t="s">
        <v>150</v>
      </c>
      <c r="C145" s="107">
        <f>+'[4]+Лок.к.'!$P$11</f>
        <v>160.4299448444921</v>
      </c>
      <c r="D145" s="107">
        <f>+'[4]+Лок.к.'!$AD$11</f>
        <v>159.30000000000001</v>
      </c>
      <c r="E145" s="90">
        <f t="shared" si="181"/>
        <v>159.30000000000001</v>
      </c>
      <c r="F145" s="90">
        <f t="shared" si="181"/>
        <v>159.30000000000001</v>
      </c>
      <c r="G145" s="90">
        <f t="shared" si="181"/>
        <v>159.30000000000001</v>
      </c>
      <c r="H145" s="90">
        <f t="shared" si="181"/>
        <v>159.30000000000001</v>
      </c>
      <c r="I145" s="90">
        <f t="shared" si="181"/>
        <v>159.30000000000001</v>
      </c>
      <c r="J145" s="90">
        <f t="shared" si="181"/>
        <v>159.30000000000001</v>
      </c>
      <c r="K145" s="90">
        <f t="shared" si="181"/>
        <v>159.30000000000001</v>
      </c>
      <c r="L145" s="90">
        <f t="shared" si="181"/>
        <v>159.30000000000001</v>
      </c>
      <c r="M145" s="90">
        <f t="shared" si="181"/>
        <v>159.30000000000001</v>
      </c>
      <c r="N145" s="90">
        <f t="shared" si="181"/>
        <v>159.30000000000001</v>
      </c>
      <c r="O145" s="90">
        <f t="shared" si="181"/>
        <v>159.30000000000001</v>
      </c>
      <c r="P145" s="90">
        <f t="shared" si="181"/>
        <v>159.30000000000001</v>
      </c>
    </row>
    <row r="146" spans="1:16" s="11" customFormat="1" x14ac:dyDescent="0.2">
      <c r="A146" s="2"/>
      <c r="B146" s="496" t="s">
        <v>486</v>
      </c>
      <c r="C146" s="107">
        <f>+'[4]+Лок.к.'!$Q$11</f>
        <v>167.70757918058669</v>
      </c>
      <c r="D146" s="107">
        <f>+'[4]+Лок.к.'!$AE$11</f>
        <v>163.80000000000001</v>
      </c>
      <c r="E146" s="90">
        <f t="shared" si="181"/>
        <v>163.80000000000001</v>
      </c>
      <c r="F146" s="90">
        <f t="shared" si="181"/>
        <v>163.80000000000001</v>
      </c>
      <c r="G146" s="90">
        <f t="shared" si="181"/>
        <v>163.80000000000001</v>
      </c>
      <c r="H146" s="90">
        <f t="shared" si="181"/>
        <v>163.80000000000001</v>
      </c>
      <c r="I146" s="90">
        <f t="shared" si="181"/>
        <v>163.80000000000001</v>
      </c>
      <c r="J146" s="90">
        <f t="shared" si="181"/>
        <v>163.80000000000001</v>
      </c>
      <c r="K146" s="90">
        <f t="shared" si="181"/>
        <v>163.80000000000001</v>
      </c>
      <c r="L146" s="90">
        <f t="shared" si="181"/>
        <v>163.80000000000001</v>
      </c>
      <c r="M146" s="90">
        <f t="shared" si="181"/>
        <v>163.80000000000001</v>
      </c>
      <c r="N146" s="90">
        <f t="shared" si="181"/>
        <v>163.80000000000001</v>
      </c>
      <c r="O146" s="90">
        <f t="shared" si="181"/>
        <v>163.80000000000001</v>
      </c>
      <c r="P146" s="90">
        <f t="shared" si="181"/>
        <v>163.80000000000001</v>
      </c>
    </row>
    <row r="147" spans="1:16" s="81" customFormat="1" ht="21" x14ac:dyDescent="0.2">
      <c r="A147" s="275"/>
      <c r="B147" s="276" t="s">
        <v>380</v>
      </c>
      <c r="C147" s="278">
        <f t="shared" ref="C147:P147" si="182">+C106/C64</f>
        <v>133.56270116312766</v>
      </c>
      <c r="D147" s="278">
        <f t="shared" si="182"/>
        <v>134.71750167212986</v>
      </c>
      <c r="E147" s="278">
        <f t="shared" si="182"/>
        <v>134.7588312277052</v>
      </c>
      <c r="F147" s="278">
        <f t="shared" si="182"/>
        <v>134.76284038965341</v>
      </c>
      <c r="G147" s="278">
        <f t="shared" si="182"/>
        <v>134.7636386264104</v>
      </c>
      <c r="H147" s="278">
        <f t="shared" si="182"/>
        <v>134.77083126817845</v>
      </c>
      <c r="I147" s="278">
        <f t="shared" si="182"/>
        <v>134.71749042457188</v>
      </c>
      <c r="J147" s="278">
        <f t="shared" si="182"/>
        <v>134.72546206753137</v>
      </c>
      <c r="K147" s="278">
        <f t="shared" si="182"/>
        <v>134.72782295633598</v>
      </c>
      <c r="L147" s="278">
        <f t="shared" si="182"/>
        <v>134.73591654763217</v>
      </c>
      <c r="M147" s="278">
        <f t="shared" si="182"/>
        <v>134.74245832522351</v>
      </c>
      <c r="N147" s="278">
        <f t="shared" si="182"/>
        <v>134.74894260710408</v>
      </c>
      <c r="O147" s="278">
        <f t="shared" si="182"/>
        <v>134.75537057219319</v>
      </c>
      <c r="P147" s="278">
        <f t="shared" si="182"/>
        <v>134.76174335463284</v>
      </c>
    </row>
    <row r="148" spans="1:16" s="11" customFormat="1" x14ac:dyDescent="0.2">
      <c r="A148" s="2"/>
      <c r="B148" s="44" t="s">
        <v>369</v>
      </c>
      <c r="C148" s="270">
        <f t="shared" ref="C148:P148" si="183">+C127/C$167</f>
        <v>130.01863557513391</v>
      </c>
      <c r="D148" s="270">
        <f t="shared" si="183"/>
        <v>132.30712621121057</v>
      </c>
      <c r="E148" s="270">
        <f t="shared" si="183"/>
        <v>132.30712621121057</v>
      </c>
      <c r="F148" s="270">
        <f t="shared" si="183"/>
        <v>132.30712621121057</v>
      </c>
      <c r="G148" s="270">
        <f t="shared" si="183"/>
        <v>132.30712621121057</v>
      </c>
      <c r="H148" s="270">
        <f t="shared" si="183"/>
        <v>132.30712621121057</v>
      </c>
      <c r="I148" s="270">
        <f t="shared" si="183"/>
        <v>131.8778363792469</v>
      </c>
      <c r="J148" s="270">
        <f t="shared" si="183"/>
        <v>131.8778363792469</v>
      </c>
      <c r="K148" s="270">
        <f t="shared" si="183"/>
        <v>131.8778363792469</v>
      </c>
      <c r="L148" s="270">
        <f t="shared" si="183"/>
        <v>131.8778363792469</v>
      </c>
      <c r="M148" s="270">
        <f t="shared" si="183"/>
        <v>131.8778363792469</v>
      </c>
      <c r="N148" s="270">
        <f t="shared" si="183"/>
        <v>131.8778363792469</v>
      </c>
      <c r="O148" s="270">
        <f t="shared" si="183"/>
        <v>131.8778363792469</v>
      </c>
      <c r="P148" s="270">
        <f t="shared" si="183"/>
        <v>131.8778363792469</v>
      </c>
    </row>
    <row r="149" spans="1:16" s="11" customFormat="1" ht="22.5" x14ac:dyDescent="0.2">
      <c r="A149" s="2"/>
      <c r="B149" s="44" t="s">
        <v>370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M149" s="208"/>
      <c r="N149" s="208"/>
      <c r="O149" s="208"/>
      <c r="P149" s="208"/>
    </row>
    <row r="150" spans="1:16" s="11" customFormat="1" x14ac:dyDescent="0.2">
      <c r="A150" s="2"/>
      <c r="B150" s="44" t="s">
        <v>371</v>
      </c>
      <c r="C150" s="270">
        <f t="shared" ref="C150" si="184">+C131/C$167</f>
        <v>133.89426918173729</v>
      </c>
      <c r="D150" s="270">
        <f t="shared" ref="D150:P150" si="185">+D131/D$167</f>
        <v>134.36771740463632</v>
      </c>
      <c r="E150" s="270">
        <f t="shared" si="185"/>
        <v>134.36771740463632</v>
      </c>
      <c r="F150" s="270">
        <f t="shared" si="185"/>
        <v>134.36771740463632</v>
      </c>
      <c r="G150" s="270">
        <f t="shared" si="185"/>
        <v>134.36771740463632</v>
      </c>
      <c r="H150" s="270">
        <f t="shared" si="185"/>
        <v>134.36771740463632</v>
      </c>
      <c r="I150" s="270">
        <f t="shared" si="185"/>
        <v>134.36771740463632</v>
      </c>
      <c r="J150" s="270">
        <f t="shared" si="185"/>
        <v>134.36771740463632</v>
      </c>
      <c r="K150" s="270">
        <f t="shared" si="185"/>
        <v>134.36771740463632</v>
      </c>
      <c r="L150" s="270">
        <f t="shared" si="185"/>
        <v>134.36771740463632</v>
      </c>
      <c r="M150" s="270">
        <f t="shared" si="185"/>
        <v>134.36771740463632</v>
      </c>
      <c r="N150" s="270">
        <f t="shared" si="185"/>
        <v>134.36771740463632</v>
      </c>
      <c r="O150" s="270">
        <f t="shared" si="185"/>
        <v>134.36771740463632</v>
      </c>
      <c r="P150" s="270">
        <f t="shared" si="185"/>
        <v>134.36771740463632</v>
      </c>
    </row>
    <row r="151" spans="1:16" s="11" customFormat="1" x14ac:dyDescent="0.2">
      <c r="A151" s="2"/>
      <c r="B151" s="44" t="s">
        <v>487</v>
      </c>
      <c r="C151" s="270">
        <f t="shared" ref="C151" si="186">+C132/C$167</f>
        <v>136.92751802363102</v>
      </c>
      <c r="D151" s="270">
        <f t="shared" ref="D151:P151" si="187">+D132/D$167</f>
        <v>136.92751802363102</v>
      </c>
      <c r="E151" s="270">
        <f t="shared" si="187"/>
        <v>136.92751802363102</v>
      </c>
      <c r="F151" s="270">
        <f t="shared" si="187"/>
        <v>136.92751802363102</v>
      </c>
      <c r="G151" s="270">
        <f t="shared" si="187"/>
        <v>136.92751802363102</v>
      </c>
      <c r="H151" s="270">
        <f t="shared" si="187"/>
        <v>136.92751802363102</v>
      </c>
      <c r="I151" s="270">
        <f t="shared" si="187"/>
        <v>136.92751802363102</v>
      </c>
      <c r="J151" s="270">
        <f t="shared" si="187"/>
        <v>136.92751802363102</v>
      </c>
      <c r="K151" s="270">
        <f t="shared" si="187"/>
        <v>136.92751802363102</v>
      </c>
      <c r="L151" s="270">
        <f t="shared" si="187"/>
        <v>136.92751802363102</v>
      </c>
      <c r="M151" s="270">
        <f t="shared" si="187"/>
        <v>136.92751802363102</v>
      </c>
      <c r="N151" s="270">
        <f t="shared" si="187"/>
        <v>136.92751802363102</v>
      </c>
      <c r="O151" s="270">
        <f t="shared" si="187"/>
        <v>136.92751802363102</v>
      </c>
      <c r="P151" s="270">
        <f t="shared" si="187"/>
        <v>136.92751802363102</v>
      </c>
    </row>
    <row r="152" spans="1:16" s="11" customFormat="1" x14ac:dyDescent="0.2">
      <c r="A152" s="2"/>
      <c r="B152" s="44" t="s">
        <v>372</v>
      </c>
      <c r="C152" s="270">
        <f t="shared" ref="C152" si="188">+C133/C$167</f>
        <v>133.39245665696055</v>
      </c>
      <c r="D152" s="270">
        <f t="shared" ref="D152:P152" si="189">+D133/D$167</f>
        <v>138.23132589230957</v>
      </c>
      <c r="E152" s="270">
        <f t="shared" si="189"/>
        <v>138.23132589230957</v>
      </c>
      <c r="F152" s="270">
        <f t="shared" si="189"/>
        <v>138.23132589230957</v>
      </c>
      <c r="G152" s="270">
        <f t="shared" si="189"/>
        <v>138.23132589230957</v>
      </c>
      <c r="H152" s="270">
        <f t="shared" si="189"/>
        <v>138.23132589230957</v>
      </c>
      <c r="I152" s="270">
        <f t="shared" si="189"/>
        <v>138.23132589230957</v>
      </c>
      <c r="J152" s="270">
        <f t="shared" si="189"/>
        <v>138.23132589230957</v>
      </c>
      <c r="K152" s="270">
        <f t="shared" si="189"/>
        <v>138.23132589230957</v>
      </c>
      <c r="L152" s="270">
        <f t="shared" si="189"/>
        <v>138.23132589230957</v>
      </c>
      <c r="M152" s="270">
        <f t="shared" si="189"/>
        <v>138.23132589230957</v>
      </c>
      <c r="N152" s="270">
        <f t="shared" si="189"/>
        <v>138.23132589230957</v>
      </c>
      <c r="O152" s="270">
        <f t="shared" si="189"/>
        <v>138.23132589230957</v>
      </c>
      <c r="P152" s="270">
        <f t="shared" si="189"/>
        <v>138.23132589230957</v>
      </c>
    </row>
    <row r="153" spans="1:16" s="11" customFormat="1" x14ac:dyDescent="0.2">
      <c r="A153" s="2"/>
      <c r="B153" s="496" t="s">
        <v>476</v>
      </c>
      <c r="C153" s="270">
        <f t="shared" ref="C153:P153" si="190">+C134/C$167</f>
        <v>134.7430345553247</v>
      </c>
      <c r="D153" s="270">
        <f t="shared" si="190"/>
        <v>135.39801300134917</v>
      </c>
      <c r="E153" s="270">
        <f t="shared" si="190"/>
        <v>135.39801300134917</v>
      </c>
      <c r="F153" s="270">
        <f t="shared" si="190"/>
        <v>135.39801300134917</v>
      </c>
      <c r="G153" s="270">
        <f t="shared" si="190"/>
        <v>135.39801300134917</v>
      </c>
      <c r="H153" s="270">
        <f t="shared" si="190"/>
        <v>135.39801300134917</v>
      </c>
      <c r="I153" s="270">
        <f t="shared" si="190"/>
        <v>135.39801300134917</v>
      </c>
      <c r="J153" s="270">
        <f t="shared" si="190"/>
        <v>135.39801300134917</v>
      </c>
      <c r="K153" s="270">
        <f t="shared" si="190"/>
        <v>135.39801300134917</v>
      </c>
      <c r="L153" s="270">
        <f t="shared" si="190"/>
        <v>135.39801300134917</v>
      </c>
      <c r="M153" s="270">
        <f t="shared" si="190"/>
        <v>135.39801300134917</v>
      </c>
      <c r="N153" s="270">
        <f t="shared" si="190"/>
        <v>135.39801300134917</v>
      </c>
      <c r="O153" s="270">
        <f t="shared" si="190"/>
        <v>135.39801300134917</v>
      </c>
      <c r="P153" s="270">
        <f t="shared" si="190"/>
        <v>135.39801300134917</v>
      </c>
    </row>
    <row r="154" spans="1:16" s="11" customFormat="1" x14ac:dyDescent="0.2">
      <c r="A154" s="2"/>
      <c r="B154" s="496" t="s">
        <v>147</v>
      </c>
      <c r="C154" s="270">
        <f t="shared" ref="C154:P154" si="191">+C135/C$167</f>
        <v>136.03792571832318</v>
      </c>
      <c r="D154" s="270">
        <f t="shared" si="191"/>
        <v>134.02428553906535</v>
      </c>
      <c r="E154" s="270">
        <f t="shared" si="191"/>
        <v>134.02428553906535</v>
      </c>
      <c r="F154" s="270">
        <f t="shared" si="191"/>
        <v>134.02428553906535</v>
      </c>
      <c r="G154" s="270">
        <f t="shared" si="191"/>
        <v>134.02428553906535</v>
      </c>
      <c r="H154" s="270">
        <f t="shared" si="191"/>
        <v>134.02428553906535</v>
      </c>
      <c r="I154" s="270">
        <f t="shared" si="191"/>
        <v>134.02428553906535</v>
      </c>
      <c r="J154" s="270">
        <f t="shared" si="191"/>
        <v>134.02428553906535</v>
      </c>
      <c r="K154" s="270">
        <f t="shared" si="191"/>
        <v>134.02428553906535</v>
      </c>
      <c r="L154" s="270">
        <f t="shared" si="191"/>
        <v>134.02428553906535</v>
      </c>
      <c r="M154" s="270">
        <f t="shared" si="191"/>
        <v>134.02428553906535</v>
      </c>
      <c r="N154" s="270">
        <f t="shared" si="191"/>
        <v>134.02428553906535</v>
      </c>
      <c r="O154" s="270">
        <f t="shared" si="191"/>
        <v>134.02428553906535</v>
      </c>
      <c r="P154" s="270">
        <f t="shared" si="191"/>
        <v>134.02428553906535</v>
      </c>
    </row>
    <row r="155" spans="1:16" s="11" customFormat="1" x14ac:dyDescent="0.2">
      <c r="A155" s="2"/>
      <c r="B155" s="496" t="s">
        <v>148</v>
      </c>
      <c r="C155" s="270">
        <f t="shared" ref="C155:P155" si="192">+C136/C$167</f>
        <v>137.30647140372642</v>
      </c>
      <c r="D155" s="270">
        <f t="shared" si="192"/>
        <v>138.0596099595241</v>
      </c>
      <c r="E155" s="270">
        <f t="shared" si="192"/>
        <v>138.0596099595241</v>
      </c>
      <c r="F155" s="270">
        <f t="shared" si="192"/>
        <v>138.0596099595241</v>
      </c>
      <c r="G155" s="270">
        <f t="shared" si="192"/>
        <v>138.0596099595241</v>
      </c>
      <c r="H155" s="270">
        <f t="shared" si="192"/>
        <v>138.0596099595241</v>
      </c>
      <c r="I155" s="270">
        <f t="shared" si="192"/>
        <v>138.0596099595241</v>
      </c>
      <c r="J155" s="270">
        <f t="shared" si="192"/>
        <v>138.0596099595241</v>
      </c>
      <c r="K155" s="270">
        <f t="shared" si="192"/>
        <v>138.0596099595241</v>
      </c>
      <c r="L155" s="270">
        <f t="shared" si="192"/>
        <v>138.0596099595241</v>
      </c>
      <c r="M155" s="270">
        <f t="shared" si="192"/>
        <v>138.0596099595241</v>
      </c>
      <c r="N155" s="270">
        <f t="shared" si="192"/>
        <v>138.0596099595241</v>
      </c>
      <c r="O155" s="270">
        <f t="shared" si="192"/>
        <v>138.0596099595241</v>
      </c>
      <c r="P155" s="270">
        <f t="shared" si="192"/>
        <v>138.0596099595241</v>
      </c>
    </row>
    <row r="156" spans="1:16" s="11" customFormat="1" x14ac:dyDescent="0.2">
      <c r="A156" s="2"/>
      <c r="B156" s="496" t="s">
        <v>478</v>
      </c>
      <c r="C156" s="270">
        <f t="shared" ref="C156:P156" si="193">+C137/C$167</f>
        <v>138.37333870259025</v>
      </c>
      <c r="D156" s="270">
        <f t="shared" si="193"/>
        <v>136.0848767324911</v>
      </c>
      <c r="E156" s="270">
        <f t="shared" si="193"/>
        <v>136.0848767324911</v>
      </c>
      <c r="F156" s="270">
        <f t="shared" si="193"/>
        <v>136.0848767324911</v>
      </c>
      <c r="G156" s="270">
        <f t="shared" si="193"/>
        <v>136.0848767324911</v>
      </c>
      <c r="H156" s="270">
        <f t="shared" si="193"/>
        <v>136.0848767324911</v>
      </c>
      <c r="I156" s="270">
        <f t="shared" si="193"/>
        <v>136.0848767324911</v>
      </c>
      <c r="J156" s="270">
        <f t="shared" si="193"/>
        <v>136.0848767324911</v>
      </c>
      <c r="K156" s="270">
        <f t="shared" si="193"/>
        <v>136.0848767324911</v>
      </c>
      <c r="L156" s="270">
        <f t="shared" si="193"/>
        <v>136.0848767324911</v>
      </c>
      <c r="M156" s="270">
        <f t="shared" si="193"/>
        <v>136.0848767324911</v>
      </c>
      <c r="N156" s="270">
        <f t="shared" si="193"/>
        <v>136.0848767324911</v>
      </c>
      <c r="O156" s="270">
        <f t="shared" si="193"/>
        <v>136.0848767324911</v>
      </c>
      <c r="P156" s="270">
        <f t="shared" si="193"/>
        <v>136.0848767324911</v>
      </c>
    </row>
    <row r="157" spans="1:16" s="11" customFormat="1" x14ac:dyDescent="0.2">
      <c r="A157" s="2"/>
      <c r="B157" s="496" t="s">
        <v>479</v>
      </c>
      <c r="C157" s="270">
        <f t="shared" ref="C157:P157" si="194">+C138/C$167</f>
        <v>137.47352518803388</v>
      </c>
      <c r="D157" s="270">
        <f t="shared" si="194"/>
        <v>138.23132589230957</v>
      </c>
      <c r="E157" s="270">
        <f t="shared" si="194"/>
        <v>138.23132589230957</v>
      </c>
      <c r="F157" s="270">
        <f t="shared" si="194"/>
        <v>138.23132589230957</v>
      </c>
      <c r="G157" s="270">
        <f t="shared" si="194"/>
        <v>138.23132589230957</v>
      </c>
      <c r="H157" s="270">
        <f t="shared" si="194"/>
        <v>138.23132589230957</v>
      </c>
      <c r="I157" s="270">
        <f t="shared" si="194"/>
        <v>138.23132589230957</v>
      </c>
      <c r="J157" s="270">
        <f t="shared" si="194"/>
        <v>138.23132589230957</v>
      </c>
      <c r="K157" s="270">
        <f t="shared" si="194"/>
        <v>138.23132589230957</v>
      </c>
      <c r="L157" s="270">
        <f t="shared" si="194"/>
        <v>138.23132589230957</v>
      </c>
      <c r="M157" s="270">
        <f t="shared" si="194"/>
        <v>138.23132589230957</v>
      </c>
      <c r="N157" s="270">
        <f t="shared" si="194"/>
        <v>138.23132589230957</v>
      </c>
      <c r="O157" s="270">
        <f t="shared" si="194"/>
        <v>138.23132589230957</v>
      </c>
      <c r="P157" s="270">
        <f t="shared" si="194"/>
        <v>138.23132589230957</v>
      </c>
    </row>
    <row r="158" spans="1:16" s="11" customFormat="1" x14ac:dyDescent="0.2">
      <c r="A158" s="2"/>
      <c r="B158" s="496" t="s">
        <v>480</v>
      </c>
      <c r="C158" s="270">
        <f t="shared" ref="C158:P158" si="195">+C139/C$167</f>
        <v>139.39429876691833</v>
      </c>
      <c r="D158" s="270">
        <f t="shared" si="195"/>
        <v>138.57475775788052</v>
      </c>
      <c r="E158" s="270">
        <f t="shared" si="195"/>
        <v>138.57475775788052</v>
      </c>
      <c r="F158" s="270">
        <f t="shared" si="195"/>
        <v>138.57475775788052</v>
      </c>
      <c r="G158" s="270">
        <f t="shared" si="195"/>
        <v>138.57475775788052</v>
      </c>
      <c r="H158" s="270">
        <f t="shared" si="195"/>
        <v>138.57475775788052</v>
      </c>
      <c r="I158" s="270">
        <f t="shared" si="195"/>
        <v>138.57475775788052</v>
      </c>
      <c r="J158" s="270">
        <f t="shared" si="195"/>
        <v>138.57475775788052</v>
      </c>
      <c r="K158" s="270">
        <f t="shared" si="195"/>
        <v>138.57475775788052</v>
      </c>
      <c r="L158" s="270">
        <f t="shared" si="195"/>
        <v>138.57475775788052</v>
      </c>
      <c r="M158" s="270">
        <f t="shared" si="195"/>
        <v>138.57475775788052</v>
      </c>
      <c r="N158" s="270">
        <f t="shared" si="195"/>
        <v>138.57475775788052</v>
      </c>
      <c r="O158" s="270">
        <f t="shared" si="195"/>
        <v>138.57475775788052</v>
      </c>
      <c r="P158" s="270">
        <f t="shared" si="195"/>
        <v>138.57475775788052</v>
      </c>
    </row>
    <row r="159" spans="1:16" s="11" customFormat="1" x14ac:dyDescent="0.2">
      <c r="A159" s="2"/>
      <c r="B159" s="496" t="s">
        <v>149</v>
      </c>
      <c r="C159" s="270">
        <f t="shared" ref="C159:P159" si="196">+C140/C$167</f>
        <v>134.21383487410083</v>
      </c>
      <c r="D159" s="270">
        <f t="shared" si="196"/>
        <v>134.62529130381455</v>
      </c>
      <c r="E159" s="270">
        <f t="shared" si="196"/>
        <v>134.62529130381455</v>
      </c>
      <c r="F159" s="270">
        <f t="shared" si="196"/>
        <v>134.62529130381455</v>
      </c>
      <c r="G159" s="270">
        <f t="shared" si="196"/>
        <v>134.62529130381455</v>
      </c>
      <c r="H159" s="270">
        <f t="shared" si="196"/>
        <v>134.62529130381455</v>
      </c>
      <c r="I159" s="270">
        <f t="shared" si="196"/>
        <v>134.62529130381455</v>
      </c>
      <c r="J159" s="270">
        <f t="shared" si="196"/>
        <v>134.62529130381455</v>
      </c>
      <c r="K159" s="270">
        <f t="shared" si="196"/>
        <v>134.62529130381455</v>
      </c>
      <c r="L159" s="270">
        <f t="shared" si="196"/>
        <v>134.62529130381455</v>
      </c>
      <c r="M159" s="270">
        <f t="shared" si="196"/>
        <v>134.62529130381455</v>
      </c>
      <c r="N159" s="270">
        <f t="shared" si="196"/>
        <v>134.62529130381455</v>
      </c>
      <c r="O159" s="270">
        <f t="shared" si="196"/>
        <v>134.62529130381455</v>
      </c>
      <c r="P159" s="270">
        <f t="shared" si="196"/>
        <v>134.62529130381455</v>
      </c>
    </row>
    <row r="160" spans="1:16" s="11" customFormat="1" x14ac:dyDescent="0.2">
      <c r="A160" s="2"/>
      <c r="B160" s="496" t="s">
        <v>481</v>
      </c>
      <c r="C160" s="270">
        <f t="shared" ref="C160:P160" si="197">+C141/C$167</f>
        <v>133.79972792660709</v>
      </c>
      <c r="D160" s="270">
        <f t="shared" si="197"/>
        <v>134.36771740463632</v>
      </c>
      <c r="E160" s="270">
        <f t="shared" si="197"/>
        <v>134.36771740463632</v>
      </c>
      <c r="F160" s="270">
        <f t="shared" si="197"/>
        <v>134.36771740463632</v>
      </c>
      <c r="G160" s="270">
        <f t="shared" si="197"/>
        <v>134.36771740463632</v>
      </c>
      <c r="H160" s="270">
        <f t="shared" si="197"/>
        <v>134.36771740463632</v>
      </c>
      <c r="I160" s="270">
        <f t="shared" si="197"/>
        <v>134.36771740463632</v>
      </c>
      <c r="J160" s="270">
        <f t="shared" si="197"/>
        <v>134.36771740463632</v>
      </c>
      <c r="K160" s="270">
        <f t="shared" si="197"/>
        <v>134.36771740463632</v>
      </c>
      <c r="L160" s="270">
        <f t="shared" si="197"/>
        <v>134.36771740463632</v>
      </c>
      <c r="M160" s="270">
        <f t="shared" si="197"/>
        <v>134.36771740463632</v>
      </c>
      <c r="N160" s="270">
        <f t="shared" si="197"/>
        <v>134.36771740463632</v>
      </c>
      <c r="O160" s="270">
        <f t="shared" si="197"/>
        <v>134.36771740463632</v>
      </c>
      <c r="P160" s="270">
        <f t="shared" si="197"/>
        <v>134.36771740463632</v>
      </c>
    </row>
    <row r="161" spans="1:24" s="11" customFormat="1" x14ac:dyDescent="0.2">
      <c r="A161" s="2"/>
      <c r="B161" s="496" t="s">
        <v>483</v>
      </c>
      <c r="C161" s="270">
        <f t="shared" ref="C161:P161" si="198">+C142/C$167</f>
        <v>143.25060302138746</v>
      </c>
      <c r="D161" s="270">
        <f t="shared" si="198"/>
        <v>139.08990555623694</v>
      </c>
      <c r="E161" s="270">
        <f t="shared" si="198"/>
        <v>139.08990555623694</v>
      </c>
      <c r="F161" s="270">
        <f t="shared" si="198"/>
        <v>139.08990555623694</v>
      </c>
      <c r="G161" s="270">
        <f t="shared" si="198"/>
        <v>139.08990555623694</v>
      </c>
      <c r="H161" s="270">
        <f t="shared" si="198"/>
        <v>139.08990555623694</v>
      </c>
      <c r="I161" s="270">
        <f t="shared" si="198"/>
        <v>139.08990555623694</v>
      </c>
      <c r="J161" s="270">
        <f t="shared" si="198"/>
        <v>139.08990555623694</v>
      </c>
      <c r="K161" s="270">
        <f t="shared" si="198"/>
        <v>139.08990555623694</v>
      </c>
      <c r="L161" s="270">
        <f t="shared" si="198"/>
        <v>139.08990555623694</v>
      </c>
      <c r="M161" s="270">
        <f t="shared" si="198"/>
        <v>139.08990555623694</v>
      </c>
      <c r="N161" s="270">
        <f t="shared" si="198"/>
        <v>139.08990555623694</v>
      </c>
      <c r="O161" s="270">
        <f t="shared" si="198"/>
        <v>139.08990555623694</v>
      </c>
      <c r="P161" s="270">
        <f t="shared" si="198"/>
        <v>139.08990555623694</v>
      </c>
    </row>
    <row r="162" spans="1:24" s="11" customFormat="1" x14ac:dyDescent="0.2">
      <c r="A162" s="2"/>
      <c r="B162" s="496" t="s">
        <v>484</v>
      </c>
      <c r="C162" s="270">
        <f t="shared" ref="C162:P162" si="199">+C143/C$167</f>
        <v>140.63156255051385</v>
      </c>
      <c r="D162" s="270">
        <f t="shared" si="199"/>
        <v>141.23635471605542</v>
      </c>
      <c r="E162" s="270">
        <f t="shared" si="199"/>
        <v>141.23635471605542</v>
      </c>
      <c r="F162" s="270">
        <f t="shared" si="199"/>
        <v>141.23635471605542</v>
      </c>
      <c r="G162" s="270">
        <f t="shared" si="199"/>
        <v>141.23635471605542</v>
      </c>
      <c r="H162" s="270">
        <f t="shared" si="199"/>
        <v>141.23635471605542</v>
      </c>
      <c r="I162" s="270">
        <f t="shared" si="199"/>
        <v>141.23635471605542</v>
      </c>
      <c r="J162" s="270">
        <f t="shared" si="199"/>
        <v>141.23635471605542</v>
      </c>
      <c r="K162" s="270">
        <f t="shared" si="199"/>
        <v>141.23635471605542</v>
      </c>
      <c r="L162" s="270">
        <f t="shared" si="199"/>
        <v>141.23635471605542</v>
      </c>
      <c r="M162" s="270">
        <f t="shared" si="199"/>
        <v>141.23635471605542</v>
      </c>
      <c r="N162" s="270">
        <f t="shared" si="199"/>
        <v>141.23635471605542</v>
      </c>
      <c r="O162" s="270">
        <f t="shared" si="199"/>
        <v>141.23635471605542</v>
      </c>
      <c r="P162" s="270">
        <f t="shared" si="199"/>
        <v>141.23635471605542</v>
      </c>
    </row>
    <row r="163" spans="1:24" s="11" customFormat="1" x14ac:dyDescent="0.2">
      <c r="A163" s="2"/>
      <c r="B163" s="496" t="s">
        <v>485</v>
      </c>
      <c r="C163" s="270">
        <f t="shared" ref="C163:P163" si="200">+C144/C$167</f>
        <v>129.36256676535055</v>
      </c>
      <c r="D163" s="270">
        <f t="shared" si="200"/>
        <v>129.38795535385745</v>
      </c>
      <c r="E163" s="270">
        <f t="shared" si="200"/>
        <v>129.38795535385745</v>
      </c>
      <c r="F163" s="270">
        <f t="shared" si="200"/>
        <v>129.38795535385745</v>
      </c>
      <c r="G163" s="270">
        <f t="shared" si="200"/>
        <v>129.38795535385745</v>
      </c>
      <c r="H163" s="270">
        <f t="shared" si="200"/>
        <v>129.38795535385745</v>
      </c>
      <c r="I163" s="270">
        <f t="shared" si="200"/>
        <v>129.38795535385745</v>
      </c>
      <c r="J163" s="270">
        <f t="shared" si="200"/>
        <v>129.38795535385745</v>
      </c>
      <c r="K163" s="270">
        <f t="shared" si="200"/>
        <v>129.38795535385745</v>
      </c>
      <c r="L163" s="270">
        <f t="shared" si="200"/>
        <v>129.38795535385745</v>
      </c>
      <c r="M163" s="270">
        <f t="shared" si="200"/>
        <v>129.38795535385745</v>
      </c>
      <c r="N163" s="270">
        <f t="shared" si="200"/>
        <v>129.38795535385745</v>
      </c>
      <c r="O163" s="270">
        <f t="shared" si="200"/>
        <v>129.38795535385745</v>
      </c>
      <c r="P163" s="270">
        <f t="shared" si="200"/>
        <v>129.38795535385745</v>
      </c>
    </row>
    <row r="164" spans="1:24" s="11" customFormat="1" x14ac:dyDescent="0.2">
      <c r="A164" s="2"/>
      <c r="B164" s="496" t="s">
        <v>150</v>
      </c>
      <c r="C164" s="270">
        <f t="shared" ref="C164:P164" si="201">+C145/C$167</f>
        <v>137.74188812847351</v>
      </c>
      <c r="D164" s="270">
        <f t="shared" si="201"/>
        <v>136.77174046363302</v>
      </c>
      <c r="E164" s="270">
        <f t="shared" si="201"/>
        <v>136.77174046363302</v>
      </c>
      <c r="F164" s="270">
        <f t="shared" si="201"/>
        <v>136.77174046363302</v>
      </c>
      <c r="G164" s="270">
        <f t="shared" si="201"/>
        <v>136.77174046363302</v>
      </c>
      <c r="H164" s="270">
        <f t="shared" si="201"/>
        <v>136.77174046363302</v>
      </c>
      <c r="I164" s="270">
        <f t="shared" si="201"/>
        <v>136.77174046363302</v>
      </c>
      <c r="J164" s="270">
        <f t="shared" si="201"/>
        <v>136.77174046363302</v>
      </c>
      <c r="K164" s="270">
        <f t="shared" si="201"/>
        <v>136.77174046363302</v>
      </c>
      <c r="L164" s="270">
        <f t="shared" si="201"/>
        <v>136.77174046363302</v>
      </c>
      <c r="M164" s="270">
        <f t="shared" si="201"/>
        <v>136.77174046363302</v>
      </c>
      <c r="N164" s="270">
        <f t="shared" si="201"/>
        <v>136.77174046363302</v>
      </c>
      <c r="O164" s="270">
        <f t="shared" si="201"/>
        <v>136.77174046363302</v>
      </c>
      <c r="P164" s="270">
        <f t="shared" si="201"/>
        <v>136.77174046363302</v>
      </c>
    </row>
    <row r="165" spans="1:24" s="11" customFormat="1" x14ac:dyDescent="0.2">
      <c r="A165" s="2"/>
      <c r="B165" s="496" t="s">
        <v>486</v>
      </c>
      <c r="C165" s="270">
        <f t="shared" ref="C165:P165" si="202">+C146/C$167</f>
        <v>143.99031697094404</v>
      </c>
      <c r="D165" s="270">
        <f t="shared" si="202"/>
        <v>140.63534895130627</v>
      </c>
      <c r="E165" s="270">
        <f t="shared" si="202"/>
        <v>140.63534895130627</v>
      </c>
      <c r="F165" s="270">
        <f t="shared" si="202"/>
        <v>140.63534895130627</v>
      </c>
      <c r="G165" s="270">
        <f t="shared" si="202"/>
        <v>140.63534895130627</v>
      </c>
      <c r="H165" s="270">
        <f t="shared" si="202"/>
        <v>140.63534895130627</v>
      </c>
      <c r="I165" s="270">
        <f t="shared" si="202"/>
        <v>140.63534895130627</v>
      </c>
      <c r="J165" s="270">
        <f t="shared" si="202"/>
        <v>140.63534895130627</v>
      </c>
      <c r="K165" s="270">
        <f t="shared" si="202"/>
        <v>140.63534895130627</v>
      </c>
      <c r="L165" s="270">
        <f t="shared" si="202"/>
        <v>140.63534895130627</v>
      </c>
      <c r="M165" s="270">
        <f t="shared" si="202"/>
        <v>140.63534895130627</v>
      </c>
      <c r="N165" s="270">
        <f t="shared" si="202"/>
        <v>140.63534895130627</v>
      </c>
      <c r="O165" s="270">
        <f t="shared" si="202"/>
        <v>140.63534895130627</v>
      </c>
      <c r="P165" s="270">
        <f t="shared" si="202"/>
        <v>140.63534895130627</v>
      </c>
    </row>
    <row r="166" spans="1:24" s="32" customFormat="1" x14ac:dyDescent="0.2">
      <c r="A166" s="33"/>
      <c r="B166" s="121"/>
      <c r="C166" s="121"/>
      <c r="D166" s="121"/>
      <c r="E166" s="121"/>
      <c r="F166" s="121"/>
      <c r="G166" s="279"/>
      <c r="H166" s="280"/>
      <c r="I166" s="121"/>
      <c r="J166" s="121"/>
      <c r="K166" s="121"/>
      <c r="L166" s="121"/>
      <c r="M166" s="121"/>
      <c r="N166" s="121"/>
      <c r="O166" s="121"/>
      <c r="P166" s="121"/>
    </row>
    <row r="167" spans="1:24" s="32" customFormat="1" x14ac:dyDescent="0.2">
      <c r="A167" s="39" t="s">
        <v>40</v>
      </c>
      <c r="B167" s="46" t="s">
        <v>41</v>
      </c>
      <c r="C167" s="281">
        <f>+'[14]4.4.Р_топл'!$E$49</f>
        <v>1.1647142857142858</v>
      </c>
      <c r="D167" s="282">
        <f>+C167</f>
        <v>1.1647142857142858</v>
      </c>
      <c r="E167" s="282">
        <f t="shared" ref="E167:P167" si="203">+D167</f>
        <v>1.1647142857142858</v>
      </c>
      <c r="F167" s="282">
        <f t="shared" si="203"/>
        <v>1.1647142857142858</v>
      </c>
      <c r="G167" s="282">
        <f t="shared" si="203"/>
        <v>1.1647142857142858</v>
      </c>
      <c r="H167" s="282">
        <f t="shared" si="203"/>
        <v>1.1647142857142858</v>
      </c>
      <c r="I167" s="282">
        <f t="shared" si="203"/>
        <v>1.1647142857142858</v>
      </c>
      <c r="J167" s="282">
        <f t="shared" si="203"/>
        <v>1.1647142857142858</v>
      </c>
      <c r="K167" s="282">
        <f t="shared" si="203"/>
        <v>1.1647142857142858</v>
      </c>
      <c r="L167" s="282">
        <f t="shared" si="203"/>
        <v>1.1647142857142858</v>
      </c>
      <c r="M167" s="282">
        <f t="shared" si="203"/>
        <v>1.1647142857142858</v>
      </c>
      <c r="N167" s="282">
        <f t="shared" si="203"/>
        <v>1.1647142857142858</v>
      </c>
      <c r="O167" s="282">
        <f t="shared" si="203"/>
        <v>1.1647142857142858</v>
      </c>
      <c r="P167" s="282">
        <f t="shared" si="203"/>
        <v>1.1647142857142858</v>
      </c>
      <c r="Q167" s="38"/>
      <c r="R167" s="249"/>
      <c r="S167" s="38"/>
      <c r="T167" s="38"/>
      <c r="U167" s="38">
        <v>1.1299999999999999</v>
      </c>
      <c r="V167" s="38">
        <v>1.1299999999999999</v>
      </c>
      <c r="W167" s="38">
        <v>1.1299999999999999</v>
      </c>
      <c r="X167" s="38">
        <v>1.1299999999999999</v>
      </c>
    </row>
    <row r="168" spans="1:24" s="32" customFormat="1" x14ac:dyDescent="0.2">
      <c r="A168" s="39"/>
      <c r="B168" s="46" t="s">
        <v>236</v>
      </c>
      <c r="C168" s="123">
        <f>+C169</f>
        <v>88686.736999999979</v>
      </c>
      <c r="D168" s="123">
        <f t="shared" ref="D168:P168" si="204">+D169</f>
        <v>138490.58954267733</v>
      </c>
      <c r="E168" s="123">
        <f t="shared" si="204"/>
        <v>132331.02069500802</v>
      </c>
      <c r="F168" s="123">
        <f t="shared" si="204"/>
        <v>129369.89729481391</v>
      </c>
      <c r="G168" s="123">
        <f t="shared" si="204"/>
        <v>127302.6875147125</v>
      </c>
      <c r="H168" s="123">
        <f t="shared" si="204"/>
        <v>124313.51430136607</v>
      </c>
      <c r="I168" s="123">
        <f t="shared" si="204"/>
        <v>121557.02566026821</v>
      </c>
      <c r="J168" s="123">
        <f t="shared" si="204"/>
        <v>119005.0637265883</v>
      </c>
      <c r="K168" s="123">
        <f t="shared" si="204"/>
        <v>119488.18831994313</v>
      </c>
      <c r="L168" s="123">
        <f t="shared" si="204"/>
        <v>120157.87165576839</v>
      </c>
      <c r="M168" s="123">
        <f t="shared" si="204"/>
        <v>120800.46734219337</v>
      </c>
      <c r="N168" s="123">
        <f t="shared" si="204"/>
        <v>121439.07375317054</v>
      </c>
      <c r="O168" s="123">
        <f t="shared" si="204"/>
        <v>122073.80323715656</v>
      </c>
      <c r="P168" s="123">
        <f t="shared" si="204"/>
        <v>122704.76382235529</v>
      </c>
      <c r="Q168" s="217"/>
      <c r="S168" s="217"/>
      <c r="T168" s="217"/>
      <c r="U168" s="217"/>
      <c r="V168" s="217"/>
      <c r="W168" s="217"/>
      <c r="X168" s="217"/>
    </row>
    <row r="169" spans="1:24" s="8" customFormat="1" x14ac:dyDescent="0.2">
      <c r="A169" s="1"/>
      <c r="B169" s="83" t="s">
        <v>238</v>
      </c>
      <c r="C169" s="175">
        <f t="shared" ref="C169:P169" si="205">+C106*C$167</f>
        <v>88686.736999999979</v>
      </c>
      <c r="D169" s="175">
        <f t="shared" si="205"/>
        <v>138490.58954267733</v>
      </c>
      <c r="E169" s="175">
        <f t="shared" si="205"/>
        <v>132331.02069500802</v>
      </c>
      <c r="F169" s="175">
        <f t="shared" si="205"/>
        <v>129369.89729481391</v>
      </c>
      <c r="G169" s="175">
        <f t="shared" si="205"/>
        <v>127302.6875147125</v>
      </c>
      <c r="H169" s="175">
        <f t="shared" si="205"/>
        <v>124313.51430136607</v>
      </c>
      <c r="I169" s="175">
        <f t="shared" si="205"/>
        <v>121557.02566026821</v>
      </c>
      <c r="J169" s="175">
        <f t="shared" si="205"/>
        <v>119005.0637265883</v>
      </c>
      <c r="K169" s="175">
        <f t="shared" si="205"/>
        <v>119488.18831994313</v>
      </c>
      <c r="L169" s="175">
        <f t="shared" si="205"/>
        <v>120157.87165576839</v>
      </c>
      <c r="M169" s="175">
        <f t="shared" si="205"/>
        <v>120800.46734219337</v>
      </c>
      <c r="N169" s="175">
        <f t="shared" si="205"/>
        <v>121439.07375317054</v>
      </c>
      <c r="O169" s="175">
        <f t="shared" si="205"/>
        <v>122073.80323715656</v>
      </c>
      <c r="P169" s="175">
        <f t="shared" si="205"/>
        <v>122704.76382235529</v>
      </c>
      <c r="Q169" s="13"/>
      <c r="R169" s="13"/>
      <c r="S169" s="13"/>
    </row>
    <row r="170" spans="1:24" s="139" customFormat="1" x14ac:dyDescent="0.2">
      <c r="A170" s="64"/>
      <c r="B170" s="65"/>
      <c r="C170" s="283"/>
      <c r="D170" s="283"/>
      <c r="E170" s="283"/>
      <c r="F170" s="283"/>
      <c r="G170" s="283"/>
      <c r="H170" s="283"/>
      <c r="I170" s="283"/>
      <c r="J170" s="283"/>
      <c r="K170" s="283"/>
      <c r="L170" s="283"/>
      <c r="M170" s="283"/>
      <c r="N170" s="283"/>
      <c r="O170" s="283"/>
      <c r="P170" s="283"/>
      <c r="Q170" s="96"/>
      <c r="R170" s="96"/>
      <c r="S170" s="96"/>
    </row>
    <row r="171" spans="1:24" s="274" customFormat="1" x14ac:dyDescent="0.2">
      <c r="A171" s="66">
        <v>13</v>
      </c>
      <c r="B171" s="72" t="s">
        <v>299</v>
      </c>
      <c r="C171" s="503">
        <f>+C172+C176+C180+C184+C185+C186+C187+C188+C189+C190+C191+C192+C193+C194+C195+C196+C197</f>
        <v>14.141857735</v>
      </c>
      <c r="D171" s="503">
        <f t="shared" ref="D171:P171" si="206">+D172+D176+D180+D184+D185+D186+D187+D188+D189+D190+D191+D192+D193+D194+D195+D196+D197</f>
        <v>24.115981832387504</v>
      </c>
      <c r="E171" s="503">
        <f t="shared" si="206"/>
        <v>24.115981832387504</v>
      </c>
      <c r="F171" s="503">
        <f t="shared" si="206"/>
        <v>23.948281832387508</v>
      </c>
      <c r="G171" s="503">
        <f t="shared" si="206"/>
        <v>23.582281832387508</v>
      </c>
      <c r="H171" s="503">
        <f t="shared" si="206"/>
        <v>23.582281832387508</v>
      </c>
      <c r="I171" s="503">
        <f t="shared" si="206"/>
        <v>22.888281832387506</v>
      </c>
      <c r="J171" s="503">
        <f t="shared" si="206"/>
        <v>22.622921832387505</v>
      </c>
      <c r="K171" s="503">
        <f t="shared" si="206"/>
        <v>22.622921832387505</v>
      </c>
      <c r="L171" s="503">
        <f t="shared" si="206"/>
        <v>22.622921832387505</v>
      </c>
      <c r="M171" s="503">
        <f t="shared" si="206"/>
        <v>22.622921832387505</v>
      </c>
      <c r="N171" s="503">
        <f t="shared" si="206"/>
        <v>22.622921832387505</v>
      </c>
      <c r="O171" s="503">
        <f t="shared" si="206"/>
        <v>22.622921832387505</v>
      </c>
      <c r="P171" s="503">
        <f t="shared" si="206"/>
        <v>22.622921832387505</v>
      </c>
      <c r="Q171" s="273"/>
      <c r="R171" s="273"/>
      <c r="S171" s="273"/>
    </row>
    <row r="172" spans="1:24" s="11" customFormat="1" x14ac:dyDescent="0.2">
      <c r="A172" s="2"/>
      <c r="B172" s="44" t="s">
        <v>381</v>
      </c>
      <c r="C172" s="504">
        <f>SUM(C173:C174)</f>
        <v>2.7729516000000003</v>
      </c>
      <c r="D172" s="504">
        <f t="shared" ref="D172:P172" si="207">SUM(D173:D174)</f>
        <v>3.1632800000000003</v>
      </c>
      <c r="E172" s="510">
        <f t="shared" si="207"/>
        <v>3.1632800000000003</v>
      </c>
      <c r="F172" s="510">
        <f t="shared" si="207"/>
        <v>3.1632800000000003</v>
      </c>
      <c r="G172" s="510">
        <f t="shared" si="207"/>
        <v>3.1632800000000003</v>
      </c>
      <c r="H172" s="510">
        <f t="shared" si="207"/>
        <v>3.1632800000000003</v>
      </c>
      <c r="I172" s="510">
        <f t="shared" si="207"/>
        <v>2.4692800000000004</v>
      </c>
      <c r="J172" s="510">
        <f t="shared" si="207"/>
        <v>2.4692800000000004</v>
      </c>
      <c r="K172" s="510">
        <f t="shared" si="207"/>
        <v>2.4692800000000004</v>
      </c>
      <c r="L172" s="510">
        <f t="shared" si="207"/>
        <v>2.4692800000000004</v>
      </c>
      <c r="M172" s="510">
        <f t="shared" si="207"/>
        <v>2.4692800000000004</v>
      </c>
      <c r="N172" s="510">
        <f t="shared" si="207"/>
        <v>2.4692800000000004</v>
      </c>
      <c r="O172" s="510">
        <f t="shared" si="207"/>
        <v>2.4692800000000004</v>
      </c>
      <c r="P172" s="510">
        <f t="shared" si="207"/>
        <v>2.4692800000000004</v>
      </c>
    </row>
    <row r="173" spans="1:24" s="247" customFormat="1" x14ac:dyDescent="0.2">
      <c r="A173" s="244"/>
      <c r="B173" s="248" t="s">
        <v>382</v>
      </c>
      <c r="C173" s="507">
        <f>+'[4]4.4.Р_т'!$H$12</f>
        <v>2.7729516000000003</v>
      </c>
      <c r="D173" s="507">
        <f>+'[4]4.4.Р_т'!$R$12</f>
        <v>3.1632800000000003</v>
      </c>
      <c r="E173" s="510">
        <f>+D173</f>
        <v>3.1632800000000003</v>
      </c>
      <c r="F173" s="510">
        <f t="shared" ref="F173:P174" si="208">+E173</f>
        <v>3.1632800000000003</v>
      </c>
      <c r="G173" s="510">
        <f t="shared" si="208"/>
        <v>3.1632800000000003</v>
      </c>
      <c r="H173" s="510">
        <f>+G173</f>
        <v>3.1632800000000003</v>
      </c>
      <c r="I173" s="510">
        <f t="shared" si="208"/>
        <v>3.1632800000000003</v>
      </c>
      <c r="J173" s="510">
        <f t="shared" si="208"/>
        <v>3.1632800000000003</v>
      </c>
      <c r="K173" s="510">
        <f t="shared" si="208"/>
        <v>3.1632800000000003</v>
      </c>
      <c r="L173" s="510">
        <f t="shared" si="208"/>
        <v>3.1632800000000003</v>
      </c>
      <c r="M173" s="510">
        <f t="shared" si="208"/>
        <v>3.1632800000000003</v>
      </c>
      <c r="N173" s="510">
        <f t="shared" si="208"/>
        <v>3.1632800000000003</v>
      </c>
      <c r="O173" s="510">
        <f t="shared" si="208"/>
        <v>3.1632800000000003</v>
      </c>
      <c r="P173" s="510">
        <f t="shared" si="208"/>
        <v>3.1632800000000003</v>
      </c>
    </row>
    <row r="174" spans="1:24" s="247" customFormat="1" ht="33.75" x14ac:dyDescent="0.2">
      <c r="A174" s="244"/>
      <c r="B174" s="248" t="s">
        <v>506</v>
      </c>
      <c r="C174" s="508"/>
      <c r="D174" s="508"/>
      <c r="E174" s="520"/>
      <c r="F174" s="521"/>
      <c r="G174" s="521"/>
      <c r="H174" s="521"/>
      <c r="I174" s="522">
        <v>-0.69399999999999995</v>
      </c>
      <c r="J174" s="523">
        <f>+I174</f>
        <v>-0.69399999999999995</v>
      </c>
      <c r="K174" s="523">
        <f t="shared" si="208"/>
        <v>-0.69399999999999995</v>
      </c>
      <c r="L174" s="523">
        <f t="shared" si="208"/>
        <v>-0.69399999999999995</v>
      </c>
      <c r="M174" s="523">
        <f t="shared" si="208"/>
        <v>-0.69399999999999995</v>
      </c>
      <c r="N174" s="523">
        <f t="shared" si="208"/>
        <v>-0.69399999999999995</v>
      </c>
      <c r="O174" s="523">
        <f t="shared" si="208"/>
        <v>-0.69399999999999995</v>
      </c>
      <c r="P174" s="523">
        <f t="shared" si="208"/>
        <v>-0.69399999999999995</v>
      </c>
    </row>
    <row r="175" spans="1:24" s="11" customFormat="1" ht="22.5" x14ac:dyDescent="0.2">
      <c r="A175" s="2"/>
      <c r="B175" s="44" t="s">
        <v>370</v>
      </c>
      <c r="C175" s="505"/>
      <c r="D175" s="505"/>
      <c r="E175" s="284"/>
      <c r="F175" s="284"/>
      <c r="G175" s="284"/>
      <c r="H175" s="284"/>
      <c r="I175" s="284"/>
      <c r="J175" s="284"/>
      <c r="K175" s="284"/>
      <c r="L175" s="284"/>
      <c r="M175" s="284"/>
      <c r="N175" s="284"/>
      <c r="O175" s="284"/>
      <c r="P175" s="284"/>
    </row>
    <row r="176" spans="1:24" s="11" customFormat="1" x14ac:dyDescent="0.2">
      <c r="A176" s="2"/>
      <c r="B176" s="44" t="s">
        <v>371</v>
      </c>
      <c r="C176" s="504">
        <f>SUM(C177:C179)</f>
        <v>2.4243749999999999</v>
      </c>
      <c r="D176" s="504">
        <f t="shared" ref="D176:P176" si="209">SUM(D177:D179)</f>
        <v>2.9618799999999998</v>
      </c>
      <c r="E176" s="504">
        <f t="shared" si="209"/>
        <v>2.9618799999999998</v>
      </c>
      <c r="F176" s="504">
        <f t="shared" si="209"/>
        <v>2.7941799999999999</v>
      </c>
      <c r="G176" s="504">
        <f t="shared" si="209"/>
        <v>2.7941799999999999</v>
      </c>
      <c r="H176" s="504">
        <f t="shared" si="209"/>
        <v>2.7941799999999999</v>
      </c>
      <c r="I176" s="504">
        <f t="shared" si="209"/>
        <v>2.7941799999999999</v>
      </c>
      <c r="J176" s="504">
        <f t="shared" si="209"/>
        <v>2.7941799999999999</v>
      </c>
      <c r="K176" s="504">
        <f t="shared" si="209"/>
        <v>2.7941799999999999</v>
      </c>
      <c r="L176" s="504">
        <f t="shared" si="209"/>
        <v>2.7941799999999999</v>
      </c>
      <c r="M176" s="504">
        <f t="shared" si="209"/>
        <v>2.7941799999999999</v>
      </c>
      <c r="N176" s="504">
        <f t="shared" si="209"/>
        <v>2.7941799999999999</v>
      </c>
      <c r="O176" s="504">
        <f t="shared" si="209"/>
        <v>2.7941799999999999</v>
      </c>
      <c r="P176" s="504">
        <f t="shared" si="209"/>
        <v>2.7941799999999999</v>
      </c>
    </row>
    <row r="177" spans="1:16" s="235" customFormat="1" x14ac:dyDescent="0.2">
      <c r="A177" s="558"/>
      <c r="B177" s="248" t="s">
        <v>382</v>
      </c>
      <c r="C177" s="507">
        <f>+'[4]4.4.Р_т'!$J$12</f>
        <v>2.4243749999999999</v>
      </c>
      <c r="D177" s="507">
        <f>+'[4]4.4.Р_т'!$T$12</f>
        <v>2.9618799999999998</v>
      </c>
      <c r="E177" s="510">
        <f>+D177</f>
        <v>2.9618799999999998</v>
      </c>
      <c r="F177" s="510">
        <f t="shared" ref="F177" si="210">+E177</f>
        <v>2.9618799999999998</v>
      </c>
      <c r="G177" s="510">
        <f t="shared" ref="G177" si="211">+F177</f>
        <v>2.9618799999999998</v>
      </c>
      <c r="H177" s="510">
        <f t="shared" ref="H177:H178" si="212">+G177</f>
        <v>2.9618799999999998</v>
      </c>
      <c r="I177" s="510">
        <f t="shared" ref="I177:I178" si="213">+H177</f>
        <v>2.9618799999999998</v>
      </c>
      <c r="J177" s="510">
        <f t="shared" ref="J177:J178" si="214">+I177</f>
        <v>2.9618799999999998</v>
      </c>
      <c r="K177" s="510">
        <f t="shared" ref="K177:K178" si="215">+J177</f>
        <v>2.9618799999999998</v>
      </c>
      <c r="L177" s="510">
        <f t="shared" ref="L177:L178" si="216">+K177</f>
        <v>2.9618799999999998</v>
      </c>
      <c r="M177" s="510">
        <f t="shared" ref="M177:M178" si="217">+L177</f>
        <v>2.9618799999999998</v>
      </c>
      <c r="N177" s="510">
        <f t="shared" ref="N177:N178" si="218">+M177</f>
        <v>2.9618799999999998</v>
      </c>
      <c r="O177" s="510">
        <f t="shared" ref="O177:O178" si="219">+N177</f>
        <v>2.9618799999999998</v>
      </c>
      <c r="P177" s="510">
        <f t="shared" ref="P177:P178" si="220">+O177</f>
        <v>2.9618799999999998</v>
      </c>
    </row>
    <row r="178" spans="1:16" s="235" customFormat="1" ht="33.75" x14ac:dyDescent="0.2">
      <c r="A178" s="558"/>
      <c r="B178" s="559" t="s">
        <v>527</v>
      </c>
      <c r="C178" s="560"/>
      <c r="D178" s="560"/>
      <c r="E178" s="560"/>
      <c r="F178" s="561">
        <v>-0.16769999999999999</v>
      </c>
      <c r="G178" s="523">
        <f>+F178</f>
        <v>-0.16769999999999999</v>
      </c>
      <c r="H178" s="523">
        <f t="shared" si="212"/>
        <v>-0.16769999999999999</v>
      </c>
      <c r="I178" s="523">
        <f t="shared" si="213"/>
        <v>-0.16769999999999999</v>
      </c>
      <c r="J178" s="523">
        <f t="shared" si="214"/>
        <v>-0.16769999999999999</v>
      </c>
      <c r="K178" s="523">
        <f t="shared" si="215"/>
        <v>-0.16769999999999999</v>
      </c>
      <c r="L178" s="523">
        <f t="shared" si="216"/>
        <v>-0.16769999999999999</v>
      </c>
      <c r="M178" s="523">
        <f t="shared" si="217"/>
        <v>-0.16769999999999999</v>
      </c>
      <c r="N178" s="523">
        <f t="shared" si="218"/>
        <v>-0.16769999999999999</v>
      </c>
      <c r="O178" s="523">
        <f t="shared" si="219"/>
        <v>-0.16769999999999999</v>
      </c>
      <c r="P178" s="523">
        <f t="shared" si="220"/>
        <v>-0.16769999999999999</v>
      </c>
    </row>
    <row r="179" spans="1:16" s="235" customFormat="1" x14ac:dyDescent="0.2">
      <c r="A179" s="558"/>
      <c r="B179" s="262"/>
      <c r="C179" s="560"/>
      <c r="D179" s="560"/>
      <c r="E179" s="560"/>
      <c r="F179" s="560"/>
      <c r="G179" s="560"/>
      <c r="H179" s="560"/>
      <c r="I179" s="560"/>
      <c r="J179" s="560"/>
      <c r="K179" s="560"/>
      <c r="L179" s="560"/>
      <c r="M179" s="560"/>
      <c r="N179" s="560"/>
      <c r="O179" s="560"/>
      <c r="P179" s="560"/>
    </row>
    <row r="180" spans="1:16" s="11" customFormat="1" x14ac:dyDescent="0.2">
      <c r="A180" s="2"/>
      <c r="B180" s="44" t="s">
        <v>383</v>
      </c>
      <c r="C180" s="504">
        <f>SUM(C181:C183)</f>
        <v>2.5139445550000001</v>
      </c>
      <c r="D180" s="504">
        <f t="shared" ref="D180" si="221">SUM(D181:D183)</f>
        <v>2.4136500000000001</v>
      </c>
      <c r="E180" s="504">
        <f t="shared" ref="E180" si="222">SUM(E181:E183)</f>
        <v>2.4136500000000001</v>
      </c>
      <c r="F180" s="504">
        <f t="shared" ref="F180" si="223">SUM(F181:F183)</f>
        <v>2.4136500000000001</v>
      </c>
      <c r="G180" s="504">
        <f t="shared" ref="G180" si="224">SUM(G181:G183)</f>
        <v>2.04765</v>
      </c>
      <c r="H180" s="504">
        <f t="shared" ref="H180" si="225">SUM(H181:H183)</f>
        <v>2.04765</v>
      </c>
      <c r="I180" s="504">
        <f t="shared" ref="I180" si="226">SUM(I181:I183)</f>
        <v>2.04765</v>
      </c>
      <c r="J180" s="504">
        <f t="shared" ref="J180" si="227">SUM(J181:J183)</f>
        <v>1.7822900000000002</v>
      </c>
      <c r="K180" s="504">
        <f t="shared" ref="K180" si="228">SUM(K181:K183)</f>
        <v>1.7822900000000002</v>
      </c>
      <c r="L180" s="504">
        <f t="shared" ref="L180" si="229">SUM(L181:L183)</f>
        <v>1.7822900000000002</v>
      </c>
      <c r="M180" s="504">
        <f t="shared" ref="M180" si="230">SUM(M181:M183)</f>
        <v>1.7822900000000002</v>
      </c>
      <c r="N180" s="504">
        <f t="shared" ref="N180" si="231">SUM(N181:N183)</f>
        <v>1.7822900000000002</v>
      </c>
      <c r="O180" s="504">
        <f t="shared" ref="O180" si="232">SUM(O181:O183)</f>
        <v>1.7822900000000002</v>
      </c>
      <c r="P180" s="504">
        <f t="shared" ref="P180" si="233">SUM(P181:P183)</f>
        <v>1.7822900000000002</v>
      </c>
    </row>
    <row r="181" spans="1:16" s="235" customFormat="1" x14ac:dyDescent="0.2">
      <c r="A181" s="558"/>
      <c r="B181" s="248" t="s">
        <v>382</v>
      </c>
      <c r="C181" s="507">
        <f>+'[4]4.4.Р_т'!$L$12</f>
        <v>2.5139445550000001</v>
      </c>
      <c r="D181" s="507">
        <f>+'[4]4.4.Р_т'!$V$12</f>
        <v>2.4136500000000001</v>
      </c>
      <c r="E181" s="510">
        <f>+D181</f>
        <v>2.4136500000000001</v>
      </c>
      <c r="F181" s="510">
        <f t="shared" ref="E181:P197" si="234">+E181</f>
        <v>2.4136500000000001</v>
      </c>
      <c r="G181" s="510">
        <f t="shared" si="234"/>
        <v>2.4136500000000001</v>
      </c>
      <c r="H181" s="510">
        <f t="shared" si="234"/>
        <v>2.4136500000000001</v>
      </c>
      <c r="I181" s="510">
        <f t="shared" si="234"/>
        <v>2.4136500000000001</v>
      </c>
      <c r="J181" s="510">
        <f t="shared" si="234"/>
        <v>2.4136500000000001</v>
      </c>
      <c r="K181" s="510">
        <f t="shared" si="234"/>
        <v>2.4136500000000001</v>
      </c>
      <c r="L181" s="510">
        <f t="shared" si="234"/>
        <v>2.4136500000000001</v>
      </c>
      <c r="M181" s="510">
        <f t="shared" si="234"/>
        <v>2.4136500000000001</v>
      </c>
      <c r="N181" s="510">
        <f t="shared" si="234"/>
        <v>2.4136500000000001</v>
      </c>
      <c r="O181" s="510">
        <f t="shared" si="234"/>
        <v>2.4136500000000001</v>
      </c>
      <c r="P181" s="510">
        <f t="shared" si="234"/>
        <v>2.4136500000000001</v>
      </c>
    </row>
    <row r="182" spans="1:16" s="235" customFormat="1" ht="45" x14ac:dyDescent="0.2">
      <c r="A182" s="558"/>
      <c r="B182" s="559" t="s">
        <v>528</v>
      </c>
      <c r="C182" s="560"/>
      <c r="D182" s="560"/>
      <c r="E182" s="560"/>
      <c r="F182" s="560"/>
      <c r="G182" s="561">
        <v>-0.36599999999999999</v>
      </c>
      <c r="H182" s="523">
        <f t="shared" si="234"/>
        <v>-0.36599999999999999</v>
      </c>
      <c r="I182" s="523">
        <f t="shared" si="234"/>
        <v>-0.36599999999999999</v>
      </c>
      <c r="J182" s="561">
        <f>-0.26536+I182</f>
        <v>-0.63135999999999992</v>
      </c>
      <c r="K182" s="523">
        <f t="shared" si="234"/>
        <v>-0.63135999999999992</v>
      </c>
      <c r="L182" s="523">
        <f t="shared" ref="L182" si="235">+K182</f>
        <v>-0.63135999999999992</v>
      </c>
      <c r="M182" s="523">
        <f t="shared" ref="M182" si="236">+L182</f>
        <v>-0.63135999999999992</v>
      </c>
      <c r="N182" s="523">
        <f t="shared" ref="N182" si="237">+M182</f>
        <v>-0.63135999999999992</v>
      </c>
      <c r="O182" s="523">
        <f t="shared" ref="O182" si="238">+N182</f>
        <v>-0.63135999999999992</v>
      </c>
      <c r="P182" s="523">
        <f t="shared" ref="P182" si="239">+O182</f>
        <v>-0.63135999999999992</v>
      </c>
    </row>
    <row r="183" spans="1:16" s="235" customFormat="1" x14ac:dyDescent="0.2">
      <c r="A183" s="558"/>
      <c r="B183" s="262"/>
      <c r="C183" s="560"/>
      <c r="D183" s="560"/>
      <c r="E183" s="560"/>
      <c r="F183" s="560"/>
      <c r="G183" s="560"/>
      <c r="H183" s="560"/>
      <c r="I183" s="560"/>
      <c r="J183" s="560"/>
      <c r="K183" s="560"/>
      <c r="L183" s="560"/>
      <c r="M183" s="560"/>
      <c r="N183" s="560"/>
      <c r="O183" s="560"/>
      <c r="P183" s="560"/>
    </row>
    <row r="184" spans="1:16" s="11" customFormat="1" x14ac:dyDescent="0.2">
      <c r="A184" s="2"/>
      <c r="B184" s="44" t="s">
        <v>372</v>
      </c>
      <c r="C184" s="507">
        <f>+'[4]+Лок.к.'!$E$5</f>
        <v>4.4743999999999999E-2</v>
      </c>
      <c r="D184" s="507">
        <f>+'[4]+Лок.к.'!$S$5</f>
        <v>1.7171832387503586E-2</v>
      </c>
      <c r="E184" s="510">
        <f t="shared" si="234"/>
        <v>1.7171832387503586E-2</v>
      </c>
      <c r="F184" s="510">
        <f t="shared" si="234"/>
        <v>1.7171832387503586E-2</v>
      </c>
      <c r="G184" s="510">
        <f t="shared" si="234"/>
        <v>1.7171832387503586E-2</v>
      </c>
      <c r="H184" s="510">
        <f t="shared" si="234"/>
        <v>1.7171832387503586E-2</v>
      </c>
      <c r="I184" s="510">
        <f t="shared" si="234"/>
        <v>1.7171832387503586E-2</v>
      </c>
      <c r="J184" s="510">
        <f t="shared" si="234"/>
        <v>1.7171832387503586E-2</v>
      </c>
      <c r="K184" s="510">
        <f t="shared" si="234"/>
        <v>1.7171832387503586E-2</v>
      </c>
      <c r="L184" s="510">
        <f t="shared" si="234"/>
        <v>1.7171832387503586E-2</v>
      </c>
      <c r="M184" s="510">
        <f t="shared" si="234"/>
        <v>1.7171832387503586E-2</v>
      </c>
      <c r="N184" s="510">
        <f t="shared" si="234"/>
        <v>1.7171832387503586E-2</v>
      </c>
      <c r="O184" s="510">
        <f t="shared" si="234"/>
        <v>1.7171832387503586E-2</v>
      </c>
      <c r="P184" s="510">
        <f t="shared" si="234"/>
        <v>1.7171832387503586E-2</v>
      </c>
    </row>
    <row r="185" spans="1:16" s="11" customFormat="1" x14ac:dyDescent="0.2">
      <c r="A185" s="2"/>
      <c r="B185" s="496" t="s">
        <v>476</v>
      </c>
      <c r="C185" s="507">
        <f>+'[4]4.4.Р_т'!$K$12</f>
        <v>5.2640104999999995</v>
      </c>
      <c r="D185" s="507">
        <f>+'[4]4.4.Р_т'!$U$12</f>
        <v>12.46</v>
      </c>
      <c r="E185" s="510">
        <f t="shared" si="234"/>
        <v>12.46</v>
      </c>
      <c r="F185" s="510">
        <f t="shared" si="234"/>
        <v>12.46</v>
      </c>
      <c r="G185" s="510">
        <f t="shared" si="234"/>
        <v>12.46</v>
      </c>
      <c r="H185" s="510">
        <f t="shared" si="234"/>
        <v>12.46</v>
      </c>
      <c r="I185" s="510">
        <f t="shared" si="234"/>
        <v>12.46</v>
      </c>
      <c r="J185" s="510">
        <f t="shared" si="234"/>
        <v>12.46</v>
      </c>
      <c r="K185" s="510">
        <f t="shared" si="234"/>
        <v>12.46</v>
      </c>
      <c r="L185" s="510">
        <f t="shared" si="234"/>
        <v>12.46</v>
      </c>
      <c r="M185" s="510">
        <f t="shared" si="234"/>
        <v>12.46</v>
      </c>
      <c r="N185" s="510">
        <f t="shared" si="234"/>
        <v>12.46</v>
      </c>
      <c r="O185" s="510">
        <f t="shared" si="234"/>
        <v>12.46</v>
      </c>
      <c r="P185" s="510">
        <f t="shared" si="234"/>
        <v>12.46</v>
      </c>
    </row>
    <row r="186" spans="1:16" s="11" customFormat="1" x14ac:dyDescent="0.2">
      <c r="A186" s="2"/>
      <c r="B186" s="496" t="s">
        <v>147</v>
      </c>
      <c r="C186" s="507">
        <f>+'[4]+Лок.к.'!$F$5</f>
        <v>0.21540675000000001</v>
      </c>
      <c r="D186" s="507">
        <f>+'[4]+Лок.к.'!$T$5</f>
        <v>0.51</v>
      </c>
      <c r="E186" s="510">
        <f t="shared" si="234"/>
        <v>0.51</v>
      </c>
      <c r="F186" s="510">
        <f t="shared" si="234"/>
        <v>0.51</v>
      </c>
      <c r="G186" s="510">
        <f t="shared" si="234"/>
        <v>0.51</v>
      </c>
      <c r="H186" s="510">
        <f t="shared" si="234"/>
        <v>0.51</v>
      </c>
      <c r="I186" s="510">
        <f t="shared" si="234"/>
        <v>0.51</v>
      </c>
      <c r="J186" s="510">
        <f t="shared" si="234"/>
        <v>0.51</v>
      </c>
      <c r="K186" s="510">
        <f t="shared" si="234"/>
        <v>0.51</v>
      </c>
      <c r="L186" s="510">
        <f t="shared" si="234"/>
        <v>0.51</v>
      </c>
      <c r="M186" s="510">
        <f t="shared" si="234"/>
        <v>0.51</v>
      </c>
      <c r="N186" s="510">
        <f t="shared" si="234"/>
        <v>0.51</v>
      </c>
      <c r="O186" s="510">
        <f t="shared" si="234"/>
        <v>0.51</v>
      </c>
      <c r="P186" s="510">
        <f t="shared" si="234"/>
        <v>0.51</v>
      </c>
    </row>
    <row r="187" spans="1:16" s="11" customFormat="1" x14ac:dyDescent="0.2">
      <c r="A187" s="2"/>
      <c r="B187" s="496" t="s">
        <v>148</v>
      </c>
      <c r="C187" s="507">
        <f>+'[4]+Лок.к.'!$G$5</f>
        <v>1.6034000000000001E-3</v>
      </c>
      <c r="D187" s="507">
        <f>+'[4]+Лок.к.'!$U$5</f>
        <v>0.02</v>
      </c>
      <c r="E187" s="510">
        <f t="shared" si="234"/>
        <v>0.02</v>
      </c>
      <c r="F187" s="510">
        <f t="shared" si="234"/>
        <v>0.02</v>
      </c>
      <c r="G187" s="510">
        <f t="shared" si="234"/>
        <v>0.02</v>
      </c>
      <c r="H187" s="510">
        <f t="shared" si="234"/>
        <v>0.02</v>
      </c>
      <c r="I187" s="510">
        <f t="shared" si="234"/>
        <v>0.02</v>
      </c>
      <c r="J187" s="510">
        <f t="shared" si="234"/>
        <v>0.02</v>
      </c>
      <c r="K187" s="510">
        <f t="shared" si="234"/>
        <v>0.02</v>
      </c>
      <c r="L187" s="510">
        <f t="shared" si="234"/>
        <v>0.02</v>
      </c>
      <c r="M187" s="510">
        <f t="shared" si="234"/>
        <v>0.02</v>
      </c>
      <c r="N187" s="510">
        <f t="shared" si="234"/>
        <v>0.02</v>
      </c>
      <c r="O187" s="510">
        <f t="shared" si="234"/>
        <v>0.02</v>
      </c>
      <c r="P187" s="510">
        <f t="shared" si="234"/>
        <v>0.02</v>
      </c>
    </row>
    <row r="188" spans="1:16" s="11" customFormat="1" x14ac:dyDescent="0.2">
      <c r="A188" s="2"/>
      <c r="B188" s="496" t="s">
        <v>478</v>
      </c>
      <c r="C188" s="507">
        <f>+'[4]+Лок.к.'!$H$5</f>
        <v>0</v>
      </c>
      <c r="D188" s="507">
        <f>+'[4]+Лок.к.'!$V$5</f>
        <v>0.02</v>
      </c>
      <c r="E188" s="510">
        <f t="shared" si="234"/>
        <v>0.02</v>
      </c>
      <c r="F188" s="510">
        <f t="shared" si="234"/>
        <v>0.02</v>
      </c>
      <c r="G188" s="510">
        <f t="shared" si="234"/>
        <v>0.02</v>
      </c>
      <c r="H188" s="510">
        <f t="shared" si="234"/>
        <v>0.02</v>
      </c>
      <c r="I188" s="510">
        <f t="shared" si="234"/>
        <v>0.02</v>
      </c>
      <c r="J188" s="510">
        <f t="shared" si="234"/>
        <v>0.02</v>
      </c>
      <c r="K188" s="510">
        <f t="shared" si="234"/>
        <v>0.02</v>
      </c>
      <c r="L188" s="510">
        <f t="shared" si="234"/>
        <v>0.02</v>
      </c>
      <c r="M188" s="510">
        <f t="shared" si="234"/>
        <v>0.02</v>
      </c>
      <c r="N188" s="510">
        <f t="shared" si="234"/>
        <v>0.02</v>
      </c>
      <c r="O188" s="510">
        <f t="shared" si="234"/>
        <v>0.02</v>
      </c>
      <c r="P188" s="510">
        <f t="shared" si="234"/>
        <v>0.02</v>
      </c>
    </row>
    <row r="189" spans="1:16" s="11" customFormat="1" x14ac:dyDescent="0.2">
      <c r="A189" s="2"/>
      <c r="B189" s="496" t="s">
        <v>479</v>
      </c>
      <c r="C189" s="507">
        <f>+'[4]+Лок.к.'!$I$5</f>
        <v>1.2860360000000001E-2</v>
      </c>
      <c r="D189" s="507">
        <f>+'[4]+Лок.к.'!$W$5</f>
        <v>0.09</v>
      </c>
      <c r="E189" s="510">
        <f t="shared" si="234"/>
        <v>0.09</v>
      </c>
      <c r="F189" s="510">
        <f t="shared" si="234"/>
        <v>0.09</v>
      </c>
      <c r="G189" s="510">
        <f t="shared" si="234"/>
        <v>0.09</v>
      </c>
      <c r="H189" s="510">
        <f t="shared" si="234"/>
        <v>0.09</v>
      </c>
      <c r="I189" s="510">
        <f t="shared" si="234"/>
        <v>0.09</v>
      </c>
      <c r="J189" s="510">
        <f t="shared" si="234"/>
        <v>0.09</v>
      </c>
      <c r="K189" s="510">
        <f t="shared" si="234"/>
        <v>0.09</v>
      </c>
      <c r="L189" s="510">
        <f t="shared" si="234"/>
        <v>0.09</v>
      </c>
      <c r="M189" s="510">
        <f t="shared" si="234"/>
        <v>0.09</v>
      </c>
      <c r="N189" s="510">
        <f t="shared" si="234"/>
        <v>0.09</v>
      </c>
      <c r="O189" s="510">
        <f t="shared" si="234"/>
        <v>0.09</v>
      </c>
      <c r="P189" s="510">
        <f t="shared" si="234"/>
        <v>0.09</v>
      </c>
    </row>
    <row r="190" spans="1:16" s="11" customFormat="1" x14ac:dyDescent="0.2">
      <c r="A190" s="2"/>
      <c r="B190" s="496" t="s">
        <v>480</v>
      </c>
      <c r="C190" s="507">
        <f>+'[4]+Лок.к.'!$J$5</f>
        <v>3.4638500000000005E-3</v>
      </c>
      <c r="D190" s="507">
        <f>+'[4]+Лок.к.'!$X$5</f>
        <v>0.01</v>
      </c>
      <c r="E190" s="510">
        <f t="shared" si="234"/>
        <v>0.01</v>
      </c>
      <c r="F190" s="510">
        <f t="shared" si="234"/>
        <v>0.01</v>
      </c>
      <c r="G190" s="510">
        <f t="shared" si="234"/>
        <v>0.01</v>
      </c>
      <c r="H190" s="510">
        <f t="shared" si="234"/>
        <v>0.01</v>
      </c>
      <c r="I190" s="510">
        <f t="shared" si="234"/>
        <v>0.01</v>
      </c>
      <c r="J190" s="510">
        <f t="shared" si="234"/>
        <v>0.01</v>
      </c>
      <c r="K190" s="510">
        <f t="shared" si="234"/>
        <v>0.01</v>
      </c>
      <c r="L190" s="510">
        <f t="shared" si="234"/>
        <v>0.01</v>
      </c>
      <c r="M190" s="510">
        <f t="shared" si="234"/>
        <v>0.01</v>
      </c>
      <c r="N190" s="510">
        <f t="shared" si="234"/>
        <v>0.01</v>
      </c>
      <c r="O190" s="510">
        <f t="shared" si="234"/>
        <v>0.01</v>
      </c>
      <c r="P190" s="510">
        <f t="shared" si="234"/>
        <v>0.01</v>
      </c>
    </row>
    <row r="191" spans="1:16" s="11" customFormat="1" x14ac:dyDescent="0.2">
      <c r="A191" s="2"/>
      <c r="B191" s="496" t="s">
        <v>149</v>
      </c>
      <c r="C191" s="507">
        <f>+'[4]+Лок.к.'!$K$5</f>
        <v>2.63935E-2</v>
      </c>
      <c r="D191" s="507">
        <f>+'[4]+Лок.к.'!$Y$5</f>
        <v>0.04</v>
      </c>
      <c r="E191" s="510">
        <f t="shared" si="234"/>
        <v>0.04</v>
      </c>
      <c r="F191" s="510">
        <f t="shared" si="234"/>
        <v>0.04</v>
      </c>
      <c r="G191" s="510">
        <f t="shared" si="234"/>
        <v>0.04</v>
      </c>
      <c r="H191" s="510">
        <f t="shared" si="234"/>
        <v>0.04</v>
      </c>
      <c r="I191" s="510">
        <f t="shared" si="234"/>
        <v>0.04</v>
      </c>
      <c r="J191" s="510">
        <f t="shared" si="234"/>
        <v>0.04</v>
      </c>
      <c r="K191" s="510">
        <f t="shared" si="234"/>
        <v>0.04</v>
      </c>
      <c r="L191" s="510">
        <f t="shared" si="234"/>
        <v>0.04</v>
      </c>
      <c r="M191" s="510">
        <f t="shared" si="234"/>
        <v>0.04</v>
      </c>
      <c r="N191" s="510">
        <f t="shared" si="234"/>
        <v>0.04</v>
      </c>
      <c r="O191" s="510">
        <f t="shared" si="234"/>
        <v>0.04</v>
      </c>
      <c r="P191" s="510">
        <f t="shared" si="234"/>
        <v>0.04</v>
      </c>
    </row>
    <row r="192" spans="1:16" s="11" customFormat="1" x14ac:dyDescent="0.2">
      <c r="A192" s="2"/>
      <c r="B192" s="496" t="s">
        <v>481</v>
      </c>
      <c r="C192" s="507">
        <f>+'[4]+Лок.к.'!$L$5</f>
        <v>0.11810292999999999</v>
      </c>
      <c r="D192" s="507">
        <f>+'[4]+Лок.к.'!$Z$5</f>
        <v>0.41</v>
      </c>
      <c r="E192" s="510">
        <f t="shared" si="234"/>
        <v>0.41</v>
      </c>
      <c r="F192" s="510">
        <f t="shared" si="234"/>
        <v>0.41</v>
      </c>
      <c r="G192" s="510">
        <f t="shared" si="234"/>
        <v>0.41</v>
      </c>
      <c r="H192" s="510">
        <f t="shared" si="234"/>
        <v>0.41</v>
      </c>
      <c r="I192" s="510">
        <f t="shared" si="234"/>
        <v>0.41</v>
      </c>
      <c r="J192" s="510">
        <f t="shared" si="234"/>
        <v>0.41</v>
      </c>
      <c r="K192" s="510">
        <f t="shared" si="234"/>
        <v>0.41</v>
      </c>
      <c r="L192" s="510">
        <f t="shared" si="234"/>
        <v>0.41</v>
      </c>
      <c r="M192" s="510">
        <f t="shared" si="234"/>
        <v>0.41</v>
      </c>
      <c r="N192" s="510">
        <f t="shared" si="234"/>
        <v>0.41</v>
      </c>
      <c r="O192" s="510">
        <f t="shared" si="234"/>
        <v>0.41</v>
      </c>
      <c r="P192" s="510">
        <f t="shared" si="234"/>
        <v>0.41</v>
      </c>
    </row>
    <row r="193" spans="1:19" s="11" customFormat="1" x14ac:dyDescent="0.2">
      <c r="A193" s="2"/>
      <c r="B193" s="496" t="s">
        <v>483</v>
      </c>
      <c r="C193" s="507">
        <f>+'[4]+Лок.к.'!$M$5</f>
        <v>3.0023500000000002E-2</v>
      </c>
      <c r="D193" s="507">
        <f>+'[4]+Лок.к.'!$AA$5</f>
        <v>0.31</v>
      </c>
      <c r="E193" s="510">
        <f t="shared" si="234"/>
        <v>0.31</v>
      </c>
      <c r="F193" s="510">
        <f t="shared" si="234"/>
        <v>0.31</v>
      </c>
      <c r="G193" s="510">
        <f t="shared" si="234"/>
        <v>0.31</v>
      </c>
      <c r="H193" s="510">
        <f t="shared" si="234"/>
        <v>0.31</v>
      </c>
      <c r="I193" s="510">
        <f t="shared" si="234"/>
        <v>0.31</v>
      </c>
      <c r="J193" s="510">
        <f t="shared" si="234"/>
        <v>0.31</v>
      </c>
      <c r="K193" s="510">
        <f t="shared" si="234"/>
        <v>0.31</v>
      </c>
      <c r="L193" s="510">
        <f t="shared" si="234"/>
        <v>0.31</v>
      </c>
      <c r="M193" s="510">
        <f t="shared" si="234"/>
        <v>0.31</v>
      </c>
      <c r="N193" s="510">
        <f t="shared" si="234"/>
        <v>0.31</v>
      </c>
      <c r="O193" s="510">
        <f t="shared" si="234"/>
        <v>0.31</v>
      </c>
      <c r="P193" s="510">
        <f t="shared" si="234"/>
        <v>0.31</v>
      </c>
    </row>
    <row r="194" spans="1:19" s="11" customFormat="1" x14ac:dyDescent="0.2">
      <c r="A194" s="2"/>
      <c r="B194" s="496" t="s">
        <v>484</v>
      </c>
      <c r="C194" s="507">
        <f>+'[4]+Лок.к.'!$N$5</f>
        <v>0.29496819000000002</v>
      </c>
      <c r="D194" s="507">
        <f>+'[4]+Лок.к.'!$AB$5</f>
        <v>0.91</v>
      </c>
      <c r="E194" s="510">
        <f t="shared" si="234"/>
        <v>0.91</v>
      </c>
      <c r="F194" s="510">
        <f t="shared" si="234"/>
        <v>0.91</v>
      </c>
      <c r="G194" s="510">
        <f t="shared" si="234"/>
        <v>0.91</v>
      </c>
      <c r="H194" s="510">
        <f t="shared" si="234"/>
        <v>0.91</v>
      </c>
      <c r="I194" s="510">
        <f t="shared" si="234"/>
        <v>0.91</v>
      </c>
      <c r="J194" s="510">
        <f t="shared" si="234"/>
        <v>0.91</v>
      </c>
      <c r="K194" s="510">
        <f t="shared" si="234"/>
        <v>0.91</v>
      </c>
      <c r="L194" s="510">
        <f t="shared" si="234"/>
        <v>0.91</v>
      </c>
      <c r="M194" s="510">
        <f t="shared" si="234"/>
        <v>0.91</v>
      </c>
      <c r="N194" s="510">
        <f t="shared" si="234"/>
        <v>0.91</v>
      </c>
      <c r="O194" s="510">
        <f t="shared" si="234"/>
        <v>0.91</v>
      </c>
      <c r="P194" s="510">
        <f t="shared" si="234"/>
        <v>0.91</v>
      </c>
    </row>
    <row r="195" spans="1:19" s="11" customFormat="1" x14ac:dyDescent="0.2">
      <c r="A195" s="2"/>
      <c r="B195" s="496" t="s">
        <v>485</v>
      </c>
      <c r="C195" s="507">
        <f>+'[4]+Лок.к.'!$O$5</f>
        <v>0.28653876</v>
      </c>
      <c r="D195" s="507">
        <f>+'[4]+Лок.к.'!$AC$5</f>
        <v>0.55000000000000004</v>
      </c>
      <c r="E195" s="510">
        <f t="shared" si="234"/>
        <v>0.55000000000000004</v>
      </c>
      <c r="F195" s="510">
        <f t="shared" si="234"/>
        <v>0.55000000000000004</v>
      </c>
      <c r="G195" s="510">
        <f t="shared" si="234"/>
        <v>0.55000000000000004</v>
      </c>
      <c r="H195" s="510">
        <f t="shared" si="234"/>
        <v>0.55000000000000004</v>
      </c>
      <c r="I195" s="510">
        <f t="shared" si="234"/>
        <v>0.55000000000000004</v>
      </c>
      <c r="J195" s="510">
        <f t="shared" si="234"/>
        <v>0.55000000000000004</v>
      </c>
      <c r="K195" s="510">
        <f t="shared" si="234"/>
        <v>0.55000000000000004</v>
      </c>
      <c r="L195" s="510">
        <f t="shared" si="234"/>
        <v>0.55000000000000004</v>
      </c>
      <c r="M195" s="510">
        <f t="shared" si="234"/>
        <v>0.55000000000000004</v>
      </c>
      <c r="N195" s="510">
        <f t="shared" si="234"/>
        <v>0.55000000000000004</v>
      </c>
      <c r="O195" s="510">
        <f t="shared" si="234"/>
        <v>0.55000000000000004</v>
      </c>
      <c r="P195" s="510">
        <f t="shared" si="234"/>
        <v>0.55000000000000004</v>
      </c>
    </row>
    <row r="196" spans="1:19" s="11" customFormat="1" x14ac:dyDescent="0.2">
      <c r="A196" s="2"/>
      <c r="B196" s="496" t="s">
        <v>150</v>
      </c>
      <c r="C196" s="507">
        <f>+'[4]+Лок.к.'!$P$5</f>
        <v>0.12481544</v>
      </c>
      <c r="D196" s="507">
        <f>+'[4]+Лок.к.'!$AD$5</f>
        <v>0.22</v>
      </c>
      <c r="E196" s="510">
        <f t="shared" si="234"/>
        <v>0.22</v>
      </c>
      <c r="F196" s="510">
        <f t="shared" si="234"/>
        <v>0.22</v>
      </c>
      <c r="G196" s="510">
        <f t="shared" si="234"/>
        <v>0.22</v>
      </c>
      <c r="H196" s="510">
        <f t="shared" si="234"/>
        <v>0.22</v>
      </c>
      <c r="I196" s="510">
        <f t="shared" si="234"/>
        <v>0.22</v>
      </c>
      <c r="J196" s="510">
        <f t="shared" si="234"/>
        <v>0.22</v>
      </c>
      <c r="K196" s="510">
        <f t="shared" si="234"/>
        <v>0.22</v>
      </c>
      <c r="L196" s="510">
        <f t="shared" si="234"/>
        <v>0.22</v>
      </c>
      <c r="M196" s="510">
        <f t="shared" si="234"/>
        <v>0.22</v>
      </c>
      <c r="N196" s="510">
        <f t="shared" si="234"/>
        <v>0.22</v>
      </c>
      <c r="O196" s="510">
        <f t="shared" si="234"/>
        <v>0.22</v>
      </c>
      <c r="P196" s="510">
        <f t="shared" si="234"/>
        <v>0.22</v>
      </c>
    </row>
    <row r="197" spans="1:19" s="11" customFormat="1" x14ac:dyDescent="0.2">
      <c r="A197" s="2"/>
      <c r="B197" s="496" t="s">
        <v>486</v>
      </c>
      <c r="C197" s="507">
        <f>+'[4]+Лок.к.'!$Q$5</f>
        <v>7.6554000000000006E-3</v>
      </c>
      <c r="D197" s="507">
        <f>+'[4]+Лок.к.'!$AE$5</f>
        <v>0.01</v>
      </c>
      <c r="E197" s="510">
        <f t="shared" si="234"/>
        <v>0.01</v>
      </c>
      <c r="F197" s="510">
        <f t="shared" si="234"/>
        <v>0.01</v>
      </c>
      <c r="G197" s="510">
        <f t="shared" si="234"/>
        <v>0.01</v>
      </c>
      <c r="H197" s="510">
        <f t="shared" si="234"/>
        <v>0.01</v>
      </c>
      <c r="I197" s="510">
        <f t="shared" si="234"/>
        <v>0.01</v>
      </c>
      <c r="J197" s="510">
        <f t="shared" si="234"/>
        <v>0.01</v>
      </c>
      <c r="K197" s="510">
        <f t="shared" si="234"/>
        <v>0.01</v>
      </c>
      <c r="L197" s="510">
        <f t="shared" si="234"/>
        <v>0.01</v>
      </c>
      <c r="M197" s="510">
        <f t="shared" si="234"/>
        <v>0.01</v>
      </c>
      <c r="N197" s="510">
        <f t="shared" si="234"/>
        <v>0.01</v>
      </c>
      <c r="O197" s="510">
        <f t="shared" si="234"/>
        <v>0.01</v>
      </c>
      <c r="P197" s="510">
        <f t="shared" si="234"/>
        <v>0.01</v>
      </c>
    </row>
    <row r="198" spans="1:19" s="144" customFormat="1" x14ac:dyDescent="0.2">
      <c r="A198" s="64"/>
      <c r="B198" s="148"/>
      <c r="C198" s="509"/>
      <c r="D198" s="509"/>
      <c r="E198" s="215"/>
      <c r="F198" s="215"/>
      <c r="G198" s="215"/>
      <c r="H198" s="215"/>
      <c r="I198" s="215"/>
      <c r="J198" s="215"/>
      <c r="K198" s="215"/>
      <c r="L198" s="215"/>
      <c r="M198" s="215"/>
      <c r="N198" s="215"/>
      <c r="O198" s="215"/>
      <c r="P198" s="215"/>
      <c r="Q198" s="143"/>
      <c r="R198" s="143"/>
      <c r="S198" s="143"/>
    </row>
    <row r="199" spans="1:19" s="114" customFormat="1" x14ac:dyDescent="0.2">
      <c r="A199" s="113">
        <v>9</v>
      </c>
      <c r="B199" s="72" t="s">
        <v>496</v>
      </c>
      <c r="C199" s="78">
        <f>+Сети!C40</f>
        <v>164.92976100000001</v>
      </c>
      <c r="D199" s="78">
        <f>+Сети!D40</f>
        <v>164.92976100000001</v>
      </c>
      <c r="E199" s="78">
        <f>+Сети!E40</f>
        <v>164.92976100000001</v>
      </c>
      <c r="F199" s="78">
        <f>+Сети!F40</f>
        <v>164.92976100000001</v>
      </c>
      <c r="G199" s="78">
        <f>+Сети!G40</f>
        <v>164.92976100000001</v>
      </c>
      <c r="H199" s="78">
        <f>+Сети!H40</f>
        <v>164.92976100000001</v>
      </c>
      <c r="I199" s="78">
        <f>+Сети!I40</f>
        <v>164.92976100000001</v>
      </c>
      <c r="J199" s="78">
        <f>+Сети!J40</f>
        <v>164.92976100000001</v>
      </c>
      <c r="K199" s="78">
        <f>+Сети!K40</f>
        <v>164.92976100000001</v>
      </c>
      <c r="L199" s="78">
        <f>+Сети!L40</f>
        <v>164.92976100000001</v>
      </c>
      <c r="M199" s="78">
        <f>+Сети!M40</f>
        <v>164.92976100000001</v>
      </c>
      <c r="N199" s="78">
        <f>+Сети!N40</f>
        <v>164.92976100000001</v>
      </c>
      <c r="O199" s="78">
        <f>+Сети!O40</f>
        <v>164.92976100000001</v>
      </c>
      <c r="P199" s="78">
        <f>+Сети!P40</f>
        <v>164.92976100000001</v>
      </c>
      <c r="Q199" s="74"/>
    </row>
    <row r="200" spans="1:19" s="144" customFormat="1" x14ac:dyDescent="0.2">
      <c r="A200" s="64"/>
      <c r="B200" s="148"/>
      <c r="C200" s="215"/>
      <c r="D200" s="215"/>
      <c r="E200" s="215"/>
      <c r="F200" s="215"/>
      <c r="G200" s="387"/>
      <c r="H200" s="215"/>
      <c r="I200" s="367"/>
      <c r="J200" s="215"/>
      <c r="K200" s="215"/>
      <c r="L200" s="215"/>
      <c r="M200" s="215"/>
      <c r="N200" s="215"/>
      <c r="O200" s="215"/>
      <c r="P200" s="215"/>
      <c r="Q200" s="143"/>
    </row>
    <row r="201" spans="1:19" s="16" customFormat="1" ht="12" x14ac:dyDescent="0.2">
      <c r="A201" s="1"/>
      <c r="B201" s="250" t="s">
        <v>9</v>
      </c>
      <c r="C201" s="47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4"/>
      <c r="R201" s="24"/>
      <c r="S201" s="24"/>
    </row>
    <row r="202" spans="1:19" x14ac:dyDescent="0.2">
      <c r="A202" s="2">
        <v>15</v>
      </c>
      <c r="B202" s="80" t="s">
        <v>490</v>
      </c>
      <c r="C202" s="125">
        <f>+'[4]+Пок_ЭЭ,ТЭ'!$J$13/'[4]+Пок_ЭЭ,ТЭ'!$C$13</f>
        <v>4140.6103064340368</v>
      </c>
      <c r="D202" s="125">
        <f>+'[4]+Пок_ЭЭ,ТЭ'!$J$49/'[4]+Пок_ЭЭ,ТЭ'!$C$49</f>
        <v>4440.4914888227622</v>
      </c>
      <c r="E202" s="126">
        <f>D202*(E203)</f>
        <v>4573.7062334874454</v>
      </c>
      <c r="F202" s="126">
        <f t="shared" ref="F202:P202" si="240">E202*(F203)</f>
        <v>4710.9174204920691</v>
      </c>
      <c r="G202" s="126">
        <f t="shared" si="240"/>
        <v>4852.2449431068317</v>
      </c>
      <c r="H202" s="126">
        <f t="shared" si="240"/>
        <v>4997.8122914000369</v>
      </c>
      <c r="I202" s="126">
        <f t="shared" si="240"/>
        <v>5147.7466601420383</v>
      </c>
      <c r="J202" s="126">
        <f t="shared" si="240"/>
        <v>5302.1790599462993</v>
      </c>
      <c r="K202" s="126">
        <f t="shared" si="240"/>
        <v>5461.244431744688</v>
      </c>
      <c r="L202" s="126">
        <f t="shared" si="240"/>
        <v>5625.081764697029</v>
      </c>
      <c r="M202" s="126">
        <f t="shared" si="240"/>
        <v>5793.8342176379401</v>
      </c>
      <c r="N202" s="126">
        <f t="shared" si="240"/>
        <v>5967.6492441670789</v>
      </c>
      <c r="O202" s="126">
        <f t="shared" si="240"/>
        <v>6146.6787214920914</v>
      </c>
      <c r="P202" s="126">
        <f t="shared" si="240"/>
        <v>6331.079083136854</v>
      </c>
    </row>
    <row r="203" spans="1:19" s="35" customFormat="1" x14ac:dyDescent="0.2">
      <c r="A203" s="33">
        <v>16</v>
      </c>
      <c r="B203" s="40" t="s">
        <v>8</v>
      </c>
      <c r="C203" s="251"/>
      <c r="D203" s="124">
        <f>+Сети!D58</f>
        <v>1.03</v>
      </c>
      <c r="E203" s="124">
        <f>+Сети!E58</f>
        <v>1.03</v>
      </c>
      <c r="F203" s="124">
        <f>+Сети!F58</f>
        <v>1.03</v>
      </c>
      <c r="G203" s="124">
        <f>+Сети!G58</f>
        <v>1.03</v>
      </c>
      <c r="H203" s="124">
        <f>+Сети!H58</f>
        <v>1.03</v>
      </c>
      <c r="I203" s="124">
        <f>+Сети!I58</f>
        <v>1.03</v>
      </c>
      <c r="J203" s="124">
        <f>+Сети!J58</f>
        <v>1.03</v>
      </c>
      <c r="K203" s="124">
        <f>+Сети!K58</f>
        <v>1.03</v>
      </c>
      <c r="L203" s="124">
        <f>+Сети!L58</f>
        <v>1.03</v>
      </c>
      <c r="M203" s="124">
        <f>+Сети!M58</f>
        <v>1.03</v>
      </c>
      <c r="N203" s="124">
        <f>+Сети!N58</f>
        <v>1.03</v>
      </c>
      <c r="O203" s="124">
        <f>+Сети!O58</f>
        <v>1.03</v>
      </c>
      <c r="P203" s="124">
        <f>+Сети!P58</f>
        <v>1.03</v>
      </c>
      <c r="Q203" s="32"/>
      <c r="R203" s="32"/>
      <c r="S203" s="32"/>
    </row>
    <row r="204" spans="1:19" s="96" customFormat="1" x14ac:dyDescent="0.2">
      <c r="A204" s="64">
        <v>21</v>
      </c>
      <c r="B204" s="132" t="s">
        <v>185</v>
      </c>
      <c r="C204" s="252">
        <f>+'ТЭЦ-1'!C$97</f>
        <v>891.40301952264429</v>
      </c>
      <c r="D204" s="252">
        <f>+'ТЭЦ-1'!D$97</f>
        <v>977.58454786238337</v>
      </c>
      <c r="E204" s="153">
        <f>D204*(E205)</f>
        <v>1055.7913116913742</v>
      </c>
      <c r="F204" s="153">
        <f t="shared" ref="F204:P204" si="241">E204*(F205)</f>
        <v>1140.2546166266841</v>
      </c>
      <c r="G204" s="153">
        <f t="shared" si="241"/>
        <v>1231.474985956819</v>
      </c>
      <c r="H204" s="153">
        <f t="shared" si="241"/>
        <v>1329.9929848333645</v>
      </c>
      <c r="I204" s="153">
        <f t="shared" si="241"/>
        <v>1436.3924236200337</v>
      </c>
      <c r="J204" s="153">
        <f t="shared" si="241"/>
        <v>1436.3924236200337</v>
      </c>
      <c r="K204" s="153">
        <f t="shared" si="241"/>
        <v>1436.3924236200337</v>
      </c>
      <c r="L204" s="153">
        <f t="shared" si="241"/>
        <v>1436.3924236200337</v>
      </c>
      <c r="M204" s="153">
        <f t="shared" si="241"/>
        <v>1436.3924236200337</v>
      </c>
      <c r="N204" s="153">
        <f t="shared" si="241"/>
        <v>1436.3924236200337</v>
      </c>
      <c r="O204" s="153">
        <f t="shared" si="241"/>
        <v>1450.756347856234</v>
      </c>
      <c r="P204" s="153">
        <f t="shared" si="241"/>
        <v>1479.7714748133587</v>
      </c>
    </row>
    <row r="205" spans="1:19" s="96" customFormat="1" x14ac:dyDescent="0.2">
      <c r="A205" s="64">
        <v>22</v>
      </c>
      <c r="B205" s="133" t="s">
        <v>7</v>
      </c>
      <c r="C205" s="151"/>
      <c r="D205" s="70">
        <f>(D204)/C204</f>
        <v>1.096680767792205</v>
      </c>
      <c r="E205" s="152">
        <f>+СВОД!D61</f>
        <v>1.08</v>
      </c>
      <c r="F205" s="152">
        <f>+СВОД!E61</f>
        <v>1.08</v>
      </c>
      <c r="G205" s="152">
        <f>+СВОД!F61</f>
        <v>1.08</v>
      </c>
      <c r="H205" s="152">
        <f>+СВОД!G61</f>
        <v>1.08</v>
      </c>
      <c r="I205" s="152">
        <f>+СВОД!H61</f>
        <v>1.08</v>
      </c>
      <c r="J205" s="152">
        <f>+СВОД!I61</f>
        <v>1</v>
      </c>
      <c r="K205" s="152">
        <f>+СВОД!J61</f>
        <v>1</v>
      </c>
      <c r="L205" s="152">
        <f>+СВОД!K61</f>
        <v>1</v>
      </c>
      <c r="M205" s="152">
        <f>+СВОД!L61</f>
        <v>1</v>
      </c>
      <c r="N205" s="152">
        <f>+СВОД!M61</f>
        <v>1</v>
      </c>
      <c r="O205" s="152">
        <f>+СВОД!N61</f>
        <v>1.01</v>
      </c>
      <c r="P205" s="152">
        <f>+СВОД!O61</f>
        <v>1.02</v>
      </c>
    </row>
    <row r="206" spans="1:19" s="96" customFormat="1" x14ac:dyDescent="0.2">
      <c r="A206" s="64" t="s">
        <v>73</v>
      </c>
      <c r="B206" s="133" t="s">
        <v>384</v>
      </c>
      <c r="C206" s="230">
        <f t="shared" ref="C206:P206" si="242">+C265/C101</f>
        <v>1086.0841224494925</v>
      </c>
      <c r="D206" s="230">
        <f t="shared" si="242"/>
        <v>1068.7145736098171</v>
      </c>
      <c r="E206" s="230">
        <f t="shared" si="242"/>
        <v>1127.8280950742653</v>
      </c>
      <c r="F206" s="230">
        <f t="shared" si="242"/>
        <v>1179.1685265097419</v>
      </c>
      <c r="G206" s="230">
        <f t="shared" si="242"/>
        <v>1232.1328338352489</v>
      </c>
      <c r="H206" s="230">
        <f t="shared" si="242"/>
        <v>1294.0343063602752</v>
      </c>
      <c r="I206" s="230">
        <f t="shared" si="242"/>
        <v>1356.4403882958038</v>
      </c>
      <c r="J206" s="230">
        <f t="shared" si="242"/>
        <v>1414.069750369755</v>
      </c>
      <c r="K206" s="230">
        <f t="shared" si="242"/>
        <v>1451.2042793268031</v>
      </c>
      <c r="L206" s="230">
        <f t="shared" si="242"/>
        <v>1488.7728958586392</v>
      </c>
      <c r="M206" s="230">
        <f t="shared" si="242"/>
        <v>1527.6476701154761</v>
      </c>
      <c r="N206" s="230">
        <f t="shared" si="242"/>
        <v>1567.7835892977962</v>
      </c>
      <c r="O206" s="230">
        <f t="shared" si="242"/>
        <v>1609.219611017689</v>
      </c>
      <c r="P206" s="230">
        <f t="shared" si="242"/>
        <v>1653.5267363166743</v>
      </c>
    </row>
    <row r="207" spans="1:19" s="96" customFormat="1" x14ac:dyDescent="0.2">
      <c r="A207" s="64" t="s">
        <v>74</v>
      </c>
      <c r="B207" s="133" t="s">
        <v>75</v>
      </c>
      <c r="C207" s="135"/>
      <c r="D207" s="70">
        <f t="shared" ref="D207:P207" si="243">(D206-C206)/C206</f>
        <v>-1.599282088803685E-2</v>
      </c>
      <c r="E207" s="70">
        <f t="shared" si="243"/>
        <v>5.5312730755396548E-2</v>
      </c>
      <c r="F207" s="70">
        <f t="shared" si="243"/>
        <v>4.5521504260891757E-2</v>
      </c>
      <c r="G207" s="70">
        <f t="shared" si="243"/>
        <v>4.4916656215611264E-2</v>
      </c>
      <c r="H207" s="70">
        <f t="shared" si="243"/>
        <v>5.0239284941661792E-2</v>
      </c>
      <c r="I207" s="70">
        <f t="shared" si="243"/>
        <v>4.8225987231403422E-2</v>
      </c>
      <c r="J207" s="70">
        <f t="shared" si="243"/>
        <v>4.2485731456547944E-2</v>
      </c>
      <c r="K207" s="70">
        <f t="shared" si="243"/>
        <v>2.6260747708759125E-2</v>
      </c>
      <c r="L207" s="70">
        <f t="shared" si="243"/>
        <v>2.5887889849156034E-2</v>
      </c>
      <c r="M207" s="70">
        <f t="shared" si="243"/>
        <v>2.6111957280372251E-2</v>
      </c>
      <c r="N207" s="70">
        <f t="shared" si="243"/>
        <v>2.6273020911481631E-2</v>
      </c>
      <c r="O207" s="70">
        <f t="shared" si="243"/>
        <v>2.6429682006335966E-2</v>
      </c>
      <c r="P207" s="70">
        <f t="shared" si="243"/>
        <v>2.7533299367986791E-2</v>
      </c>
    </row>
    <row r="208" spans="1:19" s="96" customFormat="1" x14ac:dyDescent="0.2">
      <c r="A208" s="64" t="s">
        <v>19</v>
      </c>
      <c r="B208" s="133" t="s">
        <v>385</v>
      </c>
      <c r="C208" s="134"/>
      <c r="D208" s="128">
        <f>D204</f>
        <v>977.58454786238337</v>
      </c>
      <c r="E208" s="128">
        <f>D208*(E209)</f>
        <v>1055.7913116913742</v>
      </c>
      <c r="F208" s="128">
        <f t="shared" ref="F208:P208" si="244">E208*(F209)</f>
        <v>1140.2546166266841</v>
      </c>
      <c r="G208" s="128">
        <f t="shared" si="244"/>
        <v>1231.474985956819</v>
      </c>
      <c r="H208" s="128">
        <f t="shared" si="244"/>
        <v>1329.9929848333645</v>
      </c>
      <c r="I208" s="128">
        <f t="shared" si="244"/>
        <v>1436.3924236200337</v>
      </c>
      <c r="J208" s="128">
        <f t="shared" si="244"/>
        <v>1436.3924236200337</v>
      </c>
      <c r="K208" s="128">
        <f t="shared" si="244"/>
        <v>1436.3924236200337</v>
      </c>
      <c r="L208" s="128">
        <f t="shared" si="244"/>
        <v>1436.3924236200337</v>
      </c>
      <c r="M208" s="128">
        <f t="shared" si="244"/>
        <v>1436.3924236200337</v>
      </c>
      <c r="N208" s="128">
        <f t="shared" si="244"/>
        <v>1436.3924236200337</v>
      </c>
      <c r="O208" s="128">
        <f t="shared" si="244"/>
        <v>1450.756347856234</v>
      </c>
      <c r="P208" s="128">
        <f t="shared" si="244"/>
        <v>1479.7714748133587</v>
      </c>
    </row>
    <row r="209" spans="1:19" s="96" customFormat="1" x14ac:dyDescent="0.2">
      <c r="A209" s="64"/>
      <c r="B209" s="133" t="s">
        <v>78</v>
      </c>
      <c r="C209" s="135"/>
      <c r="D209" s="135"/>
      <c r="E209" s="70">
        <f t="shared" ref="E209:P209" si="245">E205</f>
        <v>1.08</v>
      </c>
      <c r="F209" s="70">
        <f t="shared" si="245"/>
        <v>1.08</v>
      </c>
      <c r="G209" s="70">
        <f t="shared" si="245"/>
        <v>1.08</v>
      </c>
      <c r="H209" s="70">
        <f t="shared" si="245"/>
        <v>1.08</v>
      </c>
      <c r="I209" s="70">
        <f t="shared" si="245"/>
        <v>1.08</v>
      </c>
      <c r="J209" s="70">
        <f t="shared" si="245"/>
        <v>1</v>
      </c>
      <c r="K209" s="70">
        <f t="shared" si="245"/>
        <v>1</v>
      </c>
      <c r="L209" s="70">
        <f t="shared" si="245"/>
        <v>1</v>
      </c>
      <c r="M209" s="70">
        <f t="shared" si="245"/>
        <v>1</v>
      </c>
      <c r="N209" s="70">
        <f t="shared" si="245"/>
        <v>1</v>
      </c>
      <c r="O209" s="70">
        <f t="shared" si="245"/>
        <v>1.01</v>
      </c>
      <c r="P209" s="70">
        <f t="shared" si="245"/>
        <v>1.02</v>
      </c>
    </row>
    <row r="210" spans="1:19" s="96" customFormat="1" x14ac:dyDescent="0.2">
      <c r="A210" s="64" t="s">
        <v>20</v>
      </c>
      <c r="B210" s="133" t="s">
        <v>155</v>
      </c>
      <c r="C210" s="252">
        <f>+'ТЭЦ-1'!C$102</f>
        <v>1437.4878616436636</v>
      </c>
      <c r="D210" s="252">
        <f>+'ТЭЦ-1'!D$102</f>
        <v>1494.3340947457748</v>
      </c>
      <c r="E210" s="156">
        <f>D210*(E211)</f>
        <v>1613.8808223254368</v>
      </c>
      <c r="F210" s="156">
        <f t="shared" ref="F210:J210" si="246">E210*(F211)</f>
        <v>1742.9912881114719</v>
      </c>
      <c r="G210" s="156">
        <f t="shared" si="246"/>
        <v>1882.4305911603899</v>
      </c>
      <c r="H210" s="156">
        <f t="shared" si="246"/>
        <v>2033.0250384532212</v>
      </c>
      <c r="I210" s="156">
        <f t="shared" si="246"/>
        <v>2195.6670415294789</v>
      </c>
      <c r="J210" s="156">
        <f t="shared" si="246"/>
        <v>2195.6670415294789</v>
      </c>
      <c r="K210" s="156">
        <f t="shared" ref="K210" si="247">J210*(K211)</f>
        <v>2195.6670415294789</v>
      </c>
      <c r="L210" s="156">
        <f t="shared" ref="L210" si="248">K210*(L211)</f>
        <v>2195.6670415294789</v>
      </c>
      <c r="M210" s="156">
        <f t="shared" ref="M210" si="249">L210*(M211)</f>
        <v>2195.6670415294789</v>
      </c>
      <c r="N210" s="156">
        <f t="shared" ref="N210:O210" si="250">M210*(N211)</f>
        <v>2195.6670415294789</v>
      </c>
      <c r="O210" s="156">
        <f t="shared" si="250"/>
        <v>2217.6237119447737</v>
      </c>
      <c r="P210" s="156">
        <f t="shared" ref="P210" si="251">O210*(P211)</f>
        <v>2261.9761861836691</v>
      </c>
    </row>
    <row r="211" spans="1:19" s="96" customFormat="1" x14ac:dyDescent="0.2">
      <c r="A211" s="64"/>
      <c r="B211" s="133" t="s">
        <v>75</v>
      </c>
      <c r="C211" s="154"/>
      <c r="D211" s="157">
        <f>+D210/C210-1</f>
        <v>3.9545539561712584E-2</v>
      </c>
      <c r="E211" s="157">
        <f>E209</f>
        <v>1.08</v>
      </c>
      <c r="F211" s="157">
        <f t="shared" ref="F211:P211" si="252">F209</f>
        <v>1.08</v>
      </c>
      <c r="G211" s="157">
        <f t="shared" si="252"/>
        <v>1.08</v>
      </c>
      <c r="H211" s="157">
        <f t="shared" si="252"/>
        <v>1.08</v>
      </c>
      <c r="I211" s="157">
        <f t="shared" si="252"/>
        <v>1.08</v>
      </c>
      <c r="J211" s="157">
        <f t="shared" si="252"/>
        <v>1</v>
      </c>
      <c r="K211" s="157">
        <f t="shared" si="252"/>
        <v>1</v>
      </c>
      <c r="L211" s="157">
        <f t="shared" si="252"/>
        <v>1</v>
      </c>
      <c r="M211" s="157">
        <f t="shared" si="252"/>
        <v>1</v>
      </c>
      <c r="N211" s="157">
        <f t="shared" si="252"/>
        <v>1</v>
      </c>
      <c r="O211" s="157">
        <f t="shared" si="252"/>
        <v>1.01</v>
      </c>
      <c r="P211" s="157">
        <f t="shared" si="252"/>
        <v>1.02</v>
      </c>
    </row>
    <row r="212" spans="1:19" s="136" customFormat="1" ht="10.5" x14ac:dyDescent="0.2">
      <c r="A212" s="253"/>
      <c r="B212" s="132" t="s">
        <v>359</v>
      </c>
      <c r="C212" s="316">
        <f>+Сети!C63</f>
        <v>17.125288548140421</v>
      </c>
      <c r="D212" s="316">
        <f>+Сети!D63</f>
        <v>17.4755</v>
      </c>
      <c r="E212" s="254">
        <f>D212*(E213)</f>
        <v>18.873540000000002</v>
      </c>
      <c r="F212" s="254">
        <f t="shared" ref="F212:J212" si="253">E212*(F213)</f>
        <v>20.383423200000003</v>
      </c>
      <c r="G212" s="254">
        <f t="shared" si="253"/>
        <v>22.014097056000004</v>
      </c>
      <c r="H212" s="254">
        <f t="shared" si="253"/>
        <v>23.775224820480005</v>
      </c>
      <c r="I212" s="254">
        <f t="shared" si="253"/>
        <v>25.677242806118407</v>
      </c>
      <c r="J212" s="254">
        <f t="shared" si="253"/>
        <v>25.677242806118407</v>
      </c>
      <c r="K212" s="254">
        <f>J212*(K213)</f>
        <v>25.677242806118407</v>
      </c>
      <c r="L212" s="254">
        <f t="shared" ref="L212:P212" si="254">K212*(L213)</f>
        <v>25.677242806118407</v>
      </c>
      <c r="M212" s="254">
        <f t="shared" si="254"/>
        <v>25.677242806118407</v>
      </c>
      <c r="N212" s="254">
        <f t="shared" si="254"/>
        <v>25.677242806118407</v>
      </c>
      <c r="O212" s="254">
        <f t="shared" si="254"/>
        <v>25.93401523417959</v>
      </c>
      <c r="P212" s="254">
        <f t="shared" si="254"/>
        <v>26.452695538863182</v>
      </c>
    </row>
    <row r="213" spans="1:19" s="143" customFormat="1" x14ac:dyDescent="0.2">
      <c r="A213" s="255"/>
      <c r="B213" s="133" t="s">
        <v>7</v>
      </c>
      <c r="C213" s="215"/>
      <c r="D213" s="70">
        <f>+D212/C212</f>
        <v>1.0204499591860954</v>
      </c>
      <c r="E213" s="315">
        <f>+E211</f>
        <v>1.08</v>
      </c>
      <c r="F213" s="315">
        <f t="shared" ref="F213:P213" si="255">+F211</f>
        <v>1.08</v>
      </c>
      <c r="G213" s="315">
        <f t="shared" si="255"/>
        <v>1.08</v>
      </c>
      <c r="H213" s="315">
        <f t="shared" si="255"/>
        <v>1.08</v>
      </c>
      <c r="I213" s="315">
        <f t="shared" si="255"/>
        <v>1.08</v>
      </c>
      <c r="J213" s="315">
        <f t="shared" si="255"/>
        <v>1</v>
      </c>
      <c r="K213" s="315">
        <f t="shared" si="255"/>
        <v>1</v>
      </c>
      <c r="L213" s="315">
        <f t="shared" si="255"/>
        <v>1</v>
      </c>
      <c r="M213" s="315">
        <f t="shared" si="255"/>
        <v>1</v>
      </c>
      <c r="N213" s="315">
        <f t="shared" si="255"/>
        <v>1</v>
      </c>
      <c r="O213" s="315">
        <f t="shared" si="255"/>
        <v>1.01</v>
      </c>
      <c r="P213" s="315">
        <f t="shared" si="255"/>
        <v>1.02</v>
      </c>
    </row>
    <row r="214" spans="1:19" s="136" customFormat="1" ht="22.5" x14ac:dyDescent="0.2">
      <c r="A214" s="64">
        <v>23</v>
      </c>
      <c r="B214" s="132" t="s">
        <v>491</v>
      </c>
      <c r="C214" s="141">
        <f>+('[4]4.4.Р_т'!$H$136+'[4]4.4.Р_т'!$J$136+'[4]4.4.Р_т'!$K$136+'[4]4.4.Р_т'!$L$136+'[4]4.4.Р_т'!$M$136)/('[4]4.4.Р_т'!$H$57+'[4]4.4.Р_т'!$J$57+'[4]4.4.Р_т'!$K$57+'[4]4.4.Р_т'!$L$57+'[4]4.4.Р_т'!$M$57)</f>
        <v>5333.4159945067768</v>
      </c>
      <c r="D214" s="141">
        <f>+('[4]4.4.Р_т'!$R$136+'[4]4.4.Р_т'!$T$136+'[4]4.4.Р_т'!$U$136+'[4]4.4.Р_т'!$V$136+'[4]4.4.Р_т'!$W$136)/('[4]4.4.Р_т'!$R$57+'[4]4.4.Р_т'!$T$57+'[4]4.4.Р_т'!$U$57+'[4]4.4.Р_т'!$V$57+'[4]4.4.Р_т'!$W$57)</f>
        <v>5471.3232708193536</v>
      </c>
      <c r="E214" s="105">
        <f>D214*(E215)</f>
        <v>5645.7596568679819</v>
      </c>
      <c r="F214" s="105">
        <f t="shared" ref="F214:P214" si="256">E214*(F215)</f>
        <v>5815.1324465740217</v>
      </c>
      <c r="G214" s="105">
        <f t="shared" si="256"/>
        <v>5989.5864199712423</v>
      </c>
      <c r="H214" s="105">
        <f t="shared" si="256"/>
        <v>6169.2740125703795</v>
      </c>
      <c r="I214" s="105">
        <f t="shared" si="256"/>
        <v>6354.3522329474908</v>
      </c>
      <c r="J214" s="105">
        <f t="shared" si="256"/>
        <v>6544.9827999359159</v>
      </c>
      <c r="K214" s="105">
        <f t="shared" si="256"/>
        <v>6741.3322839339935</v>
      </c>
      <c r="L214" s="105">
        <f t="shared" si="256"/>
        <v>6943.5722524520133</v>
      </c>
      <c r="M214" s="105">
        <f t="shared" si="256"/>
        <v>7151.8794200255743</v>
      </c>
      <c r="N214" s="105">
        <f t="shared" si="256"/>
        <v>7366.4358026263417</v>
      </c>
      <c r="O214" s="105">
        <f t="shared" si="256"/>
        <v>7587.4288767051321</v>
      </c>
      <c r="P214" s="105">
        <f t="shared" si="256"/>
        <v>7815.0517430062864</v>
      </c>
    </row>
    <row r="215" spans="1:19" s="138" customFormat="1" ht="12" thickBot="1" x14ac:dyDescent="0.25">
      <c r="A215" s="64">
        <v>24</v>
      </c>
      <c r="B215" s="133" t="s">
        <v>6</v>
      </c>
      <c r="C215" s="137"/>
      <c r="D215" s="70">
        <f>(D214)/C214</f>
        <v>1.0258572135484305</v>
      </c>
      <c r="E215" s="140">
        <f>'ТЭЦ-1'!E105</f>
        <v>1.0318819374060684</v>
      </c>
      <c r="F215" s="140">
        <f>'ТЭЦ-1'!F105</f>
        <v>1.03</v>
      </c>
      <c r="G215" s="140">
        <f>'ТЭЦ-1'!G105</f>
        <v>1.03</v>
      </c>
      <c r="H215" s="140">
        <f>'ТЭЦ-1'!H105</f>
        <v>1.03</v>
      </c>
      <c r="I215" s="140">
        <f>'ТЭЦ-1'!I105</f>
        <v>1.03</v>
      </c>
      <c r="J215" s="140">
        <f>'ТЭЦ-1'!J105</f>
        <v>1.03</v>
      </c>
      <c r="K215" s="140">
        <f>'ТЭЦ-1'!K105</f>
        <v>1.03</v>
      </c>
      <c r="L215" s="140">
        <f>'ТЭЦ-1'!L105</f>
        <v>1.03</v>
      </c>
      <c r="M215" s="140">
        <f>'ТЭЦ-1'!M105</f>
        <v>1.03</v>
      </c>
      <c r="N215" s="140">
        <f>'ТЭЦ-1'!N105</f>
        <v>1.03</v>
      </c>
      <c r="O215" s="140">
        <f>'ТЭЦ-1'!O105</f>
        <v>1.03</v>
      </c>
      <c r="P215" s="140">
        <f>'ТЭЦ-1'!P105</f>
        <v>1.03</v>
      </c>
      <c r="Q215" s="96"/>
      <c r="R215" s="96"/>
      <c r="S215" s="96"/>
    </row>
    <row r="216" spans="1:19" s="144" customFormat="1" x14ac:dyDescent="0.2">
      <c r="A216" s="142">
        <v>27</v>
      </c>
      <c r="B216" s="148" t="s">
        <v>5</v>
      </c>
      <c r="C216" s="137"/>
      <c r="D216" s="124">
        <f>+'ТЭЦ-1'!D108</f>
        <v>1.04</v>
      </c>
      <c r="E216" s="124">
        <f>+'ТЭЦ-1'!E108</f>
        <v>1.04</v>
      </c>
      <c r="F216" s="124">
        <f>+'ТЭЦ-1'!F108</f>
        <v>1.04</v>
      </c>
      <c r="G216" s="124">
        <f>+'ТЭЦ-1'!G108</f>
        <v>1.04</v>
      </c>
      <c r="H216" s="124">
        <f>+'ТЭЦ-1'!H108</f>
        <v>1.04</v>
      </c>
      <c r="I216" s="124">
        <f>+'ТЭЦ-1'!I108</f>
        <v>1.04</v>
      </c>
      <c r="J216" s="124">
        <f>+'ТЭЦ-1'!J108</f>
        <v>1.04</v>
      </c>
      <c r="K216" s="124">
        <f>+'ТЭЦ-1'!K108</f>
        <v>1.04</v>
      </c>
      <c r="L216" s="124">
        <f>+'ТЭЦ-1'!L108</f>
        <v>1.04</v>
      </c>
      <c r="M216" s="124">
        <f>+'ТЭЦ-1'!M108</f>
        <v>1.04</v>
      </c>
      <c r="N216" s="124">
        <f>+'ТЭЦ-1'!N108</f>
        <v>1.04</v>
      </c>
      <c r="O216" s="124">
        <f>+'ТЭЦ-1'!O108</f>
        <v>1.04</v>
      </c>
      <c r="P216" s="124">
        <f>+'ТЭЦ-1'!P108</f>
        <v>1.04</v>
      </c>
      <c r="Q216" s="143"/>
      <c r="R216" s="143"/>
      <c r="S216" s="143"/>
    </row>
    <row r="217" spans="1:19" s="139" customFormat="1" x14ac:dyDescent="0.2">
      <c r="A217" s="64"/>
      <c r="B217" s="149" t="s">
        <v>52</v>
      </c>
      <c r="C217" s="137"/>
      <c r="D217" s="137">
        <f>+D216</f>
        <v>1.04</v>
      </c>
      <c r="E217" s="146">
        <f>+D217*E216</f>
        <v>1.0816000000000001</v>
      </c>
      <c r="F217" s="146">
        <f t="shared" ref="F217:P217" si="257">+E217*F216</f>
        <v>1.1248640000000001</v>
      </c>
      <c r="G217" s="146">
        <f t="shared" si="257"/>
        <v>1.1698585600000002</v>
      </c>
      <c r="H217" s="146">
        <f t="shared" si="257"/>
        <v>1.2166529024000003</v>
      </c>
      <c r="I217" s="146">
        <f t="shared" si="257"/>
        <v>1.2653190184960004</v>
      </c>
      <c r="J217" s="146">
        <f t="shared" si="257"/>
        <v>1.3159317792358405</v>
      </c>
      <c r="K217" s="146">
        <f t="shared" si="257"/>
        <v>1.3685690504052741</v>
      </c>
      <c r="L217" s="146">
        <f t="shared" si="257"/>
        <v>1.4233118124214852</v>
      </c>
      <c r="M217" s="146">
        <f t="shared" si="257"/>
        <v>1.4802442849183446</v>
      </c>
      <c r="N217" s="146">
        <f t="shared" si="257"/>
        <v>1.5394540563150785</v>
      </c>
      <c r="O217" s="146">
        <f t="shared" si="257"/>
        <v>1.6010322185676817</v>
      </c>
      <c r="P217" s="146">
        <f t="shared" si="257"/>
        <v>1.6650735073103891</v>
      </c>
      <c r="Q217" s="96"/>
      <c r="R217" s="96"/>
      <c r="S217" s="96"/>
    </row>
    <row r="218" spans="1:19" s="130" customFormat="1" x14ac:dyDescent="0.2">
      <c r="A218" s="150"/>
      <c r="B218" s="164"/>
      <c r="C218" s="137"/>
      <c r="D218" s="165"/>
      <c r="E218" s="165"/>
      <c r="F218" s="166"/>
      <c r="G218" s="165"/>
      <c r="H218" s="165"/>
      <c r="I218" s="165"/>
      <c r="J218" s="165"/>
      <c r="K218" s="165"/>
      <c r="L218" s="165"/>
      <c r="M218" s="165"/>
      <c r="N218" s="165"/>
      <c r="O218" s="165"/>
      <c r="P218" s="165"/>
    </row>
    <row r="219" spans="1:19" s="18" customFormat="1" ht="12.75" customHeight="1" x14ac:dyDescent="0.2">
      <c r="A219" s="941" t="s">
        <v>10</v>
      </c>
      <c r="B219" s="942"/>
      <c r="C219" s="28"/>
      <c r="D219" s="28"/>
      <c r="E219" s="28"/>
      <c r="F219" s="28"/>
      <c r="G219" s="26"/>
      <c r="H219" s="26"/>
      <c r="I219" s="28"/>
      <c r="J219" s="28"/>
      <c r="K219" s="28"/>
      <c r="L219" s="28"/>
      <c r="M219" s="28"/>
      <c r="N219" s="28"/>
      <c r="O219" s="28"/>
      <c r="P219" s="28"/>
      <c r="Q219" s="17"/>
      <c r="R219" s="17"/>
      <c r="S219" s="17"/>
    </row>
    <row r="220" spans="1:19" s="18" customFormat="1" ht="22.5" x14ac:dyDescent="0.2">
      <c r="A220" s="2">
        <v>26</v>
      </c>
      <c r="B220" s="6" t="s">
        <v>412</v>
      </c>
      <c r="C220" s="160">
        <f t="shared" ref="C220:P220" si="258">SUM(C221:C243)</f>
        <v>0</v>
      </c>
      <c r="D220" s="160">
        <f t="shared" si="258"/>
        <v>0</v>
      </c>
      <c r="E220" s="160">
        <f t="shared" si="258"/>
        <v>16434</v>
      </c>
      <c r="F220" s="160">
        <f t="shared" si="258"/>
        <v>79513</v>
      </c>
      <c r="G220" s="160">
        <f t="shared" si="258"/>
        <v>48973</v>
      </c>
      <c r="H220" s="160">
        <f t="shared" si="258"/>
        <v>91975.246628131019</v>
      </c>
      <c r="I220" s="160">
        <f t="shared" si="258"/>
        <v>4406</v>
      </c>
      <c r="J220" s="160">
        <f t="shared" si="258"/>
        <v>7677.1833942770209</v>
      </c>
      <c r="K220" s="160">
        <f t="shared" si="258"/>
        <v>7809.3633942770202</v>
      </c>
      <c r="L220" s="160">
        <f t="shared" si="258"/>
        <v>8039.6788961053308</v>
      </c>
      <c r="M220" s="160">
        <f t="shared" si="258"/>
        <v>8273.9597979336413</v>
      </c>
      <c r="N220" s="160">
        <f t="shared" si="258"/>
        <v>8515.1501648168014</v>
      </c>
      <c r="O220" s="160">
        <f t="shared" si="258"/>
        <v>8763.3689587548106</v>
      </c>
      <c r="P220" s="160">
        <f t="shared" si="258"/>
        <v>9018.8234636993147</v>
      </c>
      <c r="Q220" s="17"/>
      <c r="R220" s="17"/>
      <c r="S220" s="17"/>
    </row>
    <row r="221" spans="1:19" ht="45" x14ac:dyDescent="0.2">
      <c r="A221" s="2">
        <v>24</v>
      </c>
      <c r="B221" s="46" t="s">
        <v>557</v>
      </c>
      <c r="C221" s="158"/>
      <c r="D221" s="158"/>
      <c r="E221" s="159">
        <f>+[12]Пр.4.Амортизация!F33</f>
        <v>0</v>
      </c>
      <c r="F221" s="159">
        <f>+[12]Пр.4.Амортизация!G33</f>
        <v>6387</v>
      </c>
      <c r="G221" s="159">
        <f>+[12]Пр.4.Амортизация!H33</f>
        <v>13638</v>
      </c>
      <c r="H221" s="159">
        <f>+[12]Пр.4.Амортизация!I33</f>
        <v>43847</v>
      </c>
      <c r="I221" s="159">
        <f>+[12]Пр.4.Амортизация!J33</f>
        <v>0</v>
      </c>
      <c r="J221" s="158"/>
      <c r="K221" s="158"/>
      <c r="L221" s="158"/>
      <c r="M221" s="158"/>
      <c r="N221" s="158"/>
      <c r="O221" s="158"/>
      <c r="P221" s="158"/>
    </row>
    <row r="222" spans="1:19" x14ac:dyDescent="0.2">
      <c r="A222" s="2">
        <v>25</v>
      </c>
      <c r="B222" s="46" t="s">
        <v>558</v>
      </c>
      <c r="C222" s="158"/>
      <c r="D222" s="158"/>
      <c r="E222" s="159">
        <f>+[12]Пр.4.Амортизация!F34</f>
        <v>5270</v>
      </c>
      <c r="F222" s="159">
        <f>+[12]Пр.4.Амортизация!G34</f>
        <v>10309</v>
      </c>
      <c r="G222" s="159">
        <f>+[12]Пр.4.Амортизация!H34</f>
        <v>0</v>
      </c>
      <c r="H222" s="159">
        <f>+[12]Пр.4.Амортизация!I34</f>
        <v>0</v>
      </c>
      <c r="I222" s="159">
        <f>+[12]Пр.4.Амортизация!J34</f>
        <v>0</v>
      </c>
      <c r="J222" s="158"/>
      <c r="K222" s="158"/>
      <c r="L222" s="158"/>
      <c r="M222" s="158"/>
      <c r="N222" s="158"/>
      <c r="O222" s="158"/>
      <c r="P222" s="158"/>
    </row>
    <row r="223" spans="1:19" x14ac:dyDescent="0.2">
      <c r="A223" s="2">
        <v>26</v>
      </c>
      <c r="B223" s="46" t="s">
        <v>559</v>
      </c>
      <c r="C223" s="158"/>
      <c r="D223" s="158"/>
      <c r="E223" s="159">
        <f>+[12]Пр.4.Амортизация!F35</f>
        <v>0</v>
      </c>
      <c r="F223" s="159">
        <f>+[12]Пр.4.Амортизация!G35</f>
        <v>0</v>
      </c>
      <c r="G223" s="159">
        <f>+[12]Пр.4.Амортизация!H35</f>
        <v>34036</v>
      </c>
      <c r="H223" s="159">
        <f>+[12]Пр.4.Амортизация!I35</f>
        <v>42240</v>
      </c>
      <c r="I223" s="159">
        <f>+[12]Пр.4.Амортизация!J35</f>
        <v>0</v>
      </c>
      <c r="J223" s="158"/>
      <c r="K223" s="158"/>
      <c r="L223" s="158"/>
      <c r="M223" s="158"/>
      <c r="N223" s="158"/>
      <c r="O223" s="158"/>
      <c r="P223" s="158"/>
    </row>
    <row r="224" spans="1:19" s="232" customFormat="1" x14ac:dyDescent="0.2">
      <c r="A224" s="2">
        <v>27</v>
      </c>
      <c r="B224" s="46" t="s">
        <v>560</v>
      </c>
      <c r="C224" s="158"/>
      <c r="D224" s="158"/>
      <c r="E224" s="159">
        <f>+[12]Пр.4.Амортизация!F36</f>
        <v>1398</v>
      </c>
      <c r="F224" s="159">
        <f>+[12]Пр.4.Амортизация!G36</f>
        <v>5700</v>
      </c>
      <c r="G224" s="159">
        <f>+[12]Пр.4.Амортизация!H36</f>
        <v>0</v>
      </c>
      <c r="H224" s="159">
        <f>+[12]Пр.4.Амортизация!I36</f>
        <v>0</v>
      </c>
      <c r="I224" s="159">
        <f>+[12]Пр.4.Амортизация!J36</f>
        <v>0</v>
      </c>
      <c r="J224" s="158"/>
      <c r="K224" s="158"/>
      <c r="L224" s="158"/>
      <c r="M224" s="158"/>
      <c r="N224" s="158"/>
      <c r="O224" s="158"/>
      <c r="P224" s="158"/>
      <c r="Q224" s="11"/>
      <c r="R224" s="11"/>
      <c r="S224" s="11"/>
    </row>
    <row r="225" spans="1:19" s="232" customFormat="1" ht="22.5" x14ac:dyDescent="0.2">
      <c r="A225" s="2">
        <v>28</v>
      </c>
      <c r="B225" s="46" t="s">
        <v>561</v>
      </c>
      <c r="C225" s="158"/>
      <c r="D225" s="158"/>
      <c r="E225" s="159">
        <f>+[12]Пр.4.Амортизация!F37</f>
        <v>2896</v>
      </c>
      <c r="F225" s="159">
        <f>+[12]Пр.4.Амортизация!G37</f>
        <v>0</v>
      </c>
      <c r="G225" s="159">
        <f>+[12]Пр.4.Амортизация!H37</f>
        <v>0</v>
      </c>
      <c r="H225" s="159">
        <f>+[12]Пр.4.Амортизация!I37</f>
        <v>0</v>
      </c>
      <c r="I225" s="159">
        <f>+[12]Пр.4.Амортизация!J37</f>
        <v>0</v>
      </c>
      <c r="J225" s="158"/>
      <c r="K225" s="158"/>
      <c r="L225" s="158"/>
      <c r="M225" s="158"/>
      <c r="N225" s="158"/>
      <c r="O225" s="158"/>
      <c r="P225" s="158"/>
      <c r="Q225" s="11"/>
      <c r="R225" s="11"/>
      <c r="S225" s="11"/>
    </row>
    <row r="226" spans="1:19" s="232" customFormat="1" ht="33.75" x14ac:dyDescent="0.2">
      <c r="A226" s="2">
        <v>29</v>
      </c>
      <c r="B226" s="46" t="s">
        <v>562</v>
      </c>
      <c r="C226" s="158"/>
      <c r="D226" s="158"/>
      <c r="E226" s="159">
        <f>+[12]Пр.4.Амортизация!F38</f>
        <v>0</v>
      </c>
      <c r="F226" s="159">
        <f>+[12]Пр.4.Амортизация!G38</f>
        <v>3414</v>
      </c>
      <c r="G226" s="159">
        <f>+[12]Пр.4.Амортизация!H38</f>
        <v>0</v>
      </c>
      <c r="H226" s="159">
        <f>+[12]Пр.4.Амортизация!I38</f>
        <v>0</v>
      </c>
      <c r="I226" s="159">
        <f>+[12]Пр.4.Амортизация!J38</f>
        <v>3819</v>
      </c>
      <c r="J226" s="158"/>
      <c r="K226" s="158"/>
      <c r="L226" s="158"/>
      <c r="M226" s="158"/>
      <c r="N226" s="158"/>
      <c r="O226" s="158"/>
      <c r="P226" s="158"/>
      <c r="Q226" s="11"/>
      <c r="R226" s="11"/>
      <c r="S226" s="11"/>
    </row>
    <row r="227" spans="1:19" s="232" customFormat="1" ht="22.5" x14ac:dyDescent="0.2">
      <c r="A227" s="2">
        <v>30</v>
      </c>
      <c r="B227" s="46" t="s">
        <v>563</v>
      </c>
      <c r="C227" s="158"/>
      <c r="D227" s="158"/>
      <c r="E227" s="159">
        <f>+[12]Пр.4.Амортизация!F39</f>
        <v>0</v>
      </c>
      <c r="F227" s="159">
        <f>+[12]Пр.4.Амортизация!G39</f>
        <v>0</v>
      </c>
      <c r="G227" s="159">
        <f>+[12]Пр.4.Амортизация!H39</f>
        <v>1299</v>
      </c>
      <c r="H227" s="159">
        <f>+[12]Пр.4.Амортизация!I39</f>
        <v>0</v>
      </c>
      <c r="I227" s="159">
        <f>+[12]Пр.4.Амортизация!J39</f>
        <v>0</v>
      </c>
      <c r="J227" s="158"/>
      <c r="K227" s="158"/>
      <c r="L227" s="158"/>
      <c r="M227" s="158"/>
      <c r="N227" s="158"/>
      <c r="O227" s="158"/>
      <c r="P227" s="158"/>
      <c r="Q227" s="11"/>
      <c r="R227" s="11"/>
      <c r="S227" s="11"/>
    </row>
    <row r="228" spans="1:19" s="232" customFormat="1" ht="22.5" x14ac:dyDescent="0.2">
      <c r="A228" s="2">
        <v>31</v>
      </c>
      <c r="B228" s="46" t="s">
        <v>564</v>
      </c>
      <c r="C228" s="158"/>
      <c r="D228" s="158"/>
      <c r="E228" s="159">
        <f>+[12]Пр.4.Амортизация!F40</f>
        <v>1581</v>
      </c>
      <c r="F228" s="159">
        <f>+[12]Пр.4.Амортизация!G40</f>
        <v>0</v>
      </c>
      <c r="G228" s="159">
        <f>+[12]Пр.4.Амортизация!H40</f>
        <v>0</v>
      </c>
      <c r="H228" s="159">
        <f>+[12]Пр.4.Амортизация!I40</f>
        <v>0</v>
      </c>
      <c r="I228" s="159">
        <f>+[12]Пр.4.Амортизация!J40</f>
        <v>0</v>
      </c>
      <c r="J228" s="158"/>
      <c r="K228" s="158"/>
      <c r="L228" s="158"/>
      <c r="M228" s="158"/>
      <c r="N228" s="158"/>
      <c r="O228" s="158"/>
      <c r="P228" s="158"/>
      <c r="Q228" s="11"/>
      <c r="R228" s="11"/>
      <c r="S228" s="11"/>
    </row>
    <row r="229" spans="1:19" s="232" customFormat="1" ht="22.5" x14ac:dyDescent="0.2">
      <c r="A229" s="2">
        <v>32</v>
      </c>
      <c r="B229" s="46" t="s">
        <v>565</v>
      </c>
      <c r="C229" s="158"/>
      <c r="D229" s="158"/>
      <c r="E229" s="159">
        <f>+[12]Пр.4.Амортизация!F41</f>
        <v>1581</v>
      </c>
      <c r="F229" s="159">
        <f>+[12]Пр.4.Амортизация!G41</f>
        <v>0</v>
      </c>
      <c r="G229" s="159">
        <f>+[12]Пр.4.Амортизация!H41</f>
        <v>0</v>
      </c>
      <c r="H229" s="159">
        <f>+[12]Пр.4.Амортизация!I41</f>
        <v>0</v>
      </c>
      <c r="I229" s="159">
        <f>+[12]Пр.4.Амортизация!J41</f>
        <v>0</v>
      </c>
      <c r="J229" s="158"/>
      <c r="K229" s="158"/>
      <c r="L229" s="158"/>
      <c r="M229" s="158"/>
      <c r="N229" s="158"/>
      <c r="O229" s="158"/>
      <c r="P229" s="158"/>
      <c r="Q229" s="11"/>
      <c r="R229" s="11"/>
      <c r="S229" s="11"/>
    </row>
    <row r="230" spans="1:19" s="232" customFormat="1" ht="22.5" x14ac:dyDescent="0.2">
      <c r="A230" s="2">
        <v>33</v>
      </c>
      <c r="B230" s="46" t="s">
        <v>566</v>
      </c>
      <c r="C230" s="158"/>
      <c r="D230" s="158"/>
      <c r="E230" s="159">
        <f>+[12]Пр.4.Амортизация!F42</f>
        <v>1054</v>
      </c>
      <c r="F230" s="159">
        <f>+[12]Пр.4.Амортизация!G42</f>
        <v>0</v>
      </c>
      <c r="G230" s="159">
        <f>+[12]Пр.4.Амортизация!H42</f>
        <v>0</v>
      </c>
      <c r="H230" s="159">
        <f>+[12]Пр.4.Амортизация!I42</f>
        <v>0</v>
      </c>
      <c r="I230" s="159">
        <f>+[12]Пр.4.Амортизация!J42</f>
        <v>0</v>
      </c>
      <c r="J230" s="158"/>
      <c r="K230" s="158"/>
      <c r="L230" s="158"/>
      <c r="M230" s="158"/>
      <c r="N230" s="158"/>
      <c r="O230" s="158"/>
      <c r="P230" s="158"/>
      <c r="Q230" s="11"/>
      <c r="R230" s="11"/>
      <c r="S230" s="11"/>
    </row>
    <row r="231" spans="1:19" s="232" customFormat="1" ht="22.5" x14ac:dyDescent="0.2">
      <c r="A231" s="2">
        <v>34</v>
      </c>
      <c r="B231" s="46" t="s">
        <v>567</v>
      </c>
      <c r="C231" s="158"/>
      <c r="D231" s="158"/>
      <c r="E231" s="159">
        <f>+[12]Пр.4.Амортизация!F43</f>
        <v>1054</v>
      </c>
      <c r="F231" s="159">
        <f>+[12]Пр.4.Амортизация!G43</f>
        <v>0</v>
      </c>
      <c r="G231" s="159">
        <f>+[12]Пр.4.Амортизация!H43</f>
        <v>0</v>
      </c>
      <c r="H231" s="159">
        <f>+[12]Пр.4.Амортизация!I43</f>
        <v>0</v>
      </c>
      <c r="I231" s="159">
        <f>+[12]Пр.4.Амортизация!J43</f>
        <v>0</v>
      </c>
      <c r="J231" s="158"/>
      <c r="K231" s="158"/>
      <c r="L231" s="158"/>
      <c r="M231" s="158"/>
      <c r="N231" s="158"/>
      <c r="O231" s="158"/>
      <c r="P231" s="158"/>
      <c r="Q231" s="11"/>
      <c r="R231" s="11"/>
      <c r="S231" s="11"/>
    </row>
    <row r="232" spans="1:19" s="232" customFormat="1" ht="22.5" x14ac:dyDescent="0.2">
      <c r="A232" s="2">
        <v>35</v>
      </c>
      <c r="B232" s="46" t="s">
        <v>568</v>
      </c>
      <c r="C232" s="158"/>
      <c r="D232" s="158"/>
      <c r="E232" s="159">
        <f>+[12]Пр.4.Амортизация!F44</f>
        <v>1054</v>
      </c>
      <c r="F232" s="159">
        <f>+[12]Пр.4.Амортизация!G44</f>
        <v>0</v>
      </c>
      <c r="G232" s="159">
        <f>+[12]Пр.4.Амортизация!H44</f>
        <v>0</v>
      </c>
      <c r="H232" s="159">
        <f>+[12]Пр.4.Амортизация!I44</f>
        <v>0</v>
      </c>
      <c r="I232" s="159">
        <f>+[12]Пр.4.Амортизация!J44</f>
        <v>0</v>
      </c>
      <c r="J232" s="158"/>
      <c r="K232" s="158"/>
      <c r="L232" s="158"/>
      <c r="M232" s="158"/>
      <c r="N232" s="158"/>
      <c r="O232" s="158"/>
      <c r="P232" s="158"/>
      <c r="Q232" s="11"/>
      <c r="R232" s="11"/>
      <c r="S232" s="11"/>
    </row>
    <row r="233" spans="1:19" s="232" customFormat="1" ht="22.5" x14ac:dyDescent="0.2">
      <c r="A233" s="2">
        <v>36</v>
      </c>
      <c r="B233" s="46" t="s">
        <v>569</v>
      </c>
      <c r="C233" s="158"/>
      <c r="D233" s="158"/>
      <c r="E233" s="159">
        <f>+[12]Пр.4.Амортизация!F45</f>
        <v>0</v>
      </c>
      <c r="F233" s="159">
        <f>+[12]Пр.4.Амортизация!G45</f>
        <v>1093</v>
      </c>
      <c r="G233" s="159">
        <f>+[12]Пр.4.Амортизация!H45</f>
        <v>0</v>
      </c>
      <c r="H233" s="159">
        <f>+[12]Пр.4.Амортизация!I45</f>
        <v>0</v>
      </c>
      <c r="I233" s="159">
        <f>+[12]Пр.4.Амортизация!J45</f>
        <v>0</v>
      </c>
      <c r="J233" s="158"/>
      <c r="K233" s="158"/>
      <c r="L233" s="158"/>
      <c r="M233" s="158"/>
      <c r="N233" s="158"/>
      <c r="O233" s="158"/>
      <c r="P233" s="158"/>
      <c r="Q233" s="11"/>
      <c r="R233" s="11"/>
      <c r="S233" s="11"/>
    </row>
    <row r="234" spans="1:19" s="232" customFormat="1" x14ac:dyDescent="0.2">
      <c r="A234" s="2">
        <v>37</v>
      </c>
      <c r="B234" s="46" t="s">
        <v>570</v>
      </c>
      <c r="C234" s="158"/>
      <c r="D234" s="158"/>
      <c r="E234" s="159">
        <f>+[12]Пр.4.Амортизация!F46</f>
        <v>0</v>
      </c>
      <c r="F234" s="159">
        <f>+[12]Пр.4.Амортизация!G46</f>
        <v>1093</v>
      </c>
      <c r="G234" s="159">
        <f>+[12]Пр.4.Амортизация!H46</f>
        <v>0</v>
      </c>
      <c r="H234" s="159">
        <f>+[12]Пр.4.Амортизация!I46</f>
        <v>0</v>
      </c>
      <c r="I234" s="159">
        <f>+[12]Пр.4.Амортизация!J46</f>
        <v>0</v>
      </c>
      <c r="J234" s="158"/>
      <c r="K234" s="158"/>
      <c r="L234" s="158"/>
      <c r="M234" s="158"/>
      <c r="N234" s="158"/>
      <c r="O234" s="158"/>
      <c r="P234" s="158"/>
      <c r="Q234" s="11"/>
      <c r="R234" s="11"/>
      <c r="S234" s="11"/>
    </row>
    <row r="235" spans="1:19" s="232" customFormat="1" ht="22.5" x14ac:dyDescent="0.2">
      <c r="A235" s="2">
        <v>39</v>
      </c>
      <c r="B235" s="46" t="s">
        <v>571</v>
      </c>
      <c r="C235" s="158"/>
      <c r="D235" s="158"/>
      <c r="E235" s="159">
        <f>+[12]Пр.4.Амортизация!F47</f>
        <v>0</v>
      </c>
      <c r="F235" s="159">
        <f>+[12]Пр.4.Амортизация!G47</f>
        <v>19660</v>
      </c>
      <c r="G235" s="159">
        <f>+[12]Пр.4.Амортизация!H47</f>
        <v>0</v>
      </c>
      <c r="H235" s="159">
        <f>+[12]Пр.4.Амортизация!I47</f>
        <v>0</v>
      </c>
      <c r="I235" s="159">
        <f>+[12]Пр.4.Амортизация!J47</f>
        <v>0</v>
      </c>
      <c r="J235" s="158"/>
      <c r="K235" s="158"/>
      <c r="L235" s="158"/>
      <c r="M235" s="158"/>
      <c r="N235" s="158"/>
      <c r="O235" s="158"/>
      <c r="P235" s="158"/>
      <c r="Q235" s="11"/>
      <c r="R235" s="11"/>
      <c r="S235" s="11"/>
    </row>
    <row r="236" spans="1:19" s="232" customFormat="1" ht="22.5" x14ac:dyDescent="0.2">
      <c r="A236" s="2">
        <v>40</v>
      </c>
      <c r="B236" s="46" t="s">
        <v>572</v>
      </c>
      <c r="C236" s="158"/>
      <c r="D236" s="158"/>
      <c r="E236" s="159">
        <f>+[12]Пр.4.Амортизация!F48</f>
        <v>0</v>
      </c>
      <c r="F236" s="159">
        <f>+[12]Пр.4.Амортизация!G48</f>
        <v>0</v>
      </c>
      <c r="G236" s="159">
        <f>+[12]Пр.4.Амортизация!H48</f>
        <v>0</v>
      </c>
      <c r="H236" s="159">
        <f>+[12]Пр.4.Амортизация!I48</f>
        <v>0</v>
      </c>
      <c r="I236" s="159">
        <f>+[12]Пр.4.Амортизация!J48</f>
        <v>587</v>
      </c>
      <c r="J236" s="158"/>
      <c r="K236" s="158"/>
      <c r="L236" s="158"/>
      <c r="M236" s="158"/>
      <c r="N236" s="158"/>
      <c r="O236" s="158"/>
      <c r="P236" s="158"/>
      <c r="Q236" s="11"/>
      <c r="R236" s="11"/>
      <c r="S236" s="11"/>
    </row>
    <row r="237" spans="1:19" s="232" customFormat="1" ht="33.75" x14ac:dyDescent="0.2">
      <c r="A237" s="2">
        <v>41</v>
      </c>
      <c r="B237" s="46" t="s">
        <v>573</v>
      </c>
      <c r="C237" s="158"/>
      <c r="D237" s="158"/>
      <c r="E237" s="159">
        <f>+[12]Пр.4.Амортизация!F49</f>
        <v>0</v>
      </c>
      <c r="F237" s="159">
        <f>+[12]Пр.4.Амортизация!G49</f>
        <v>11000</v>
      </c>
      <c r="G237" s="159">
        <f>+[12]Пр.4.Амортизация!H49</f>
        <v>0</v>
      </c>
      <c r="H237" s="159">
        <f>+[12]Пр.4.Амортизация!I49</f>
        <v>0</v>
      </c>
      <c r="I237" s="159">
        <f>+[12]Пр.4.Амортизация!J49</f>
        <v>0</v>
      </c>
      <c r="J237" s="158"/>
      <c r="K237" s="158"/>
      <c r="L237" s="158"/>
      <c r="M237" s="158"/>
      <c r="N237" s="158"/>
      <c r="O237" s="158"/>
      <c r="P237" s="158"/>
      <c r="Q237" s="11"/>
      <c r="R237" s="11"/>
      <c r="S237" s="11"/>
    </row>
    <row r="238" spans="1:19" s="232" customFormat="1" ht="22.5" x14ac:dyDescent="0.2">
      <c r="A238" s="2">
        <v>42</v>
      </c>
      <c r="B238" s="46" t="s">
        <v>574</v>
      </c>
      <c r="C238" s="158"/>
      <c r="D238" s="158"/>
      <c r="E238" s="159">
        <f>+[12]Пр.4.Амортизация!F50</f>
        <v>0</v>
      </c>
      <c r="F238" s="159">
        <f>+[12]Пр.4.Амортизация!G50</f>
        <v>1784</v>
      </c>
      <c r="G238" s="159">
        <f>+[12]Пр.4.Амортизация!H50</f>
        <v>0</v>
      </c>
      <c r="H238" s="159">
        <f>+[12]Пр.4.Амортизация!I50</f>
        <v>0</v>
      </c>
      <c r="I238" s="159">
        <f>+[12]Пр.4.Амортизация!J50</f>
        <v>0</v>
      </c>
      <c r="J238" s="158"/>
      <c r="K238" s="158"/>
      <c r="L238" s="158"/>
      <c r="M238" s="158"/>
      <c r="N238" s="158"/>
      <c r="O238" s="158"/>
      <c r="P238" s="158"/>
      <c r="Q238" s="11"/>
      <c r="R238" s="11"/>
      <c r="S238" s="11"/>
    </row>
    <row r="239" spans="1:19" s="232" customFormat="1" ht="22.5" x14ac:dyDescent="0.2">
      <c r="A239" s="2">
        <v>43</v>
      </c>
      <c r="B239" s="46" t="s">
        <v>575</v>
      </c>
      <c r="C239" s="158"/>
      <c r="D239" s="158"/>
      <c r="E239" s="159">
        <f>+[12]Пр.4.Амортизация!F51</f>
        <v>0</v>
      </c>
      <c r="F239" s="159">
        <f>+[12]Пр.4.Амортизация!G51</f>
        <v>0</v>
      </c>
      <c r="G239" s="159">
        <f>+[12]Пр.4.Амортизация!H51</f>
        <v>0</v>
      </c>
      <c r="H239" s="159">
        <f>+[12]Пр.4.Амортизация!I51</f>
        <v>5888.2466281310208</v>
      </c>
      <c r="I239" s="159">
        <f>+[12]Пр.4.Амортизация!J51</f>
        <v>0</v>
      </c>
      <c r="J239" s="158"/>
      <c r="K239" s="158"/>
      <c r="L239" s="158"/>
      <c r="M239" s="158"/>
      <c r="N239" s="158"/>
      <c r="O239" s="158"/>
      <c r="P239" s="158"/>
      <c r="Q239" s="11"/>
      <c r="R239" s="11"/>
      <c r="S239" s="11"/>
    </row>
    <row r="240" spans="1:19" s="232" customFormat="1" x14ac:dyDescent="0.2">
      <c r="A240" s="2">
        <v>44</v>
      </c>
      <c r="B240" s="46" t="s">
        <v>576</v>
      </c>
      <c r="C240" s="158"/>
      <c r="D240" s="158"/>
      <c r="E240" s="159">
        <f>+[12]Пр.4.Амортизация!F52</f>
        <v>546</v>
      </c>
      <c r="F240" s="159">
        <f>+[12]Пр.4.Амортизация!G52</f>
        <v>0</v>
      </c>
      <c r="G240" s="159">
        <f>+[12]Пр.4.Амортизация!H52</f>
        <v>0</v>
      </c>
      <c r="H240" s="159">
        <f>+[12]Пр.4.Амортизация!I52</f>
        <v>0</v>
      </c>
      <c r="I240" s="159">
        <f>+[12]Пр.4.Амортизация!J52</f>
        <v>0</v>
      </c>
      <c r="J240" s="158"/>
      <c r="K240" s="158"/>
      <c r="L240" s="158"/>
      <c r="M240" s="158"/>
      <c r="N240" s="158"/>
      <c r="O240" s="158"/>
      <c r="P240" s="158"/>
      <c r="Q240" s="11"/>
      <c r="R240" s="11"/>
      <c r="S240" s="11"/>
    </row>
    <row r="241" spans="1:19" s="232" customFormat="1" ht="22.5" x14ac:dyDescent="0.2">
      <c r="A241" s="2">
        <v>45</v>
      </c>
      <c r="B241" s="46" t="s">
        <v>649</v>
      </c>
      <c r="C241" s="158"/>
      <c r="D241" s="158"/>
      <c r="E241" s="159">
        <f>+[12]Пр.4.Амортизация!F53</f>
        <v>0</v>
      </c>
      <c r="F241" s="159">
        <f>+[12]Пр.4.Амортизация!G53</f>
        <v>19073</v>
      </c>
      <c r="G241" s="159">
        <f>+[12]Пр.4.Амортизация!H53</f>
        <v>0</v>
      </c>
      <c r="H241" s="159">
        <f>+[12]Пр.4.Амортизация!I53</f>
        <v>0</v>
      </c>
      <c r="I241" s="159">
        <f>+[12]Пр.4.Амортизация!J53</f>
        <v>0</v>
      </c>
      <c r="J241" s="158"/>
      <c r="K241" s="158"/>
      <c r="L241" s="158"/>
      <c r="M241" s="158"/>
      <c r="N241" s="158"/>
      <c r="O241" s="158"/>
      <c r="P241" s="158"/>
      <c r="Q241" s="11"/>
      <c r="R241" s="11"/>
      <c r="S241" s="11"/>
    </row>
    <row r="242" spans="1:19" s="717" customFormat="1" ht="12.75" customHeight="1" x14ac:dyDescent="0.2">
      <c r="A242" s="714"/>
      <c r="B242" s="715" t="s">
        <v>675</v>
      </c>
      <c r="C242" s="716"/>
      <c r="D242" s="716"/>
      <c r="E242" s="716"/>
      <c r="F242" s="716"/>
      <c r="G242" s="716"/>
      <c r="H242" s="716"/>
      <c r="I242" s="716"/>
      <c r="J242" s="718">
        <f t="shared" ref="J242:P242" si="259">+I246*$R242</f>
        <v>7677.1833942770209</v>
      </c>
      <c r="K242" s="718">
        <f t="shared" ref="K242" si="260">+J246*$R242</f>
        <v>7809.3633942770202</v>
      </c>
      <c r="L242" s="718">
        <f t="shared" ref="L242" si="261">+K246*$R242</f>
        <v>8039.6788961053308</v>
      </c>
      <c r="M242" s="718">
        <f t="shared" ref="M242" si="262">+L246*$R242</f>
        <v>8273.9597979336413</v>
      </c>
      <c r="N242" s="718">
        <f t="shared" si="259"/>
        <v>8515.1501648168014</v>
      </c>
      <c r="O242" s="718">
        <f t="shared" si="259"/>
        <v>8763.3689587548106</v>
      </c>
      <c r="P242" s="718">
        <f t="shared" si="259"/>
        <v>9018.8234636993147</v>
      </c>
      <c r="R242" s="719">
        <v>0.3</v>
      </c>
      <c r="S242" s="717" t="s">
        <v>657</v>
      </c>
    </row>
    <row r="243" spans="1:19" s="23" customFormat="1" x14ac:dyDescent="0.2">
      <c r="A243" s="2"/>
      <c r="B243" s="46"/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22"/>
    </row>
    <row r="244" spans="1:19" s="18" customFormat="1" ht="12.75" customHeight="1" x14ac:dyDescent="0.2">
      <c r="A244" s="941" t="s">
        <v>42</v>
      </c>
      <c r="B244" s="942"/>
      <c r="C244" s="28"/>
      <c r="D244" s="28"/>
      <c r="E244" s="28"/>
      <c r="F244" s="28"/>
      <c r="G244" s="26"/>
      <c r="H244" s="26"/>
      <c r="I244" s="28"/>
      <c r="J244" s="28"/>
      <c r="K244" s="28"/>
      <c r="L244" s="28"/>
      <c r="M244" s="28"/>
      <c r="N244" s="28"/>
      <c r="O244" s="28"/>
      <c r="P244" s="28"/>
      <c r="Q244" s="17"/>
      <c r="R244" s="17"/>
      <c r="S244" s="17"/>
    </row>
    <row r="245" spans="1:19" s="13" customFormat="1" x14ac:dyDescent="0.2">
      <c r="A245" s="1">
        <v>29</v>
      </c>
      <c r="B245" s="44" t="s">
        <v>4</v>
      </c>
      <c r="C245" s="173">
        <f>12*10</f>
        <v>120</v>
      </c>
      <c r="D245" s="180">
        <f>+C245</f>
        <v>120</v>
      </c>
      <c r="E245" s="180">
        <f t="shared" ref="E245:I245" si="263">+D245</f>
        <v>120</v>
      </c>
      <c r="F245" s="180">
        <f t="shared" si="263"/>
        <v>120</v>
      </c>
      <c r="G245" s="180">
        <f t="shared" si="263"/>
        <v>120</v>
      </c>
      <c r="H245" s="180">
        <f t="shared" si="263"/>
        <v>120</v>
      </c>
      <c r="I245" s="180">
        <f t="shared" si="263"/>
        <v>120</v>
      </c>
      <c r="J245" s="180">
        <f t="shared" ref="J245" si="264">+I245</f>
        <v>120</v>
      </c>
      <c r="K245" s="180">
        <f t="shared" ref="K245" si="265">+J245</f>
        <v>120</v>
      </c>
      <c r="L245" s="180">
        <f t="shared" ref="L245" si="266">+K245</f>
        <v>120</v>
      </c>
      <c r="M245" s="180">
        <f t="shared" ref="M245" si="267">+L245</f>
        <v>120</v>
      </c>
      <c r="N245" s="180">
        <f t="shared" ref="N245" si="268">+M245</f>
        <v>120</v>
      </c>
      <c r="O245" s="180">
        <f t="shared" ref="O245" si="269">+N245</f>
        <v>120</v>
      </c>
      <c r="P245" s="180">
        <f t="shared" ref="P245" si="270">+O245</f>
        <v>120</v>
      </c>
    </row>
    <row r="246" spans="1:19" s="130" customFormat="1" x14ac:dyDescent="0.2">
      <c r="A246" s="150">
        <v>30</v>
      </c>
      <c r="B246" s="168" t="s">
        <v>186</v>
      </c>
      <c r="C246" s="176">
        <f>+'[4]+Ам'!$G$97</f>
        <v>1901.0866514436357</v>
      </c>
      <c r="D246" s="177">
        <f>IF(D247-C249-C246&lt;0,0,IF(C249+C246*2&gt;D247,D247-C249-C246,IF(C245=0,C246,+C246+C248/C245*12)))</f>
        <v>1901.0866514436357</v>
      </c>
      <c r="E246" s="177">
        <f>IF(E247-D249-D246&lt;0,0,IF(D249+D246*2&gt;E247,E247-D249-D246,IF(D245=0,D246,+D246+D248/D245*12)))</f>
        <v>1901.0866514436357</v>
      </c>
      <c r="F246" s="177">
        <f>IF(F247-E249-E246&lt;0,0,IF(E249+E246*2&gt;F247,F247-E249-E246,IF(E245=0,E246,+E246+E248/E245*12)))</f>
        <v>3544.4866514436353</v>
      </c>
      <c r="G246" s="177">
        <f t="shared" ref="G246:P246" si="271">IF(G247-F249-F246&lt;0,0,IF(F249+F246*2&gt;G247,G247-F249-F246,IF(F245=0,F246,+F246+F248/F245*12)))</f>
        <v>11495.786651443635</v>
      </c>
      <c r="H246" s="177">
        <f t="shared" si="271"/>
        <v>16393.086651443635</v>
      </c>
      <c r="I246" s="177">
        <f t="shared" si="271"/>
        <v>25590.611314256737</v>
      </c>
      <c r="J246" s="177">
        <f t="shared" si="271"/>
        <v>26031.211314256736</v>
      </c>
      <c r="K246" s="177">
        <f t="shared" si="271"/>
        <v>26798.929653684438</v>
      </c>
      <c r="L246" s="177">
        <f t="shared" si="271"/>
        <v>27579.86599311214</v>
      </c>
      <c r="M246" s="177">
        <f t="shared" si="271"/>
        <v>28383.833882722673</v>
      </c>
      <c r="N246" s="177">
        <f t="shared" si="271"/>
        <v>29211.229862516037</v>
      </c>
      <c r="O246" s="177">
        <f t="shared" si="271"/>
        <v>30062.744878997717</v>
      </c>
      <c r="P246" s="177">
        <f t="shared" si="271"/>
        <v>30939.081774873197</v>
      </c>
    </row>
    <row r="247" spans="1:19" s="96" customFormat="1" x14ac:dyDescent="0.2">
      <c r="A247" s="64">
        <v>31</v>
      </c>
      <c r="B247" s="149" t="s">
        <v>187</v>
      </c>
      <c r="C247" s="178">
        <f>+'[20]Расчет ОК'!$O$77/1000</f>
        <v>16713.085999999999</v>
      </c>
      <c r="D247" s="179">
        <f>+C247+C248</f>
        <v>16713.085999999999</v>
      </c>
      <c r="E247" s="179">
        <f t="shared" ref="E247:P247" si="272">+D247+D248</f>
        <v>16713.085999999999</v>
      </c>
      <c r="F247" s="179">
        <f t="shared" si="272"/>
        <v>33147.085999999996</v>
      </c>
      <c r="G247" s="179">
        <f t="shared" si="272"/>
        <v>112660.086</v>
      </c>
      <c r="H247" s="179">
        <f t="shared" si="272"/>
        <v>161633.08600000001</v>
      </c>
      <c r="I247" s="179">
        <f t="shared" si="272"/>
        <v>253608.33262813103</v>
      </c>
      <c r="J247" s="179">
        <f t="shared" si="272"/>
        <v>258014.33262813103</v>
      </c>
      <c r="K247" s="179">
        <f t="shared" si="272"/>
        <v>265691.51602240803</v>
      </c>
      <c r="L247" s="179">
        <f t="shared" si="272"/>
        <v>273500.87941668503</v>
      </c>
      <c r="M247" s="179">
        <f t="shared" si="272"/>
        <v>281540.55831279035</v>
      </c>
      <c r="N247" s="179">
        <f t="shared" si="272"/>
        <v>289814.51811072399</v>
      </c>
      <c r="O247" s="179">
        <f t="shared" si="272"/>
        <v>298329.66827554081</v>
      </c>
      <c r="P247" s="179">
        <f t="shared" si="272"/>
        <v>307093.03723429563</v>
      </c>
    </row>
    <row r="248" spans="1:19" s="96" customFormat="1" x14ac:dyDescent="0.2">
      <c r="A248" s="64"/>
      <c r="B248" s="149" t="s">
        <v>191</v>
      </c>
      <c r="C248" s="178">
        <v>0</v>
      </c>
      <c r="D248" s="178">
        <v>0</v>
      </c>
      <c r="E248" s="179">
        <f>+E220</f>
        <v>16434</v>
      </c>
      <c r="F248" s="179">
        <f>+F220</f>
        <v>79513</v>
      </c>
      <c r="G248" s="179">
        <f>+G220</f>
        <v>48973</v>
      </c>
      <c r="H248" s="179">
        <f t="shared" ref="H248:P248" si="273">+H220</f>
        <v>91975.246628131019</v>
      </c>
      <c r="I248" s="179">
        <f t="shared" si="273"/>
        <v>4406</v>
      </c>
      <c r="J248" s="179">
        <f t="shared" si="273"/>
        <v>7677.1833942770209</v>
      </c>
      <c r="K248" s="179">
        <f t="shared" si="273"/>
        <v>7809.3633942770202</v>
      </c>
      <c r="L248" s="179">
        <f t="shared" si="273"/>
        <v>8039.6788961053308</v>
      </c>
      <c r="M248" s="179">
        <f t="shared" si="273"/>
        <v>8273.9597979336413</v>
      </c>
      <c r="N248" s="179">
        <f t="shared" si="273"/>
        <v>8515.1501648168014</v>
      </c>
      <c r="O248" s="179">
        <f t="shared" si="273"/>
        <v>8763.3689587548106</v>
      </c>
      <c r="P248" s="179">
        <f t="shared" si="273"/>
        <v>9018.8234636993147</v>
      </c>
    </row>
    <row r="249" spans="1:19" s="96" customFormat="1" x14ac:dyDescent="0.2">
      <c r="A249" s="64"/>
      <c r="B249" s="149" t="s">
        <v>190</v>
      </c>
      <c r="C249" s="178">
        <f>+'[20]Расчет ОК'!$P$77/1000-C246/12*7</f>
        <v>3473.6004766578799</v>
      </c>
      <c r="D249" s="179">
        <f>IF(+C249+C246&gt;C247,C247,+C249+C246)</f>
        <v>5374.6871281015156</v>
      </c>
      <c r="E249" s="179">
        <f t="shared" ref="E249:P249" si="274">IF(+D249+D246&gt;D247,D247,+D249+D246)</f>
        <v>7275.7737795451512</v>
      </c>
      <c r="F249" s="179">
        <f t="shared" si="274"/>
        <v>9176.8604309887869</v>
      </c>
      <c r="G249" s="179">
        <f t="shared" si="274"/>
        <v>12721.347082432421</v>
      </c>
      <c r="H249" s="179">
        <f t="shared" si="274"/>
        <v>24217.133733876057</v>
      </c>
      <c r="I249" s="179">
        <f t="shared" si="274"/>
        <v>40610.220385319692</v>
      </c>
      <c r="J249" s="179">
        <f t="shared" si="274"/>
        <v>66200.831699576433</v>
      </c>
      <c r="K249" s="179">
        <f t="shared" si="274"/>
        <v>92232.043013833172</v>
      </c>
      <c r="L249" s="179">
        <f t="shared" si="274"/>
        <v>119030.97266751761</v>
      </c>
      <c r="M249" s="179">
        <f t="shared" si="274"/>
        <v>146610.83866062976</v>
      </c>
      <c r="N249" s="179">
        <f t="shared" si="274"/>
        <v>174994.67254335244</v>
      </c>
      <c r="O249" s="179">
        <f t="shared" si="274"/>
        <v>204205.90240586849</v>
      </c>
      <c r="P249" s="179">
        <f t="shared" si="274"/>
        <v>234268.64728486619</v>
      </c>
    </row>
    <row r="250" spans="1:19" s="96" customFormat="1" x14ac:dyDescent="0.2">
      <c r="A250" s="64"/>
      <c r="B250" s="149" t="s">
        <v>189</v>
      </c>
      <c r="C250" s="174">
        <f>+C249/C247</f>
        <v>0.20783716883033332</v>
      </c>
      <c r="D250" s="174">
        <f t="shared" ref="D250:P250" si="275">+D249/D247</f>
        <v>0.32158556044655762</v>
      </c>
      <c r="E250" s="174">
        <f t="shared" si="275"/>
        <v>0.43533395206278191</v>
      </c>
      <c r="F250" s="174">
        <f t="shared" si="275"/>
        <v>0.27685270527215539</v>
      </c>
      <c r="G250" s="174">
        <f t="shared" si="275"/>
        <v>0.11291795998125212</v>
      </c>
      <c r="H250" s="174">
        <f t="shared" si="275"/>
        <v>0.14982782506470274</v>
      </c>
      <c r="I250" s="174">
        <f t="shared" si="275"/>
        <v>0.16012967698844088</v>
      </c>
      <c r="J250" s="174">
        <f t="shared" si="275"/>
        <v>0.25657811729005719</v>
      </c>
      <c r="K250" s="174">
        <f t="shared" si="275"/>
        <v>0.34713958651978355</v>
      </c>
      <c r="L250" s="174">
        <f t="shared" si="275"/>
        <v>0.435212394641595</v>
      </c>
      <c r="M250" s="174">
        <f t="shared" si="275"/>
        <v>0.52074500220940012</v>
      </c>
      <c r="N250" s="174">
        <f t="shared" si="275"/>
        <v>0.60381610170576583</v>
      </c>
      <c r="O250" s="174">
        <f t="shared" si="275"/>
        <v>0.68449746747032048</v>
      </c>
      <c r="P250" s="174">
        <f t="shared" si="275"/>
        <v>0.76285886972465511</v>
      </c>
    </row>
    <row r="251" spans="1:19" s="96" customFormat="1" x14ac:dyDescent="0.2">
      <c r="A251" s="64">
        <v>32</v>
      </c>
      <c r="B251" s="149" t="s">
        <v>188</v>
      </c>
      <c r="C251" s="180">
        <f>IF(+C247+C248-C249-C246&lt;0,0,+C247+C248-C249-C246)</f>
        <v>11338.398871898484</v>
      </c>
      <c r="D251" s="180">
        <f t="shared" ref="D251:P251" si="276">IF(+D247+D248-D249-D246&lt;0,0,+D247+D248-D249-D246)</f>
        <v>9437.312220454849</v>
      </c>
      <c r="E251" s="180">
        <f t="shared" si="276"/>
        <v>23970.225569011211</v>
      </c>
      <c r="F251" s="180">
        <f t="shared" si="276"/>
        <v>99938.738917567578</v>
      </c>
      <c r="G251" s="180">
        <f t="shared" si="276"/>
        <v>137415.95226612396</v>
      </c>
      <c r="H251" s="180">
        <f t="shared" si="276"/>
        <v>212998.11224281136</v>
      </c>
      <c r="I251" s="180">
        <f t="shared" si="276"/>
        <v>191813.5009285546</v>
      </c>
      <c r="J251" s="180">
        <f t="shared" si="276"/>
        <v>173459.47300857486</v>
      </c>
      <c r="K251" s="180">
        <f t="shared" si="276"/>
        <v>154469.90674916742</v>
      </c>
      <c r="L251" s="180">
        <f t="shared" si="276"/>
        <v>134929.71965216059</v>
      </c>
      <c r="M251" s="180">
        <f t="shared" si="276"/>
        <v>114819.84556737157</v>
      </c>
      <c r="N251" s="180">
        <f t="shared" si="276"/>
        <v>94123.765869672337</v>
      </c>
      <c r="O251" s="180">
        <f t="shared" si="276"/>
        <v>72824.389949429416</v>
      </c>
      <c r="P251" s="180">
        <f t="shared" si="276"/>
        <v>50904.131638255552</v>
      </c>
    </row>
    <row r="252" spans="1:19" s="96" customFormat="1" ht="22.5" x14ac:dyDescent="0.2">
      <c r="A252" s="64">
        <v>34</v>
      </c>
      <c r="B252" s="65" t="s">
        <v>11</v>
      </c>
      <c r="C252" s="199">
        <f>+[21]ГОД!$AG$131</f>
        <v>123.02700000000002</v>
      </c>
      <c r="D252" s="181">
        <f>+D251*2.2%</f>
        <v>207.6208688500067</v>
      </c>
      <c r="E252" s="181">
        <f t="shared" ref="E252:P252" si="277">+E251*2.2%</f>
        <v>527.34496251824669</v>
      </c>
      <c r="F252" s="181">
        <f t="shared" si="277"/>
        <v>2198.6522561864867</v>
      </c>
      <c r="G252" s="181">
        <f t="shared" si="277"/>
        <v>3023.1509498547275</v>
      </c>
      <c r="H252" s="181">
        <f t="shared" si="277"/>
        <v>4685.9584693418501</v>
      </c>
      <c r="I252" s="181">
        <f t="shared" si="277"/>
        <v>4219.8970204282014</v>
      </c>
      <c r="J252" s="181">
        <f t="shared" si="277"/>
        <v>3816.1084061886472</v>
      </c>
      <c r="K252" s="181">
        <f t="shared" si="277"/>
        <v>3398.3379484816837</v>
      </c>
      <c r="L252" s="181">
        <f t="shared" si="277"/>
        <v>2968.4538323475335</v>
      </c>
      <c r="M252" s="181">
        <f t="shared" si="277"/>
        <v>2526.0366024821747</v>
      </c>
      <c r="N252" s="181">
        <f t="shared" si="277"/>
        <v>2070.7228491327915</v>
      </c>
      <c r="O252" s="181">
        <f t="shared" si="277"/>
        <v>1602.1365788874473</v>
      </c>
      <c r="P252" s="181">
        <f t="shared" si="277"/>
        <v>1119.8908960416222</v>
      </c>
    </row>
    <row r="253" spans="1:19" s="96" customFormat="1" x14ac:dyDescent="0.2">
      <c r="A253" s="64">
        <v>35</v>
      </c>
      <c r="B253" s="65" t="s">
        <v>43</v>
      </c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</row>
    <row r="254" spans="1:19" s="96" customFormat="1" x14ac:dyDescent="0.2">
      <c r="A254" s="64">
        <v>36</v>
      </c>
      <c r="B254" s="65" t="s">
        <v>44</v>
      </c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</row>
    <row r="255" spans="1:19" s="96" customFormat="1" x14ac:dyDescent="0.2">
      <c r="A255" s="64">
        <v>37</v>
      </c>
      <c r="B255" s="65" t="s">
        <v>45</v>
      </c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</row>
    <row r="256" spans="1:19" s="96" customFormat="1" x14ac:dyDescent="0.2">
      <c r="A256" s="64">
        <v>38</v>
      </c>
      <c r="B256" s="129" t="s">
        <v>46</v>
      </c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</row>
    <row r="257" spans="1:19" s="96" customFormat="1" x14ac:dyDescent="0.2">
      <c r="A257" s="64">
        <v>39</v>
      </c>
      <c r="B257" s="129" t="s">
        <v>360</v>
      </c>
      <c r="C257" s="182">
        <f>C246+C252+C256</f>
        <v>2024.1136514436357</v>
      </c>
      <c r="D257" s="182">
        <f>D246+D252+D256</f>
        <v>2108.7075202936426</v>
      </c>
      <c r="E257" s="182">
        <f t="shared" ref="E257:P257" si="278">E246+E252+E256</f>
        <v>2428.4316139618822</v>
      </c>
      <c r="F257" s="182">
        <f t="shared" si="278"/>
        <v>5743.138907630122</v>
      </c>
      <c r="G257" s="182">
        <f t="shared" si="278"/>
        <v>14518.937601298363</v>
      </c>
      <c r="H257" s="182">
        <f t="shared" si="278"/>
        <v>21079.045120785486</v>
      </c>
      <c r="I257" s="182">
        <f t="shared" si="278"/>
        <v>29810.508334684939</v>
      </c>
      <c r="J257" s="182">
        <f t="shared" si="278"/>
        <v>29847.319720445383</v>
      </c>
      <c r="K257" s="182">
        <f t="shared" si="278"/>
        <v>30197.267602166121</v>
      </c>
      <c r="L257" s="182">
        <f t="shared" si="278"/>
        <v>30548.319825459672</v>
      </c>
      <c r="M257" s="182">
        <f t="shared" si="278"/>
        <v>30909.870485204847</v>
      </c>
      <c r="N257" s="182">
        <f t="shared" si="278"/>
        <v>31281.952711648828</v>
      </c>
      <c r="O257" s="182">
        <f t="shared" si="278"/>
        <v>31664.881457885163</v>
      </c>
      <c r="P257" s="182">
        <f t="shared" si="278"/>
        <v>32058.97267091482</v>
      </c>
    </row>
    <row r="258" spans="1:19" s="96" customFormat="1" x14ac:dyDescent="0.2">
      <c r="A258" s="64">
        <v>40</v>
      </c>
      <c r="B258" s="129" t="s">
        <v>13</v>
      </c>
      <c r="C258" s="172"/>
      <c r="D258" s="172"/>
      <c r="E258" s="172"/>
      <c r="F258" s="172"/>
      <c r="G258" s="172"/>
      <c r="H258" s="172"/>
      <c r="I258" s="172"/>
      <c r="J258" s="172"/>
      <c r="K258" s="172"/>
      <c r="L258" s="172"/>
      <c r="M258" s="172"/>
      <c r="N258" s="172"/>
      <c r="O258" s="172"/>
      <c r="P258" s="172"/>
    </row>
    <row r="259" spans="1:19" s="96" customFormat="1" x14ac:dyDescent="0.2">
      <c r="A259" s="64"/>
      <c r="B259" s="168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</row>
    <row r="260" spans="1:19" s="18" customFormat="1" ht="12.75" customHeight="1" x14ac:dyDescent="0.2">
      <c r="A260" s="941" t="s">
        <v>386</v>
      </c>
      <c r="B260" s="942"/>
      <c r="C260" s="48"/>
      <c r="D260" s="28"/>
      <c r="E260" s="28"/>
      <c r="F260" s="28"/>
      <c r="G260" s="26"/>
      <c r="H260" s="26"/>
      <c r="I260" s="28"/>
      <c r="J260" s="28"/>
      <c r="K260" s="28"/>
      <c r="L260" s="28"/>
      <c r="M260" s="28"/>
      <c r="N260" s="28"/>
      <c r="O260" s="28"/>
      <c r="P260" s="28"/>
      <c r="Q260" s="17"/>
      <c r="R260" s="17"/>
      <c r="S260" s="17"/>
    </row>
    <row r="261" spans="1:19" s="139" customFormat="1" x14ac:dyDescent="0.2">
      <c r="A261" s="64">
        <v>43</v>
      </c>
      <c r="B261" s="168" t="s">
        <v>361</v>
      </c>
      <c r="C261" s="189">
        <f>SUM(C262:C263)</f>
        <v>632837.35618925199</v>
      </c>
      <c r="D261" s="189">
        <f t="shared" ref="D261:P261" si="279">SUM(D262:D263)</f>
        <v>921664.13269001071</v>
      </c>
      <c r="E261" s="189">
        <f t="shared" si="279"/>
        <v>951263.51274217619</v>
      </c>
      <c r="F261" s="189">
        <f t="shared" si="279"/>
        <v>1005824.5879669074</v>
      </c>
      <c r="G261" s="189">
        <f t="shared" si="279"/>
        <v>1070065.7691438471</v>
      </c>
      <c r="H261" s="189">
        <f t="shared" si="279"/>
        <v>1130286.381830432</v>
      </c>
      <c r="I261" s="189">
        <f t="shared" si="279"/>
        <v>1195925.7165386414</v>
      </c>
      <c r="J261" s="189">
        <f t="shared" si="279"/>
        <v>1172499.5846685169</v>
      </c>
      <c r="K261" s="189">
        <f t="shared" si="279"/>
        <v>1176902.8703751646</v>
      </c>
      <c r="L261" s="189">
        <f t="shared" si="279"/>
        <v>1182966.8766671992</v>
      </c>
      <c r="M261" s="189">
        <f t="shared" si="279"/>
        <v>1188794.965699323</v>
      </c>
      <c r="N261" s="189">
        <f t="shared" si="279"/>
        <v>1194586.4522175821</v>
      </c>
      <c r="O261" s="189">
        <f t="shared" si="279"/>
        <v>1212345.7910116068</v>
      </c>
      <c r="P261" s="189">
        <f t="shared" si="279"/>
        <v>1242486.8263417184</v>
      </c>
      <c r="Q261" s="96"/>
      <c r="R261" s="96"/>
      <c r="S261" s="96"/>
    </row>
    <row r="262" spans="1:19" s="139" customFormat="1" x14ac:dyDescent="0.2">
      <c r="A262" s="64" t="s">
        <v>81</v>
      </c>
      <c r="B262" s="149" t="s">
        <v>36</v>
      </c>
      <c r="C262" s="160">
        <f t="shared" ref="C262:P262" si="280">+C101*C204</f>
        <v>630012.88644195115</v>
      </c>
      <c r="D262" s="160">
        <f t="shared" si="280"/>
        <v>918781.90265165525</v>
      </c>
      <c r="E262" s="160">
        <f t="shared" si="280"/>
        <v>948150.70430075226</v>
      </c>
      <c r="F262" s="160">
        <f t="shared" si="280"/>
        <v>1002462.7548501695</v>
      </c>
      <c r="G262" s="160">
        <f t="shared" si="280"/>
        <v>1066434.9893777701</v>
      </c>
      <c r="H262" s="160">
        <f t="shared" si="280"/>
        <v>1126365.139683069</v>
      </c>
      <c r="I262" s="160">
        <f t="shared" si="280"/>
        <v>1191690.7750194892</v>
      </c>
      <c r="J262" s="160">
        <f t="shared" si="280"/>
        <v>1168264.6431493647</v>
      </c>
      <c r="K262" s="160">
        <f t="shared" si="280"/>
        <v>1172667.9288560124</v>
      </c>
      <c r="L262" s="160">
        <f t="shared" si="280"/>
        <v>1178731.9351480471</v>
      </c>
      <c r="M262" s="160">
        <f t="shared" si="280"/>
        <v>1184560.0241801708</v>
      </c>
      <c r="N262" s="160">
        <f t="shared" si="280"/>
        <v>1190351.51069843</v>
      </c>
      <c r="O262" s="160">
        <f t="shared" si="280"/>
        <v>1208068.5000772632</v>
      </c>
      <c r="P262" s="160">
        <f t="shared" si="280"/>
        <v>1238123.9895886879</v>
      </c>
      <c r="Q262" s="96"/>
      <c r="R262" s="96"/>
      <c r="S262" s="96"/>
    </row>
    <row r="263" spans="1:19" s="139" customFormat="1" x14ac:dyDescent="0.2">
      <c r="A263" s="64" t="s">
        <v>195</v>
      </c>
      <c r="B263" s="149" t="s">
        <v>269</v>
      </c>
      <c r="C263" s="160">
        <f>+C199*C212</f>
        <v>2824.4697473008368</v>
      </c>
      <c r="D263" s="160">
        <f t="shared" ref="D263:P263" si="281">+D199*D212</f>
        <v>2882.2300383555003</v>
      </c>
      <c r="E263" s="160">
        <f t="shared" si="281"/>
        <v>3112.8084414239406</v>
      </c>
      <c r="F263" s="160">
        <f t="shared" si="281"/>
        <v>3361.833116737856</v>
      </c>
      <c r="G263" s="160">
        <f t="shared" si="281"/>
        <v>3630.7797660768847</v>
      </c>
      <c r="H263" s="160">
        <f t="shared" si="281"/>
        <v>3921.2421473630357</v>
      </c>
      <c r="I263" s="160">
        <f t="shared" si="281"/>
        <v>4234.9415191520784</v>
      </c>
      <c r="J263" s="160">
        <f t="shared" si="281"/>
        <v>4234.9415191520784</v>
      </c>
      <c r="K263" s="160">
        <f t="shared" si="281"/>
        <v>4234.9415191520784</v>
      </c>
      <c r="L263" s="160">
        <f t="shared" si="281"/>
        <v>4234.9415191520784</v>
      </c>
      <c r="M263" s="160">
        <f t="shared" si="281"/>
        <v>4234.9415191520784</v>
      </c>
      <c r="N263" s="160">
        <f t="shared" si="281"/>
        <v>4234.9415191520784</v>
      </c>
      <c r="O263" s="160">
        <f t="shared" si="281"/>
        <v>4277.2909343435995</v>
      </c>
      <c r="P263" s="160">
        <f t="shared" si="281"/>
        <v>4362.8367530304713</v>
      </c>
      <c r="Q263" s="96"/>
      <c r="R263" s="96"/>
      <c r="S263" s="96"/>
    </row>
    <row r="264" spans="1:19" s="139" customFormat="1" x14ac:dyDescent="0.2">
      <c r="A264" s="64"/>
      <c r="B264" s="149"/>
      <c r="C264" s="187"/>
      <c r="D264" s="258"/>
      <c r="E264" s="258"/>
      <c r="F264" s="258"/>
      <c r="G264" s="258"/>
      <c r="H264" s="258"/>
      <c r="I264" s="258"/>
      <c r="J264" s="258"/>
      <c r="K264" s="258"/>
      <c r="L264" s="258"/>
      <c r="M264" s="258"/>
      <c r="N264" s="258"/>
      <c r="O264" s="258"/>
      <c r="P264" s="258"/>
      <c r="Q264" s="96"/>
      <c r="R264" s="96"/>
      <c r="S264" s="96"/>
    </row>
    <row r="265" spans="1:19" s="139" customFormat="1" ht="22.5" x14ac:dyDescent="0.2">
      <c r="A265" s="64">
        <v>44</v>
      </c>
      <c r="B265" s="168" t="s">
        <v>387</v>
      </c>
      <c r="C265" s="193">
        <f t="shared" ref="C265:P265" si="282">+C266+C276+C285</f>
        <v>767606.77035803604</v>
      </c>
      <c r="D265" s="193">
        <f t="shared" si="282"/>
        <v>1004430.3702220614</v>
      </c>
      <c r="E265" s="193">
        <f t="shared" si="282"/>
        <v>1012843.1545451379</v>
      </c>
      <c r="F265" s="193">
        <f t="shared" si="282"/>
        <v>1036674.1886251692</v>
      </c>
      <c r="G265" s="193">
        <f t="shared" si="282"/>
        <v>1067004.6737020528</v>
      </c>
      <c r="H265" s="193">
        <f t="shared" si="282"/>
        <v>1095911.8949193498</v>
      </c>
      <c r="I265" s="193">
        <f t="shared" si="282"/>
        <v>1125359.2479429299</v>
      </c>
      <c r="J265" s="193">
        <f t="shared" si="282"/>
        <v>1150108.8874728261</v>
      </c>
      <c r="K265" s="193">
        <f t="shared" si="282"/>
        <v>1184760.2985097014</v>
      </c>
      <c r="L265" s="193">
        <f t="shared" si="282"/>
        <v>1221716.3831237436</v>
      </c>
      <c r="M265" s="193">
        <f t="shared" si="282"/>
        <v>1259816.1416712247</v>
      </c>
      <c r="N265" s="193">
        <f t="shared" si="282"/>
        <v>1299236.5688378937</v>
      </c>
      <c r="O265" s="193">
        <f t="shared" si="282"/>
        <v>1340023.4468384392</v>
      </c>
      <c r="P265" s="193">
        <f t="shared" si="282"/>
        <v>1383504.9225544655</v>
      </c>
      <c r="Q265" s="96"/>
      <c r="R265" s="96"/>
      <c r="S265" s="96"/>
    </row>
    <row r="266" spans="1:19" s="18" customFormat="1" x14ac:dyDescent="0.2">
      <c r="A266" s="56" t="s">
        <v>156</v>
      </c>
      <c r="B266" s="6" t="s">
        <v>157</v>
      </c>
      <c r="C266" s="193">
        <f t="shared" ref="C266:P266" si="283">+C267+C268+C269+C272+C273+C274+C275</f>
        <v>83517.653178972629</v>
      </c>
      <c r="D266" s="193">
        <f t="shared" si="283"/>
        <v>122419.52615903864</v>
      </c>
      <c r="E266" s="193">
        <f t="shared" si="283"/>
        <v>127316.3072054002</v>
      </c>
      <c r="F266" s="193">
        <f t="shared" si="283"/>
        <v>132408.95949361622</v>
      </c>
      <c r="G266" s="193">
        <f t="shared" si="283"/>
        <v>135298.97419336086</v>
      </c>
      <c r="H266" s="193">
        <f t="shared" si="283"/>
        <v>140710.93316109528</v>
      </c>
      <c r="I266" s="193">
        <f t="shared" si="283"/>
        <v>146339.37048753913</v>
      </c>
      <c r="J266" s="193">
        <f t="shared" si="283"/>
        <v>152192.94530704067</v>
      </c>
      <c r="K266" s="193">
        <f t="shared" si="283"/>
        <v>158280.6631193223</v>
      </c>
      <c r="L266" s="193">
        <f t="shared" si="283"/>
        <v>164611.88964409524</v>
      </c>
      <c r="M266" s="193">
        <f t="shared" si="283"/>
        <v>171196.36522985905</v>
      </c>
      <c r="N266" s="193">
        <f t="shared" si="283"/>
        <v>178044.2198390534</v>
      </c>
      <c r="O266" s="193">
        <f t="shared" si="283"/>
        <v>185165.98863261554</v>
      </c>
      <c r="P266" s="193">
        <f t="shared" si="283"/>
        <v>192572.62817792015</v>
      </c>
      <c r="Q266" s="17"/>
      <c r="R266" s="96"/>
      <c r="S266" s="96"/>
    </row>
    <row r="267" spans="1:19" x14ac:dyDescent="0.2">
      <c r="A267" s="2"/>
      <c r="B267" s="259" t="s">
        <v>196</v>
      </c>
      <c r="C267" s="194">
        <f>+'[4]+Оп_i0'!$L$6</f>
        <v>3239.1645741502571</v>
      </c>
      <c r="D267" s="194">
        <f>+'[4]+Оп_i0'!$W$6</f>
        <v>3360.5233824337565</v>
      </c>
      <c r="E267" s="160">
        <f>+D267*(D$216)</f>
        <v>3494.9443177311068</v>
      </c>
      <c r="F267" s="160">
        <f t="shared" ref="F267:L267" si="284">+E267*(E$216)</f>
        <v>3634.7420904403511</v>
      </c>
      <c r="G267" s="160">
        <f t="shared" si="284"/>
        <v>3780.1317740579652</v>
      </c>
      <c r="H267" s="160">
        <f t="shared" si="284"/>
        <v>3931.3370450202838</v>
      </c>
      <c r="I267" s="160">
        <f t="shared" si="284"/>
        <v>4088.5905268210954</v>
      </c>
      <c r="J267" s="160">
        <f t="shared" si="284"/>
        <v>4252.1341478939394</v>
      </c>
      <c r="K267" s="160">
        <f t="shared" si="284"/>
        <v>4422.2195138096968</v>
      </c>
      <c r="L267" s="160">
        <f t="shared" si="284"/>
        <v>4599.108294362085</v>
      </c>
      <c r="M267" s="160">
        <f>+L267*(L$216)</f>
        <v>4783.0726261365689</v>
      </c>
      <c r="N267" s="160">
        <f t="shared" ref="N267:P267" si="285">+M267*(M$216)</f>
        <v>4974.3955311820318</v>
      </c>
      <c r="O267" s="160">
        <f t="shared" si="285"/>
        <v>5173.3713524293134</v>
      </c>
      <c r="P267" s="160">
        <f t="shared" si="285"/>
        <v>5380.3062065264858</v>
      </c>
      <c r="R267" s="96"/>
      <c r="S267" s="96"/>
    </row>
    <row r="268" spans="1:19" s="202" customFormat="1" x14ac:dyDescent="0.2">
      <c r="A268" s="200"/>
      <c r="B268" s="191" t="s">
        <v>363</v>
      </c>
      <c r="C268" s="260">
        <f>+'[4]+Оп_i0'!$L$12</f>
        <v>5270.7370900000005</v>
      </c>
      <c r="D268" s="612">
        <f>+[9]ГОД!$AE$51+[9]ГОД!$AE$64+[9]ГОД!$AE$65</f>
        <v>9676</v>
      </c>
      <c r="E268" s="160">
        <f t="shared" ref="E268:L273" si="286">+D268*(D$216)</f>
        <v>10063.040000000001</v>
      </c>
      <c r="F268" s="160">
        <f t="shared" si="286"/>
        <v>10465.561600000001</v>
      </c>
      <c r="G268" s="160">
        <f t="shared" si="286"/>
        <v>10884.184064000001</v>
      </c>
      <c r="H268" s="160">
        <f t="shared" si="286"/>
        <v>11319.551426560001</v>
      </c>
      <c r="I268" s="160">
        <f t="shared" si="286"/>
        <v>11772.333483622402</v>
      </c>
      <c r="J268" s="160">
        <f t="shared" si="286"/>
        <v>12243.226822967299</v>
      </c>
      <c r="K268" s="160">
        <f t="shared" si="286"/>
        <v>12732.955895885991</v>
      </c>
      <c r="L268" s="160">
        <f t="shared" si="286"/>
        <v>13242.274131721431</v>
      </c>
      <c r="M268" s="160">
        <f t="shared" ref="M268:P269" si="287">+L268*(L$216)</f>
        <v>13771.965096990289</v>
      </c>
      <c r="N268" s="160">
        <f t="shared" si="287"/>
        <v>14322.8437008699</v>
      </c>
      <c r="O268" s="160">
        <f t="shared" si="287"/>
        <v>14895.757448904697</v>
      </c>
      <c r="P268" s="160">
        <f t="shared" si="287"/>
        <v>15491.587746860885</v>
      </c>
      <c r="Q268" s="201"/>
      <c r="R268" s="96"/>
      <c r="S268" s="96"/>
    </row>
    <row r="269" spans="1:19" x14ac:dyDescent="0.2">
      <c r="A269" s="2"/>
      <c r="B269" s="191" t="s">
        <v>197</v>
      </c>
      <c r="C269" s="194">
        <f>+'[4]+Оп_i0'!$L$16</f>
        <v>65763.097581356298</v>
      </c>
      <c r="D269" s="194">
        <f>+'[4]+Оп_i0'!$W$16</f>
        <v>100485.47630931565</v>
      </c>
      <c r="E269" s="160">
        <f>+D269*(D$216)</f>
        <v>104504.89536168828</v>
      </c>
      <c r="F269" s="160">
        <f t="shared" si="286"/>
        <v>108685.09117615581</v>
      </c>
      <c r="G269" s="160">
        <f>+F269*(F$216)+G270</f>
        <v>110626.15114320203</v>
      </c>
      <c r="H269" s="160">
        <f t="shared" si="286"/>
        <v>115051.19718893012</v>
      </c>
      <c r="I269" s="160">
        <f t="shared" si="286"/>
        <v>119653.24507648734</v>
      </c>
      <c r="J269" s="160">
        <f t="shared" si="286"/>
        <v>124439.37487954683</v>
      </c>
      <c r="K269" s="160">
        <f t="shared" si="286"/>
        <v>129416.9498747287</v>
      </c>
      <c r="L269" s="160">
        <f t="shared" si="286"/>
        <v>134593.62786971786</v>
      </c>
      <c r="M269" s="160">
        <f t="shared" si="287"/>
        <v>139977.3729845066</v>
      </c>
      <c r="N269" s="160">
        <f t="shared" si="287"/>
        <v>145576.46790388686</v>
      </c>
      <c r="O269" s="160">
        <f t="shared" si="287"/>
        <v>151399.52662004234</v>
      </c>
      <c r="P269" s="160">
        <f t="shared" si="287"/>
        <v>157455.50768484402</v>
      </c>
      <c r="R269" s="96"/>
      <c r="S269" s="96"/>
    </row>
    <row r="270" spans="1:19" s="247" customFormat="1" ht="33.75" x14ac:dyDescent="0.2">
      <c r="A270" s="244"/>
      <c r="B270" s="559" t="s">
        <v>529</v>
      </c>
      <c r="C270" s="562"/>
      <c r="D270" s="562"/>
      <c r="E270" s="562"/>
      <c r="F270" s="562"/>
      <c r="G270" s="563">
        <f>-2781/1.3*E216*F216*G216</f>
        <v>-2406.3436799999999</v>
      </c>
      <c r="H270" s="562"/>
      <c r="I270" s="562"/>
      <c r="J270" s="562"/>
      <c r="K270" s="562"/>
      <c r="L270" s="562"/>
      <c r="M270" s="562"/>
      <c r="N270" s="562"/>
      <c r="O270" s="562"/>
      <c r="P270" s="562"/>
    </row>
    <row r="271" spans="1:19" s="235" customFormat="1" x14ac:dyDescent="0.2">
      <c r="A271" s="558"/>
      <c r="B271" s="262"/>
      <c r="C271" s="560"/>
      <c r="D271" s="560"/>
      <c r="E271" s="560"/>
      <c r="F271" s="560"/>
      <c r="G271" s="560"/>
      <c r="H271" s="560"/>
      <c r="I271" s="560"/>
      <c r="J271" s="560"/>
      <c r="K271" s="560"/>
      <c r="L271" s="560"/>
      <c r="M271" s="560"/>
      <c r="N271" s="560"/>
      <c r="O271" s="560"/>
      <c r="P271" s="560"/>
    </row>
    <row r="272" spans="1:19" ht="22.5" x14ac:dyDescent="0.2">
      <c r="A272" s="2"/>
      <c r="B272" s="259" t="s">
        <v>198</v>
      </c>
      <c r="C272" s="194">
        <f>+'[4]+Оп_i0'!$L$17</f>
        <v>2532.1330703230624</v>
      </c>
      <c r="D272" s="194">
        <f>+'[4]+Оп_i0'!$W$17</f>
        <v>2627.0021777101911</v>
      </c>
      <c r="E272" s="160">
        <f t="shared" si="286"/>
        <v>2732.082264818599</v>
      </c>
      <c r="F272" s="160">
        <f t="shared" si="286"/>
        <v>2841.3655554113429</v>
      </c>
      <c r="G272" s="160">
        <f t="shared" si="286"/>
        <v>2955.0201776277968</v>
      </c>
      <c r="H272" s="160">
        <f t="shared" si="286"/>
        <v>3073.2209847329086</v>
      </c>
      <c r="I272" s="160">
        <f t="shared" si="286"/>
        <v>3196.1498241222253</v>
      </c>
      <c r="J272" s="160">
        <f t="shared" si="286"/>
        <v>3323.9958170871146</v>
      </c>
      <c r="K272" s="160">
        <f t="shared" si="286"/>
        <v>3456.9556497705994</v>
      </c>
      <c r="L272" s="160">
        <f t="shared" si="286"/>
        <v>3595.2338757614234</v>
      </c>
      <c r="M272" s="160">
        <f t="shared" ref="M272:P272" si="288">+L272*(L$216)</f>
        <v>3739.0432307918804</v>
      </c>
      <c r="N272" s="160">
        <f t="shared" si="288"/>
        <v>3888.6049600235556</v>
      </c>
      <c r="O272" s="160">
        <f t="shared" si="288"/>
        <v>4044.1491584244977</v>
      </c>
      <c r="P272" s="160">
        <f t="shared" si="288"/>
        <v>4205.9151247614782</v>
      </c>
      <c r="R272" s="96"/>
      <c r="S272" s="96"/>
    </row>
    <row r="273" spans="1:19" ht="22.5" x14ac:dyDescent="0.2">
      <c r="A273" s="2"/>
      <c r="B273" s="259" t="s">
        <v>199</v>
      </c>
      <c r="C273" s="194">
        <f>+'[4]+Оп_i0'!$L$25</f>
        <v>2068.9387890027538</v>
      </c>
      <c r="D273" s="194">
        <f>+'[4]+Оп_i0'!$W$25</f>
        <v>4175.146803589193</v>
      </c>
      <c r="E273" s="160">
        <f t="shared" si="286"/>
        <v>4342.1526757327611</v>
      </c>
      <c r="F273" s="160">
        <f t="shared" si="286"/>
        <v>4515.8387827620718</v>
      </c>
      <c r="G273" s="160">
        <f t="shared" si="286"/>
        <v>4696.472334072555</v>
      </c>
      <c r="H273" s="160">
        <f t="shared" si="286"/>
        <v>4884.3312274354575</v>
      </c>
      <c r="I273" s="160">
        <f t="shared" si="286"/>
        <v>5079.7044765328765</v>
      </c>
      <c r="J273" s="160">
        <f t="shared" si="286"/>
        <v>5282.8926555941916</v>
      </c>
      <c r="K273" s="160">
        <f t="shared" si="286"/>
        <v>5494.2083618179595</v>
      </c>
      <c r="L273" s="160">
        <f t="shared" si="286"/>
        <v>5713.9766962906779</v>
      </c>
      <c r="M273" s="160">
        <f t="shared" ref="M273:P273" si="289">+L273*(L$216)</f>
        <v>5942.5357641423052</v>
      </c>
      <c r="N273" s="160">
        <f t="shared" si="289"/>
        <v>6180.2371947079973</v>
      </c>
      <c r="O273" s="160">
        <f t="shared" si="289"/>
        <v>6427.4466824963174</v>
      </c>
      <c r="P273" s="160">
        <f t="shared" si="289"/>
        <v>6684.54454979617</v>
      </c>
      <c r="R273" s="96"/>
      <c r="S273" s="96"/>
    </row>
    <row r="274" spans="1:19" x14ac:dyDescent="0.2">
      <c r="A274" s="2"/>
      <c r="B274" s="191" t="str">
        <f>+'[14]5.1.Опер_i0'!$B$19</f>
        <v>Арендная плата</v>
      </c>
      <c r="C274" s="194">
        <f>+'[4]+Оп_i0'!$L$36</f>
        <v>352.31574512158772</v>
      </c>
      <c r="D274" s="194">
        <f>+'[4]+Оп_i0'!$W$36</f>
        <v>306.051556876662</v>
      </c>
      <c r="E274" s="160">
        <f t="shared" ref="E274:P274" si="290">+D274*(D$216)</f>
        <v>318.29361915172848</v>
      </c>
      <c r="F274" s="160">
        <f t="shared" si="290"/>
        <v>331.02536391779762</v>
      </c>
      <c r="G274" s="160">
        <f t="shared" si="290"/>
        <v>344.26637847450951</v>
      </c>
      <c r="H274" s="160">
        <f t="shared" si="290"/>
        <v>358.03703361348988</v>
      </c>
      <c r="I274" s="160">
        <f t="shared" si="290"/>
        <v>372.3585149580295</v>
      </c>
      <c r="J274" s="160">
        <f t="shared" si="290"/>
        <v>387.25285555635071</v>
      </c>
      <c r="K274" s="160">
        <f t="shared" si="290"/>
        <v>402.74296977860473</v>
      </c>
      <c r="L274" s="160">
        <f t="shared" si="290"/>
        <v>418.85268856974892</v>
      </c>
      <c r="M274" s="160">
        <f t="shared" si="290"/>
        <v>435.60679611253892</v>
      </c>
      <c r="N274" s="160">
        <f t="shared" si="290"/>
        <v>453.03106795704048</v>
      </c>
      <c r="O274" s="160">
        <f t="shared" si="290"/>
        <v>471.1523106753221</v>
      </c>
      <c r="P274" s="160">
        <f t="shared" si="290"/>
        <v>489.99840310233498</v>
      </c>
    </row>
    <row r="275" spans="1:19" x14ac:dyDescent="0.2">
      <c r="A275" s="2"/>
      <c r="B275" s="44" t="s">
        <v>126</v>
      </c>
      <c r="C275" s="194">
        <f>+'[4]+Оп_i0'!$L$33+'[4]+Оп_i0'!$L$34+'[4]+Оп_i0'!$L$37</f>
        <v>4291.2663290186692</v>
      </c>
      <c r="D275" s="194">
        <f>+'[4]+Оп_i0'!$W$33+'[4]+Оп_i0'!$W$34+'[4]+Оп_i0'!$W$37</f>
        <v>1789.3259291131953</v>
      </c>
      <c r="E275" s="160">
        <f t="shared" ref="E275:P275" si="291">+D275*(D$216)</f>
        <v>1860.8989662777233</v>
      </c>
      <c r="F275" s="160">
        <f t="shared" si="291"/>
        <v>1935.3349249288324</v>
      </c>
      <c r="G275" s="160">
        <f t="shared" si="291"/>
        <v>2012.7483219259857</v>
      </c>
      <c r="H275" s="160">
        <f t="shared" si="291"/>
        <v>2093.258254803025</v>
      </c>
      <c r="I275" s="160">
        <f t="shared" si="291"/>
        <v>2176.9885849951461</v>
      </c>
      <c r="J275" s="160">
        <f t="shared" si="291"/>
        <v>2264.0681283949521</v>
      </c>
      <c r="K275" s="160">
        <f t="shared" si="291"/>
        <v>2354.6308535307503</v>
      </c>
      <c r="L275" s="160">
        <f t="shared" si="291"/>
        <v>2448.8160876719803</v>
      </c>
      <c r="M275" s="160">
        <f t="shared" si="291"/>
        <v>2546.7687311788595</v>
      </c>
      <c r="N275" s="160">
        <f t="shared" si="291"/>
        <v>2648.639480426014</v>
      </c>
      <c r="O275" s="160">
        <f t="shared" si="291"/>
        <v>2754.5850596430546</v>
      </c>
      <c r="P275" s="160">
        <f t="shared" si="291"/>
        <v>2864.7684620287769</v>
      </c>
    </row>
    <row r="276" spans="1:19" s="18" customFormat="1" x14ac:dyDescent="0.2">
      <c r="A276" s="56" t="s">
        <v>158</v>
      </c>
      <c r="B276" s="6" t="s">
        <v>159</v>
      </c>
      <c r="C276" s="193">
        <f>SUM(C277:C284)</f>
        <v>29260.36749945554</v>
      </c>
      <c r="D276" s="193">
        <f t="shared" ref="D276:P276" si="292">SUM(D277:D284)</f>
        <v>42303.610729176406</v>
      </c>
      <c r="E276" s="193">
        <f t="shared" si="292"/>
        <v>43935.840216239958</v>
      </c>
      <c r="F276" s="193">
        <f t="shared" si="292"/>
        <v>48615.55311903933</v>
      </c>
      <c r="G276" s="193">
        <f t="shared" si="292"/>
        <v>58058.29474429207</v>
      </c>
      <c r="H276" s="193">
        <f t="shared" si="292"/>
        <v>66064.685814538941</v>
      </c>
      <c r="I276" s="193">
        <f t="shared" si="292"/>
        <v>76300.283921228533</v>
      </c>
      <c r="J276" s="193">
        <f t="shared" si="292"/>
        <v>77901.395595490714</v>
      </c>
      <c r="K276" s="193">
        <f t="shared" si="292"/>
        <v>79878.215777253266</v>
      </c>
      <c r="L276" s="193">
        <f t="shared" si="292"/>
        <v>81921.215192590316</v>
      </c>
      <c r="M276" s="193">
        <f t="shared" si="292"/>
        <v>84042.39093206072</v>
      </c>
      <c r="N276" s="193">
        <f t="shared" si="292"/>
        <v>86244.48324141893</v>
      </c>
      <c r="O276" s="193">
        <f t="shared" si="292"/>
        <v>88530.622473886076</v>
      </c>
      <c r="P276" s="193">
        <f t="shared" si="292"/>
        <v>90904.052592595777</v>
      </c>
      <c r="Q276" s="17"/>
      <c r="R276" s="17"/>
      <c r="S276" s="17"/>
    </row>
    <row r="277" spans="1:19" ht="22.5" x14ac:dyDescent="0.2">
      <c r="A277" s="2"/>
      <c r="B277" s="261" t="s">
        <v>202</v>
      </c>
      <c r="C277" s="194">
        <f>+'[4]+Рег'!$E$32</f>
        <v>1363.9384299999997</v>
      </c>
      <c r="D277" s="159">
        <f>+'[4]+Рег'!$H$32</f>
        <v>1382.5066999999997</v>
      </c>
      <c r="E277" s="160">
        <f t="shared" ref="E277:P277" si="293">+D277*(D$216)</f>
        <v>1437.8069679999996</v>
      </c>
      <c r="F277" s="160">
        <f t="shared" si="293"/>
        <v>1495.3192467199997</v>
      </c>
      <c r="G277" s="160">
        <f t="shared" si="293"/>
        <v>1555.1320165887996</v>
      </c>
      <c r="H277" s="160">
        <f t="shared" si="293"/>
        <v>1617.3372972523516</v>
      </c>
      <c r="I277" s="160">
        <f t="shared" si="293"/>
        <v>1682.0307891424457</v>
      </c>
      <c r="J277" s="160">
        <f t="shared" si="293"/>
        <v>1749.3120207081436</v>
      </c>
      <c r="K277" s="160">
        <f t="shared" si="293"/>
        <v>1819.2845015364694</v>
      </c>
      <c r="L277" s="160">
        <f t="shared" si="293"/>
        <v>1892.0558815979282</v>
      </c>
      <c r="M277" s="160">
        <f t="shared" si="293"/>
        <v>1967.7381168618454</v>
      </c>
      <c r="N277" s="160">
        <f t="shared" si="293"/>
        <v>2046.4476415363192</v>
      </c>
      <c r="O277" s="160">
        <f t="shared" si="293"/>
        <v>2128.3055471977723</v>
      </c>
      <c r="P277" s="160">
        <f t="shared" si="293"/>
        <v>2213.4377690856832</v>
      </c>
    </row>
    <row r="278" spans="1:19" x14ac:dyDescent="0.2">
      <c r="A278" s="2"/>
      <c r="B278" s="191" t="s">
        <v>492</v>
      </c>
      <c r="C278" s="194">
        <f>+'[4]+А,С,Н'!$L$13</f>
        <v>4952.6030300000002</v>
      </c>
      <c r="D278" s="159">
        <f>+'[4]+А,С,Н'!$W$13</f>
        <v>7149.5179640000024</v>
      </c>
      <c r="E278" s="160">
        <f t="shared" ref="E278" si="294">+D278</f>
        <v>7149.5179640000024</v>
      </c>
      <c r="F278" s="160">
        <f t="shared" ref="F278" si="295">+E278</f>
        <v>7149.5179640000024</v>
      </c>
      <c r="G278" s="160">
        <f t="shared" ref="G278" si="296">+F278</f>
        <v>7149.5179640000024</v>
      </c>
      <c r="H278" s="160">
        <f t="shared" ref="H278" si="297">+G278</f>
        <v>7149.5179640000024</v>
      </c>
      <c r="I278" s="160">
        <f t="shared" ref="I278" si="298">+H278</f>
        <v>7149.5179640000024</v>
      </c>
      <c r="J278" s="160">
        <f t="shared" ref="J278" si="299">+I278</f>
        <v>7149.5179640000024</v>
      </c>
      <c r="K278" s="160">
        <f t="shared" ref="K278" si="300">+J278</f>
        <v>7149.5179640000024</v>
      </c>
      <c r="L278" s="160">
        <f t="shared" ref="L278" si="301">+K278</f>
        <v>7149.5179640000024</v>
      </c>
      <c r="M278" s="160">
        <f t="shared" ref="M278" si="302">+L278</f>
        <v>7149.5179640000024</v>
      </c>
      <c r="N278" s="160">
        <f t="shared" ref="N278" si="303">+M278</f>
        <v>7149.5179640000024</v>
      </c>
      <c r="O278" s="160">
        <f t="shared" ref="O278" si="304">+N278</f>
        <v>7149.5179640000024</v>
      </c>
      <c r="P278" s="160">
        <f t="shared" ref="P278" si="305">+O278</f>
        <v>7149.5179640000024</v>
      </c>
    </row>
    <row r="279" spans="1:19" x14ac:dyDescent="0.2">
      <c r="A279" s="2"/>
      <c r="B279" s="44" t="s">
        <v>200</v>
      </c>
      <c r="C279" s="194">
        <f>+[22]ГОД!$CG$58</f>
        <v>314.96351000000004</v>
      </c>
      <c r="D279" s="159">
        <f>+[23]станции!$D$102</f>
        <v>197.56699999999998</v>
      </c>
      <c r="E279" s="160">
        <f>+D279</f>
        <v>197.56699999999998</v>
      </c>
      <c r="F279" s="160">
        <f t="shared" ref="F279:P279" si="306">+E279</f>
        <v>197.56699999999998</v>
      </c>
      <c r="G279" s="160">
        <f t="shared" si="306"/>
        <v>197.56699999999998</v>
      </c>
      <c r="H279" s="160">
        <f t="shared" si="306"/>
        <v>197.56699999999998</v>
      </c>
      <c r="I279" s="160">
        <f t="shared" si="306"/>
        <v>197.56699999999998</v>
      </c>
      <c r="J279" s="160">
        <f t="shared" si="306"/>
        <v>197.56699999999998</v>
      </c>
      <c r="K279" s="160">
        <f t="shared" si="306"/>
        <v>197.56699999999998</v>
      </c>
      <c r="L279" s="160">
        <f t="shared" si="306"/>
        <v>197.56699999999998</v>
      </c>
      <c r="M279" s="160">
        <f t="shared" si="306"/>
        <v>197.56699999999998</v>
      </c>
      <c r="N279" s="160">
        <f t="shared" si="306"/>
        <v>197.56699999999998</v>
      </c>
      <c r="O279" s="160">
        <f t="shared" si="306"/>
        <v>197.56699999999998</v>
      </c>
      <c r="P279" s="160">
        <f t="shared" si="306"/>
        <v>197.56699999999998</v>
      </c>
    </row>
    <row r="280" spans="1:19" x14ac:dyDescent="0.2">
      <c r="A280" s="2"/>
      <c r="B280" s="44" t="s">
        <v>34</v>
      </c>
      <c r="C280" s="192">
        <f t="shared" ref="C280:P280" si="307">+C252</f>
        <v>123.02700000000002</v>
      </c>
      <c r="D280" s="192">
        <f t="shared" si="307"/>
        <v>207.6208688500067</v>
      </c>
      <c r="E280" s="192">
        <f t="shared" si="307"/>
        <v>527.34496251824669</v>
      </c>
      <c r="F280" s="192">
        <f t="shared" si="307"/>
        <v>2198.6522561864867</v>
      </c>
      <c r="G280" s="192">
        <f t="shared" si="307"/>
        <v>3023.1509498547275</v>
      </c>
      <c r="H280" s="192">
        <f t="shared" si="307"/>
        <v>4685.9584693418501</v>
      </c>
      <c r="I280" s="192">
        <f t="shared" si="307"/>
        <v>4219.8970204282014</v>
      </c>
      <c r="J280" s="192">
        <f t="shared" si="307"/>
        <v>3816.1084061886472</v>
      </c>
      <c r="K280" s="192">
        <f t="shared" si="307"/>
        <v>3398.3379484816837</v>
      </c>
      <c r="L280" s="192">
        <f t="shared" si="307"/>
        <v>2968.4538323475335</v>
      </c>
      <c r="M280" s="192">
        <f t="shared" si="307"/>
        <v>2526.0366024821747</v>
      </c>
      <c r="N280" s="192">
        <f t="shared" si="307"/>
        <v>2070.7228491327915</v>
      </c>
      <c r="O280" s="192">
        <f t="shared" si="307"/>
        <v>1602.1365788874473</v>
      </c>
      <c r="P280" s="192">
        <f t="shared" si="307"/>
        <v>1119.8908960416222</v>
      </c>
    </row>
    <row r="281" spans="1:19" x14ac:dyDescent="0.2">
      <c r="A281" s="2"/>
      <c r="B281" s="44" t="s">
        <v>38</v>
      </c>
      <c r="C281" s="472">
        <f>+C269*'ТЭЦ-1'!$R159</f>
        <v>20569.565468011904</v>
      </c>
      <c r="D281" s="472">
        <f>+D269*'ТЭЦ-1'!$R159</f>
        <v>31430.128134882769</v>
      </c>
      <c r="E281" s="472">
        <f>+E269*'ТЭЦ-1'!$R159</f>
        <v>32687.333260278079</v>
      </c>
      <c r="F281" s="472">
        <f>+F269*'ТЭЦ-1'!$R159</f>
        <v>33994.826590689205</v>
      </c>
      <c r="G281" s="472">
        <f>+G269*'ТЭЦ-1'!$R159</f>
        <v>34601.956752404905</v>
      </c>
      <c r="H281" s="472">
        <f>+H269*'ТЭЦ-1'!$R159</f>
        <v>35986.035022501099</v>
      </c>
      <c r="I281" s="472">
        <f>+I269*'ТЭЦ-1'!$R159</f>
        <v>37425.476423401153</v>
      </c>
      <c r="J281" s="472">
        <f>+J269*'ТЭЦ-1'!$R159</f>
        <v>38922.495480337195</v>
      </c>
      <c r="K281" s="472">
        <f>+K269*'ТЭЦ-1'!$R159</f>
        <v>40479.395299550684</v>
      </c>
      <c r="L281" s="472">
        <f>+L269*'ТЭЦ-1'!$R159</f>
        <v>42098.571111532714</v>
      </c>
      <c r="M281" s="472">
        <f>+M269*'ТЭЦ-1'!$R159</f>
        <v>43782.513955994029</v>
      </c>
      <c r="N281" s="472">
        <f>+N269*'ТЭЦ-1'!$R159</f>
        <v>45533.814514233789</v>
      </c>
      <c r="O281" s="472">
        <f>+O269*'ТЭЦ-1'!$R159</f>
        <v>47355.167094803139</v>
      </c>
      <c r="P281" s="472">
        <f>+P269*'ТЭЦ-1'!$R159</f>
        <v>49249.373778595269</v>
      </c>
    </row>
    <row r="282" spans="1:19" x14ac:dyDescent="0.2">
      <c r="A282" s="2"/>
      <c r="B282" s="44" t="s">
        <v>203</v>
      </c>
      <c r="C282" s="194">
        <f>+'[4]+А,С,Н'!$L$22</f>
        <v>35.183409999999995</v>
      </c>
      <c r="D282" s="159">
        <f>+C282</f>
        <v>35.183409999999995</v>
      </c>
      <c r="E282" s="160">
        <f>+D282</f>
        <v>35.183409999999995</v>
      </c>
      <c r="F282" s="160">
        <f t="shared" ref="F282:P282" si="308">+E282</f>
        <v>35.183409999999995</v>
      </c>
      <c r="G282" s="160">
        <f>+F282</f>
        <v>35.183409999999995</v>
      </c>
      <c r="H282" s="160">
        <f t="shared" si="308"/>
        <v>35.183409999999995</v>
      </c>
      <c r="I282" s="160">
        <f t="shared" si="308"/>
        <v>35.183409999999995</v>
      </c>
      <c r="J282" s="160">
        <f t="shared" si="308"/>
        <v>35.183409999999995</v>
      </c>
      <c r="K282" s="160">
        <f t="shared" si="308"/>
        <v>35.183409999999995</v>
      </c>
      <c r="L282" s="160">
        <f t="shared" si="308"/>
        <v>35.183409999999995</v>
      </c>
      <c r="M282" s="160">
        <f t="shared" si="308"/>
        <v>35.183409999999995</v>
      </c>
      <c r="N282" s="160">
        <f t="shared" si="308"/>
        <v>35.183409999999995</v>
      </c>
      <c r="O282" s="160">
        <f t="shared" si="308"/>
        <v>35.183409999999995</v>
      </c>
      <c r="P282" s="160">
        <f t="shared" si="308"/>
        <v>35.183409999999995</v>
      </c>
    </row>
    <row r="283" spans="1:19" x14ac:dyDescent="0.2">
      <c r="A283" s="2"/>
      <c r="B283" s="44" t="s">
        <v>25</v>
      </c>
      <c r="C283" s="192">
        <f>+C246</f>
        <v>1901.0866514436357</v>
      </c>
      <c r="D283" s="192">
        <f t="shared" ref="D283:P283" si="309">+D246</f>
        <v>1901.0866514436357</v>
      </c>
      <c r="E283" s="192">
        <f t="shared" si="309"/>
        <v>1901.0866514436357</v>
      </c>
      <c r="F283" s="192">
        <f t="shared" si="309"/>
        <v>3544.4866514436353</v>
      </c>
      <c r="G283" s="192">
        <f t="shared" si="309"/>
        <v>11495.786651443635</v>
      </c>
      <c r="H283" s="192">
        <f t="shared" si="309"/>
        <v>16393.086651443635</v>
      </c>
      <c r="I283" s="192">
        <f t="shared" si="309"/>
        <v>25590.611314256737</v>
      </c>
      <c r="J283" s="192">
        <f t="shared" si="309"/>
        <v>26031.211314256736</v>
      </c>
      <c r="K283" s="192">
        <f t="shared" si="309"/>
        <v>26798.929653684438</v>
      </c>
      <c r="L283" s="192">
        <f t="shared" si="309"/>
        <v>27579.86599311214</v>
      </c>
      <c r="M283" s="192">
        <f t="shared" si="309"/>
        <v>28383.833882722673</v>
      </c>
      <c r="N283" s="192">
        <f t="shared" si="309"/>
        <v>29211.229862516037</v>
      </c>
      <c r="O283" s="192">
        <f t="shared" si="309"/>
        <v>30062.744878997717</v>
      </c>
      <c r="P283" s="192">
        <f t="shared" si="309"/>
        <v>30939.081774873197</v>
      </c>
    </row>
    <row r="284" spans="1:19" x14ac:dyDescent="0.2">
      <c r="A284" s="2"/>
      <c r="B284" s="44" t="s">
        <v>201</v>
      </c>
      <c r="C284" s="192">
        <f>+C256</f>
        <v>0</v>
      </c>
      <c r="D284" s="192">
        <f t="shared" ref="D284:P284" si="310">+D256</f>
        <v>0</v>
      </c>
      <c r="E284" s="192">
        <f t="shared" si="310"/>
        <v>0</v>
      </c>
      <c r="F284" s="192">
        <f t="shared" si="310"/>
        <v>0</v>
      </c>
      <c r="G284" s="192">
        <f t="shared" si="310"/>
        <v>0</v>
      </c>
      <c r="H284" s="192">
        <f t="shared" si="310"/>
        <v>0</v>
      </c>
      <c r="I284" s="192">
        <f t="shared" si="310"/>
        <v>0</v>
      </c>
      <c r="J284" s="192">
        <f t="shared" si="310"/>
        <v>0</v>
      </c>
      <c r="K284" s="192">
        <f t="shared" si="310"/>
        <v>0</v>
      </c>
      <c r="L284" s="192">
        <f t="shared" si="310"/>
        <v>0</v>
      </c>
      <c r="M284" s="192">
        <f t="shared" si="310"/>
        <v>0</v>
      </c>
      <c r="N284" s="192">
        <f t="shared" si="310"/>
        <v>0</v>
      </c>
      <c r="O284" s="192">
        <f t="shared" si="310"/>
        <v>0</v>
      </c>
      <c r="P284" s="192">
        <f t="shared" si="310"/>
        <v>0</v>
      </c>
    </row>
    <row r="285" spans="1:19" s="18" customFormat="1" x14ac:dyDescent="0.2">
      <c r="A285" s="56" t="s">
        <v>160</v>
      </c>
      <c r="B285" s="6" t="s">
        <v>234</v>
      </c>
      <c r="C285" s="193">
        <f>SUM(C286:C289)</f>
        <v>654828.7496796078</v>
      </c>
      <c r="D285" s="193">
        <f t="shared" ref="D285:P285" si="311">SUM(D286:D289)</f>
        <v>839707.23333384632</v>
      </c>
      <c r="E285" s="193">
        <f t="shared" si="311"/>
        <v>841591.00712349778</v>
      </c>
      <c r="F285" s="193">
        <f t="shared" si="311"/>
        <v>855649.67601251369</v>
      </c>
      <c r="G285" s="193">
        <f t="shared" si="311"/>
        <v>873647.40476439975</v>
      </c>
      <c r="H285" s="193">
        <f t="shared" si="311"/>
        <v>889136.27594371559</v>
      </c>
      <c r="I285" s="193">
        <f t="shared" si="311"/>
        <v>902719.59353416215</v>
      </c>
      <c r="J285" s="193">
        <f t="shared" si="311"/>
        <v>920014.54657029454</v>
      </c>
      <c r="K285" s="193">
        <f t="shared" si="311"/>
        <v>946601.41961312573</v>
      </c>
      <c r="L285" s="193">
        <f t="shared" si="311"/>
        <v>975183.27828705811</v>
      </c>
      <c r="M285" s="193">
        <f t="shared" si="311"/>
        <v>1004577.3855093049</v>
      </c>
      <c r="N285" s="193">
        <f t="shared" si="311"/>
        <v>1034947.8657574215</v>
      </c>
      <c r="O285" s="193">
        <f t="shared" si="311"/>
        <v>1066326.8357319376</v>
      </c>
      <c r="P285" s="193">
        <f t="shared" si="311"/>
        <v>1100028.2417839495</v>
      </c>
      <c r="Q285" s="17"/>
      <c r="R285" s="17"/>
      <c r="S285" s="17"/>
    </row>
    <row r="286" spans="1:19" x14ac:dyDescent="0.2">
      <c r="A286" s="2"/>
      <c r="B286" s="44" t="s">
        <v>161</v>
      </c>
      <c r="C286" s="192">
        <f t="shared" ref="C286:P286" si="312">+C105*C214/1000</f>
        <v>406110.98139518098</v>
      </c>
      <c r="D286" s="192">
        <f t="shared" si="312"/>
        <v>650568.80871831137</v>
      </c>
      <c r="E286" s="192">
        <f t="shared" si="312"/>
        <v>641452.71261428518</v>
      </c>
      <c r="F286" s="192">
        <f t="shared" si="312"/>
        <v>645912.13192483108</v>
      </c>
      <c r="G286" s="192">
        <f t="shared" si="312"/>
        <v>654658.79290417663</v>
      </c>
      <c r="H286" s="192">
        <f t="shared" si="312"/>
        <v>658465.46453268698</v>
      </c>
      <c r="I286" s="192">
        <f t="shared" si="312"/>
        <v>663180.80486243893</v>
      </c>
      <c r="J286" s="192">
        <f t="shared" si="312"/>
        <v>668735.76185092423</v>
      </c>
      <c r="K286" s="192">
        <f t="shared" si="312"/>
        <v>691594.14574881899</v>
      </c>
      <c r="L286" s="192">
        <f t="shared" si="312"/>
        <v>716334.36094674165</v>
      </c>
      <c r="M286" s="192">
        <f t="shared" si="312"/>
        <v>741770.22374570451</v>
      </c>
      <c r="N286" s="192">
        <f t="shared" si="312"/>
        <v>768062.30652912473</v>
      </c>
      <c r="O286" s="192">
        <f t="shared" si="312"/>
        <v>795239.06517794123</v>
      </c>
      <c r="P286" s="192">
        <f t="shared" si="312"/>
        <v>823329.88454501482</v>
      </c>
    </row>
    <row r="287" spans="1:19" x14ac:dyDescent="0.2">
      <c r="A287" s="2"/>
      <c r="B287" s="44" t="s">
        <v>162</v>
      </c>
      <c r="C287" s="192">
        <f>+C171*C202</f>
        <v>58555.921889664904</v>
      </c>
      <c r="D287" s="192">
        <f t="shared" ref="D287:P287" si="313">+D171*D202</f>
        <v>107086.81207132108</v>
      </c>
      <c r="E287" s="192">
        <f t="shared" si="313"/>
        <v>110299.41643346072</v>
      </c>
      <c r="F287" s="192">
        <f t="shared" si="313"/>
        <v>112818.37807504804</v>
      </c>
      <c r="G287" s="192">
        <f t="shared" si="313"/>
        <v>114427.00776812239</v>
      </c>
      <c r="H287" s="192">
        <f t="shared" si="313"/>
        <v>117859.81800116607</v>
      </c>
      <c r="I287" s="192">
        <f t="shared" si="313"/>
        <v>117823.07635906247</v>
      </c>
      <c r="J287" s="192">
        <f t="shared" si="313"/>
        <v>119950.782414487</v>
      </c>
      <c r="K287" s="192">
        <f t="shared" si="313"/>
        <v>123549.30588692159</v>
      </c>
      <c r="L287" s="192">
        <f t="shared" si="313"/>
        <v>127255.78506352926</v>
      </c>
      <c r="M287" s="192">
        <f t="shared" si="313"/>
        <v>131073.45861543514</v>
      </c>
      <c r="N287" s="192">
        <f t="shared" si="313"/>
        <v>135005.6623738982</v>
      </c>
      <c r="O287" s="192">
        <f t="shared" si="313"/>
        <v>139055.83224511516</v>
      </c>
      <c r="P287" s="192">
        <f t="shared" si="313"/>
        <v>143227.5072124686</v>
      </c>
    </row>
    <row r="288" spans="1:19" x14ac:dyDescent="0.2">
      <c r="A288" s="2"/>
      <c r="B288" s="44" t="s">
        <v>163</v>
      </c>
      <c r="C288" s="194">
        <f>+'[4]+Всн'!$E$33</f>
        <v>1528.0732647620002</v>
      </c>
      <c r="D288" s="159">
        <f>+'[4]+Всн'!$H$33</f>
        <v>2567.8439706138624</v>
      </c>
      <c r="E288" s="160">
        <f>+D288*(D$216)</f>
        <v>2670.557729438417</v>
      </c>
      <c r="F288" s="160">
        <f t="shared" ref="F288:P288" si="314">+E288*(E$216)</f>
        <v>2777.3800386159537</v>
      </c>
      <c r="G288" s="160">
        <f t="shared" si="314"/>
        <v>2888.475240160592</v>
      </c>
      <c r="H288" s="160">
        <f t="shared" si="314"/>
        <v>3004.0142497670158</v>
      </c>
      <c r="I288" s="160">
        <f t="shared" si="314"/>
        <v>3124.1748197576967</v>
      </c>
      <c r="J288" s="160">
        <f t="shared" si="314"/>
        <v>3249.1418125480045</v>
      </c>
      <c r="K288" s="160">
        <f t="shared" si="314"/>
        <v>3379.1074850499249</v>
      </c>
      <c r="L288" s="160">
        <f t="shared" si="314"/>
        <v>3514.271784451922</v>
      </c>
      <c r="M288" s="160">
        <f t="shared" si="314"/>
        <v>3654.8426558299989</v>
      </c>
      <c r="N288" s="160">
        <f t="shared" si="314"/>
        <v>3801.0363620631988</v>
      </c>
      <c r="O288" s="160">
        <f t="shared" si="314"/>
        <v>3953.0778165457268</v>
      </c>
      <c r="P288" s="160">
        <f t="shared" si="314"/>
        <v>4111.2009292075563</v>
      </c>
    </row>
    <row r="289" spans="1:27" x14ac:dyDescent="0.2">
      <c r="A289" s="2"/>
      <c r="B289" s="44" t="s">
        <v>164</v>
      </c>
      <c r="C289" s="194">
        <f>+'[4]5.4.ЭРВ'!$C$18</f>
        <v>188633.77312999999</v>
      </c>
      <c r="D289" s="194">
        <f>+'[4]5.4.ЭРВ'!$D$18</f>
        <v>79483.768573599998</v>
      </c>
      <c r="E289" s="160">
        <f>+D289*(D$205)</f>
        <v>87168.320346313587</v>
      </c>
      <c r="F289" s="160">
        <f t="shared" ref="F289:P289" si="315">+E289*(E$205)</f>
        <v>94141.785974018683</v>
      </c>
      <c r="G289" s="160">
        <f t="shared" si="315"/>
        <v>101673.12885194019</v>
      </c>
      <c r="H289" s="160">
        <f t="shared" si="315"/>
        <v>109806.9791600954</v>
      </c>
      <c r="I289" s="160">
        <f t="shared" si="315"/>
        <v>118591.53749290305</v>
      </c>
      <c r="J289" s="160">
        <f t="shared" si="315"/>
        <v>128078.8604923353</v>
      </c>
      <c r="K289" s="160">
        <f t="shared" si="315"/>
        <v>128078.8604923353</v>
      </c>
      <c r="L289" s="160">
        <f t="shared" si="315"/>
        <v>128078.8604923353</v>
      </c>
      <c r="M289" s="160">
        <f t="shared" si="315"/>
        <v>128078.8604923353</v>
      </c>
      <c r="N289" s="160">
        <f t="shared" si="315"/>
        <v>128078.8604923353</v>
      </c>
      <c r="O289" s="160">
        <f t="shared" si="315"/>
        <v>128078.8604923353</v>
      </c>
      <c r="P289" s="160">
        <f t="shared" si="315"/>
        <v>129359.64909725865</v>
      </c>
    </row>
    <row r="290" spans="1:27" ht="12" thickBot="1" x14ac:dyDescent="0.25">
      <c r="A290" s="2"/>
      <c r="B290" s="6"/>
      <c r="C290" s="188"/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</row>
    <row r="291" spans="1:27" s="216" customFormat="1" ht="22.5" x14ac:dyDescent="0.2">
      <c r="A291" s="56">
        <v>52</v>
      </c>
      <c r="B291" s="6" t="s">
        <v>224</v>
      </c>
      <c r="C291" s="189">
        <f t="shared" ref="C291:P291" si="316">C261-C265</f>
        <v>-134769.41416878405</v>
      </c>
      <c r="D291" s="189">
        <f t="shared" si="316"/>
        <v>-82766.237532050698</v>
      </c>
      <c r="E291" s="189">
        <f t="shared" si="316"/>
        <v>-61579.641802961705</v>
      </c>
      <c r="F291" s="189">
        <f t="shared" si="316"/>
        <v>-30849.600658261799</v>
      </c>
      <c r="G291" s="189">
        <f t="shared" si="316"/>
        <v>3061.0954417942557</v>
      </c>
      <c r="H291" s="189">
        <f t="shared" si="316"/>
        <v>34374.486911082175</v>
      </c>
      <c r="I291" s="189">
        <f t="shared" si="316"/>
        <v>70566.468595711514</v>
      </c>
      <c r="J291" s="189">
        <f t="shared" si="316"/>
        <v>22390.697195690824</v>
      </c>
      <c r="K291" s="189">
        <f t="shared" si="316"/>
        <v>-7857.4281345368363</v>
      </c>
      <c r="L291" s="189">
        <f t="shared" si="316"/>
        <v>-38749.50645654439</v>
      </c>
      <c r="M291" s="189">
        <f t="shared" si="316"/>
        <v>-71021.175971901743</v>
      </c>
      <c r="N291" s="189">
        <f t="shared" si="316"/>
        <v>-104650.11662031151</v>
      </c>
      <c r="O291" s="189">
        <f t="shared" si="316"/>
        <v>-127677.6558268324</v>
      </c>
      <c r="P291" s="189">
        <f t="shared" si="316"/>
        <v>-141018.09621274704</v>
      </c>
      <c r="Q291" s="17"/>
      <c r="R291" s="17"/>
      <c r="S291" s="17"/>
    </row>
    <row r="292" spans="1:27" s="11" customFormat="1" x14ac:dyDescent="0.2">
      <c r="A292" s="2">
        <v>53</v>
      </c>
      <c r="B292" s="44" t="s">
        <v>225</v>
      </c>
      <c r="C292" s="160">
        <f>+C220</f>
        <v>0</v>
      </c>
      <c r="D292" s="160">
        <f t="shared" ref="D292:P292" si="317">+D220</f>
        <v>0</v>
      </c>
      <c r="E292" s="160">
        <f t="shared" si="317"/>
        <v>16434</v>
      </c>
      <c r="F292" s="160">
        <f t="shared" si="317"/>
        <v>79513</v>
      </c>
      <c r="G292" s="160">
        <f t="shared" si="317"/>
        <v>48973</v>
      </c>
      <c r="H292" s="160">
        <f t="shared" si="317"/>
        <v>91975.246628131019</v>
      </c>
      <c r="I292" s="160">
        <f t="shared" si="317"/>
        <v>4406</v>
      </c>
      <c r="J292" s="160">
        <f t="shared" si="317"/>
        <v>7677.1833942770209</v>
      </c>
      <c r="K292" s="160">
        <f t="shared" si="317"/>
        <v>7809.3633942770202</v>
      </c>
      <c r="L292" s="160">
        <f t="shared" si="317"/>
        <v>8039.6788961053308</v>
      </c>
      <c r="M292" s="160">
        <f t="shared" si="317"/>
        <v>8273.9597979336413</v>
      </c>
      <c r="N292" s="160">
        <f t="shared" si="317"/>
        <v>8515.1501648168014</v>
      </c>
      <c r="O292" s="160">
        <f t="shared" si="317"/>
        <v>8763.3689587548106</v>
      </c>
      <c r="P292" s="160">
        <f t="shared" si="317"/>
        <v>9018.8234636993147</v>
      </c>
    </row>
    <row r="293" spans="1:27" s="11" customFormat="1" x14ac:dyDescent="0.2">
      <c r="A293" s="2">
        <v>54</v>
      </c>
      <c r="B293" s="44" t="s">
        <v>226</v>
      </c>
      <c r="C293" s="160">
        <f>IF(C292=0,0,C291-C292)</f>
        <v>0</v>
      </c>
      <c r="D293" s="160">
        <f>IF(D292=0,C293,C292+D291-D292)</f>
        <v>0</v>
      </c>
      <c r="E293" s="160">
        <f>IF(E292=0,D293,D292+E291-E292)</f>
        <v>-78013.641802961705</v>
      </c>
      <c r="F293" s="160">
        <f>IF(F292=0,E293,E293+F291-F292)</f>
        <v>-188376.2424612235</v>
      </c>
      <c r="G293" s="160">
        <f>IF(G292=0,F293,F293+G291-G292)</f>
        <v>-234288.14701942925</v>
      </c>
      <c r="H293" s="160">
        <f t="shared" ref="H293:P293" si="318">IF(H292=0,G293,G293+H291-H292)</f>
        <v>-291888.90673647809</v>
      </c>
      <c r="I293" s="160">
        <f t="shared" si="318"/>
        <v>-225728.43814076658</v>
      </c>
      <c r="J293" s="160">
        <f t="shared" si="318"/>
        <v>-211014.92433935279</v>
      </c>
      <c r="K293" s="160">
        <f t="shared" si="318"/>
        <v>-226681.71586816665</v>
      </c>
      <c r="L293" s="160">
        <f t="shared" si="318"/>
        <v>-273470.90122081636</v>
      </c>
      <c r="M293" s="160">
        <f t="shared" si="318"/>
        <v>-352766.03699065174</v>
      </c>
      <c r="N293" s="160">
        <f t="shared" si="318"/>
        <v>-465931.30377578008</v>
      </c>
      <c r="O293" s="160">
        <f t="shared" si="318"/>
        <v>-602372.32856136735</v>
      </c>
      <c r="P293" s="160">
        <f t="shared" si="318"/>
        <v>-752409.24823781371</v>
      </c>
    </row>
    <row r="294" spans="1:27" s="11" customFormat="1" x14ac:dyDescent="0.2">
      <c r="A294" s="2">
        <v>55</v>
      </c>
      <c r="B294" s="44" t="s">
        <v>227</v>
      </c>
      <c r="C294" s="160">
        <f>IF(C291&gt;0,IF(C291&lt;C292,C291,C292),0)</f>
        <v>0</v>
      </c>
      <c r="D294" s="160">
        <f t="shared" ref="D294:P294" si="319">IF(D291&gt;0,IF(D291&lt;D292,D291,D292),0)</f>
        <v>0</v>
      </c>
      <c r="E294" s="160">
        <f t="shared" si="319"/>
        <v>0</v>
      </c>
      <c r="F294" s="160">
        <f t="shared" si="319"/>
        <v>0</v>
      </c>
      <c r="G294" s="160">
        <f t="shared" si="319"/>
        <v>3061.0954417942557</v>
      </c>
      <c r="H294" s="160">
        <f t="shared" si="319"/>
        <v>34374.486911082175</v>
      </c>
      <c r="I294" s="160">
        <f t="shared" si="319"/>
        <v>4406</v>
      </c>
      <c r="J294" s="160">
        <f t="shared" si="319"/>
        <v>7677.1833942770209</v>
      </c>
      <c r="K294" s="160">
        <f t="shared" si="319"/>
        <v>0</v>
      </c>
      <c r="L294" s="160">
        <f t="shared" si="319"/>
        <v>0</v>
      </c>
      <c r="M294" s="160">
        <f t="shared" si="319"/>
        <v>0</v>
      </c>
      <c r="N294" s="160">
        <f t="shared" si="319"/>
        <v>0</v>
      </c>
      <c r="O294" s="160">
        <f t="shared" si="319"/>
        <v>0</v>
      </c>
      <c r="P294" s="160">
        <f t="shared" si="319"/>
        <v>0</v>
      </c>
    </row>
    <row r="295" spans="1:27" s="11" customFormat="1" x14ac:dyDescent="0.2">
      <c r="A295" s="2">
        <v>56</v>
      </c>
      <c r="B295" s="44" t="s">
        <v>228</v>
      </c>
      <c r="C295" s="158"/>
      <c r="D295" s="158"/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</row>
    <row r="296" spans="1:27" s="23" customFormat="1" x14ac:dyDescent="0.2">
      <c r="A296" s="2">
        <v>57</v>
      </c>
      <c r="B296" s="184" t="s">
        <v>229</v>
      </c>
      <c r="C296" s="160">
        <f>+C293</f>
        <v>0</v>
      </c>
      <c r="D296" s="160">
        <f t="shared" ref="D296:P296" si="320">+D293</f>
        <v>0</v>
      </c>
      <c r="E296" s="160">
        <f t="shared" si="320"/>
        <v>-78013.641802961705</v>
      </c>
      <c r="F296" s="160">
        <f t="shared" si="320"/>
        <v>-188376.2424612235</v>
      </c>
      <c r="G296" s="160">
        <f t="shared" si="320"/>
        <v>-234288.14701942925</v>
      </c>
      <c r="H296" s="160">
        <f t="shared" si="320"/>
        <v>-291888.90673647809</v>
      </c>
      <c r="I296" s="160">
        <f t="shared" si="320"/>
        <v>-225728.43814076658</v>
      </c>
      <c r="J296" s="160">
        <f t="shared" si="320"/>
        <v>-211014.92433935279</v>
      </c>
      <c r="K296" s="160">
        <f t="shared" si="320"/>
        <v>-226681.71586816665</v>
      </c>
      <c r="L296" s="160">
        <f t="shared" si="320"/>
        <v>-273470.90122081636</v>
      </c>
      <c r="M296" s="160">
        <f t="shared" si="320"/>
        <v>-352766.03699065174</v>
      </c>
      <c r="N296" s="160">
        <f t="shared" si="320"/>
        <v>-465931.30377578008</v>
      </c>
      <c r="O296" s="160">
        <f t="shared" si="320"/>
        <v>-602372.32856136735</v>
      </c>
      <c r="P296" s="160">
        <f t="shared" si="320"/>
        <v>-752409.24823781371</v>
      </c>
      <c r="Q296" s="11"/>
      <c r="R296" s="11"/>
      <c r="S296" s="11"/>
      <c r="T296" s="22"/>
    </row>
    <row r="297" spans="1:27" s="23" customFormat="1" x14ac:dyDescent="0.2">
      <c r="A297" s="2">
        <v>58</v>
      </c>
      <c r="B297" s="184" t="s">
        <v>23</v>
      </c>
      <c r="C297" s="160">
        <f t="shared" ref="C297:P297" si="321">IF(C296&lt;0,0,C296*20%)</f>
        <v>0</v>
      </c>
      <c r="D297" s="160">
        <f t="shared" si="321"/>
        <v>0</v>
      </c>
      <c r="E297" s="160">
        <f t="shared" si="321"/>
        <v>0</v>
      </c>
      <c r="F297" s="160">
        <f t="shared" si="321"/>
        <v>0</v>
      </c>
      <c r="G297" s="160">
        <f t="shared" si="321"/>
        <v>0</v>
      </c>
      <c r="H297" s="160">
        <f t="shared" si="321"/>
        <v>0</v>
      </c>
      <c r="I297" s="160">
        <f t="shared" si="321"/>
        <v>0</v>
      </c>
      <c r="J297" s="160">
        <f t="shared" si="321"/>
        <v>0</v>
      </c>
      <c r="K297" s="160">
        <f t="shared" si="321"/>
        <v>0</v>
      </c>
      <c r="L297" s="160">
        <f t="shared" si="321"/>
        <v>0</v>
      </c>
      <c r="M297" s="160">
        <f t="shared" si="321"/>
        <v>0</v>
      </c>
      <c r="N297" s="160">
        <f t="shared" si="321"/>
        <v>0</v>
      </c>
      <c r="O297" s="160">
        <f t="shared" si="321"/>
        <v>0</v>
      </c>
      <c r="P297" s="160">
        <f t="shared" si="321"/>
        <v>0</v>
      </c>
      <c r="Q297" s="11"/>
      <c r="R297" s="11"/>
      <c r="S297" s="11"/>
      <c r="T297" s="22"/>
    </row>
    <row r="298" spans="1:27" s="54" customFormat="1" ht="12" thickBot="1" x14ac:dyDescent="0.25">
      <c r="A298" s="2">
        <v>59</v>
      </c>
      <c r="B298" s="185" t="s">
        <v>230</v>
      </c>
      <c r="C298" s="160">
        <f t="shared" ref="C298:P298" si="322">C291-C294-C295-C297</f>
        <v>-134769.41416878405</v>
      </c>
      <c r="D298" s="160">
        <f t="shared" si="322"/>
        <v>-82766.237532050698</v>
      </c>
      <c r="E298" s="160">
        <f t="shared" si="322"/>
        <v>-61579.641802961705</v>
      </c>
      <c r="F298" s="160">
        <f t="shared" si="322"/>
        <v>-30849.600658261799</v>
      </c>
      <c r="G298" s="160">
        <f t="shared" si="322"/>
        <v>0</v>
      </c>
      <c r="H298" s="160">
        <f t="shared" si="322"/>
        <v>0</v>
      </c>
      <c r="I298" s="160">
        <f t="shared" si="322"/>
        <v>66160.468595711514</v>
      </c>
      <c r="J298" s="160">
        <f t="shared" si="322"/>
        <v>14713.513801413803</v>
      </c>
      <c r="K298" s="160">
        <f t="shared" si="322"/>
        <v>-7857.4281345368363</v>
      </c>
      <c r="L298" s="160">
        <f t="shared" si="322"/>
        <v>-38749.50645654439</v>
      </c>
      <c r="M298" s="160">
        <f t="shared" si="322"/>
        <v>-71021.175971901743</v>
      </c>
      <c r="N298" s="160">
        <f t="shared" si="322"/>
        <v>-104650.11662031151</v>
      </c>
      <c r="O298" s="160">
        <f t="shared" si="322"/>
        <v>-127677.6558268324</v>
      </c>
      <c r="P298" s="160">
        <f t="shared" si="322"/>
        <v>-141018.09621274704</v>
      </c>
      <c r="Q298" s="11"/>
      <c r="R298" s="11"/>
      <c r="S298" s="11"/>
      <c r="T298" s="53"/>
    </row>
    <row r="299" spans="1:27" s="11" customFormat="1" x14ac:dyDescent="0.2">
      <c r="A299" s="2"/>
      <c r="B299" s="185"/>
      <c r="C299" s="55"/>
      <c r="D299" s="55"/>
      <c r="E299" s="55"/>
      <c r="F299" s="55"/>
      <c r="G299" s="50"/>
      <c r="H299" s="50"/>
      <c r="I299" s="55"/>
      <c r="J299" s="55"/>
      <c r="K299" s="55"/>
      <c r="L299" s="55"/>
      <c r="M299" s="55"/>
      <c r="N299" s="55"/>
      <c r="O299" s="55"/>
      <c r="P299" s="55"/>
    </row>
    <row r="300" spans="1:27" s="139" customFormat="1" x14ac:dyDescent="0.2">
      <c r="A300" s="64"/>
      <c r="B300" s="221" t="s">
        <v>366</v>
      </c>
      <c r="C300" s="203">
        <f t="shared" ref="C300:P300" si="323">+C261-C265</f>
        <v>-134769.41416878405</v>
      </c>
      <c r="D300" s="203">
        <f t="shared" si="323"/>
        <v>-82766.237532050698</v>
      </c>
      <c r="E300" s="203">
        <f t="shared" si="323"/>
        <v>-61579.641802961705</v>
      </c>
      <c r="F300" s="203">
        <f t="shared" si="323"/>
        <v>-30849.600658261799</v>
      </c>
      <c r="G300" s="203">
        <f t="shared" si="323"/>
        <v>3061.0954417942557</v>
      </c>
      <c r="H300" s="203">
        <f t="shared" si="323"/>
        <v>34374.486911082175</v>
      </c>
      <c r="I300" s="203">
        <f t="shared" si="323"/>
        <v>70566.468595711514</v>
      </c>
      <c r="J300" s="203">
        <f t="shared" si="323"/>
        <v>22390.697195690824</v>
      </c>
      <c r="K300" s="203">
        <f t="shared" si="323"/>
        <v>-7857.4281345368363</v>
      </c>
      <c r="L300" s="203">
        <f t="shared" si="323"/>
        <v>-38749.50645654439</v>
      </c>
      <c r="M300" s="203">
        <f t="shared" si="323"/>
        <v>-71021.175971901743</v>
      </c>
      <c r="N300" s="203">
        <f t="shared" si="323"/>
        <v>-104650.11662031151</v>
      </c>
      <c r="O300" s="203">
        <f t="shared" si="323"/>
        <v>-127677.6558268324</v>
      </c>
      <c r="P300" s="203">
        <f t="shared" si="323"/>
        <v>-141018.09621274704</v>
      </c>
      <c r="Q300" s="96"/>
      <c r="R300" s="268">
        <v>33366.256420334103</v>
      </c>
      <c r="S300" s="96"/>
    </row>
    <row r="301" spans="1:27" s="11" customFormat="1" x14ac:dyDescent="0.2">
      <c r="A301" s="2"/>
      <c r="B301" s="478" t="s">
        <v>464</v>
      </c>
      <c r="C301" s="511">
        <f t="shared" ref="C301:P301" si="324">+C300+C246</f>
        <v>-132868.3275173404</v>
      </c>
      <c r="D301" s="511">
        <f t="shared" si="324"/>
        <v>-80865.150880607063</v>
      </c>
      <c r="E301" s="511">
        <f t="shared" si="324"/>
        <v>-59678.55515151807</v>
      </c>
      <c r="F301" s="511">
        <f t="shared" si="324"/>
        <v>-27305.114006818163</v>
      </c>
      <c r="G301" s="511">
        <f t="shared" si="324"/>
        <v>14556.882093237891</v>
      </c>
      <c r="H301" s="511">
        <f t="shared" si="324"/>
        <v>50767.573562525809</v>
      </c>
      <c r="I301" s="511">
        <f t="shared" si="324"/>
        <v>96157.079909968248</v>
      </c>
      <c r="J301" s="511">
        <f t="shared" si="324"/>
        <v>48421.908509947563</v>
      </c>
      <c r="K301" s="511">
        <f t="shared" si="324"/>
        <v>18941.501519147601</v>
      </c>
      <c r="L301" s="511">
        <f t="shared" si="324"/>
        <v>-11169.64046343225</v>
      </c>
      <c r="M301" s="511">
        <f t="shared" si="324"/>
        <v>-42637.342089179074</v>
      </c>
      <c r="N301" s="511">
        <f t="shared" si="324"/>
        <v>-75438.886757795481</v>
      </c>
      <c r="O301" s="511">
        <f t="shared" si="324"/>
        <v>-97614.91094783468</v>
      </c>
      <c r="P301" s="511">
        <f t="shared" si="324"/>
        <v>-110079.01443787385</v>
      </c>
      <c r="T301" s="231"/>
      <c r="U301" s="231"/>
      <c r="V301" s="231"/>
      <c r="W301" s="231"/>
      <c r="X301" s="231"/>
      <c r="Y301" s="231"/>
      <c r="Z301" s="231"/>
      <c r="AA301" s="231"/>
    </row>
    <row r="302" spans="1:27" s="21" customFormat="1" x14ac:dyDescent="0.2">
      <c r="A302" s="19"/>
      <c r="B302" s="20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T302" s="12"/>
      <c r="U302" s="12"/>
      <c r="V302" s="12"/>
      <c r="W302" s="12"/>
      <c r="X302" s="12"/>
      <c r="Y302" s="12"/>
      <c r="Z302" s="12"/>
      <c r="AA302" s="12"/>
    </row>
    <row r="303" spans="1:27" s="59" customFormat="1" x14ac:dyDescent="0.2">
      <c r="A303" s="58"/>
      <c r="B303" s="86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T303" s="60"/>
      <c r="U303" s="60"/>
      <c r="V303" s="60"/>
      <c r="W303" s="60"/>
      <c r="X303" s="60"/>
      <c r="Y303" s="60"/>
      <c r="Z303" s="60"/>
      <c r="AA303" s="60"/>
    </row>
    <row r="304" spans="1:27" s="12" customFormat="1" x14ac:dyDescent="0.2">
      <c r="A304" s="19"/>
      <c r="B304" s="20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21"/>
      <c r="R304" s="21"/>
      <c r="S304" s="21"/>
    </row>
    <row r="305" spans="1:27" s="60" customFormat="1" x14ac:dyDescent="0.2">
      <c r="A305" s="58"/>
      <c r="B305" s="86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59"/>
      <c r="R305" s="59"/>
      <c r="S305" s="59"/>
    </row>
    <row r="306" spans="1:27" s="11" customFormat="1" x14ac:dyDescent="0.2">
      <c r="A306" s="7"/>
      <c r="B306" s="10"/>
      <c r="C306" s="231"/>
      <c r="D306" s="51"/>
      <c r="E306" s="231"/>
      <c r="F306" s="231"/>
      <c r="G306" s="52"/>
      <c r="H306" s="57"/>
      <c r="I306" s="231"/>
      <c r="J306" s="231"/>
      <c r="K306" s="231"/>
      <c r="L306" s="231"/>
      <c r="M306" s="231"/>
      <c r="T306" s="231"/>
      <c r="U306" s="231"/>
      <c r="V306" s="231"/>
      <c r="W306" s="231"/>
      <c r="X306" s="231"/>
      <c r="Y306" s="231"/>
      <c r="Z306" s="231"/>
      <c r="AA306" s="231"/>
    </row>
  </sheetData>
  <sheetProtection formatCells="0" formatColumns="0" formatRows="0" insertColumns="0" insertRows="0" insertHyperlinks="0" deleteColumns="0" deleteRows="0" sort="0" autoFilter="0" pivotTables="0"/>
  <mergeCells count="4">
    <mergeCell ref="A4:B4"/>
    <mergeCell ref="A219:B219"/>
    <mergeCell ref="A244:B244"/>
    <mergeCell ref="A260:B260"/>
  </mergeCells>
  <printOptions horizontalCentered="1"/>
  <pageMargins left="0.27559055118110237" right="0.27559055118110237" top="0.59055118110236227" bottom="0.39370078740157483" header="0.70866141732283472" footer="0.51181102362204722"/>
  <pageSetup paperSize="9" fitToHeight="0" pageOrder="overThenDown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C00000"/>
  </sheetPr>
  <dimension ref="A1:AA151"/>
  <sheetViews>
    <sheetView view="pageBreakPreview" zoomScaleNormal="100" zoomScaleSheetLayoutView="100" workbookViewId="0">
      <pane xSplit="2" ySplit="2" topLeftCell="C92" activePane="bottomRight" state="frozen"/>
      <selection activeCell="G447" sqref="G447"/>
      <selection pane="topRight" activeCell="G447" sqref="G447"/>
      <selection pane="bottomLeft" activeCell="G447" sqref="G447"/>
      <selection pane="bottomRight" activeCell="C109" sqref="C109"/>
    </sheetView>
  </sheetViews>
  <sheetFormatPr defaultRowHeight="11.25" x14ac:dyDescent="0.2"/>
  <cols>
    <col min="1" max="1" width="4.28515625" style="7" customWidth="1"/>
    <col min="2" max="2" width="54.7109375" style="10" customWidth="1"/>
    <col min="3" max="4" width="10.7109375" style="231" customWidth="1"/>
    <col min="5" max="5" width="10.7109375" style="232" customWidth="1"/>
    <col min="6" max="6" width="10.7109375" style="231" customWidth="1"/>
    <col min="7" max="7" width="10.7109375" style="52" customWidth="1"/>
    <col min="8" max="8" width="10.7109375" style="57" customWidth="1"/>
    <col min="9" max="13" width="10.7109375" style="231" customWidth="1"/>
    <col min="14" max="16" width="10.7109375" style="11" customWidth="1"/>
    <col min="17" max="17" width="2.7109375" style="11" customWidth="1"/>
    <col min="18" max="18" width="10.42578125" style="11" customWidth="1"/>
    <col min="19" max="19" width="9.140625" style="11"/>
    <col min="20" max="16384" width="9.140625" style="231"/>
  </cols>
  <sheetData>
    <row r="1" spans="1:19" x14ac:dyDescent="0.2">
      <c r="B1" s="232" t="s">
        <v>422</v>
      </c>
      <c r="G1" s="231"/>
      <c r="H1" s="231"/>
      <c r="N1" s="13"/>
      <c r="O1" s="13"/>
      <c r="P1" s="13"/>
    </row>
    <row r="2" spans="1:19" s="144" customFormat="1" x14ac:dyDescent="0.2">
      <c r="A2" s="142"/>
      <c r="B2" s="442"/>
      <c r="C2" s="142" t="s">
        <v>454</v>
      </c>
      <c r="D2" s="142" t="s">
        <v>453</v>
      </c>
      <c r="E2" s="142">
        <v>2019</v>
      </c>
      <c r="F2" s="142">
        <v>2020</v>
      </c>
      <c r="G2" s="142">
        <v>2021</v>
      </c>
      <c r="H2" s="142">
        <v>2022</v>
      </c>
      <c r="I2" s="142">
        <v>2023</v>
      </c>
      <c r="J2" s="142">
        <v>2024</v>
      </c>
      <c r="K2" s="142">
        <v>2025</v>
      </c>
      <c r="L2" s="142">
        <v>2026</v>
      </c>
      <c r="M2" s="142">
        <v>2027</v>
      </c>
      <c r="N2" s="142">
        <v>2028</v>
      </c>
      <c r="O2" s="142">
        <v>2029</v>
      </c>
      <c r="P2" s="142">
        <v>2030</v>
      </c>
    </row>
    <row r="3" spans="1:19" s="63" customFormat="1" x14ac:dyDescent="0.2">
      <c r="A3" s="61">
        <f>COLUMN()</f>
        <v>1</v>
      </c>
      <c r="B3" s="61">
        <f>COLUMN()</f>
        <v>2</v>
      </c>
      <c r="C3" s="61">
        <f>COLUMN()</f>
        <v>3</v>
      </c>
      <c r="D3" s="61">
        <f>COLUMN()</f>
        <v>4</v>
      </c>
      <c r="E3" s="61">
        <f>COLUMN()</f>
        <v>5</v>
      </c>
      <c r="F3" s="61">
        <f>COLUMN()</f>
        <v>6</v>
      </c>
      <c r="G3" s="61">
        <f>COLUMN()</f>
        <v>7</v>
      </c>
      <c r="H3" s="61">
        <f>COLUMN()</f>
        <v>8</v>
      </c>
      <c r="I3" s="61">
        <f>COLUMN()</f>
        <v>9</v>
      </c>
      <c r="J3" s="61">
        <f>COLUMN()</f>
        <v>10</v>
      </c>
      <c r="K3" s="61">
        <f>COLUMN()</f>
        <v>11</v>
      </c>
      <c r="L3" s="61">
        <f>COLUMN()</f>
        <v>12</v>
      </c>
      <c r="M3" s="61">
        <f>COLUMN()</f>
        <v>13</v>
      </c>
      <c r="N3" s="61">
        <f>COLUMN()</f>
        <v>14</v>
      </c>
      <c r="O3" s="61">
        <f>COLUMN()</f>
        <v>15</v>
      </c>
      <c r="P3" s="61">
        <f>COLUMN()</f>
        <v>16</v>
      </c>
      <c r="Q3" s="62"/>
      <c r="R3" s="62"/>
      <c r="S3" s="62"/>
    </row>
    <row r="4" spans="1:19" s="18" customFormat="1" x14ac:dyDescent="0.2">
      <c r="A4" s="939" t="s">
        <v>493</v>
      </c>
      <c r="B4" s="940"/>
      <c r="C4" s="28"/>
      <c r="D4" s="28"/>
      <c r="E4" s="269"/>
      <c r="F4" s="269"/>
      <c r="G4" s="269"/>
      <c r="H4" s="269"/>
      <c r="I4" s="269"/>
      <c r="J4" s="269"/>
      <c r="K4" s="269"/>
      <c r="L4" s="269"/>
      <c r="M4" s="269"/>
      <c r="N4" s="26"/>
      <c r="O4" s="26"/>
      <c r="P4" s="26"/>
      <c r="Q4" s="17"/>
      <c r="R4" s="77"/>
      <c r="S4" s="16"/>
    </row>
    <row r="5" spans="1:19" s="74" customFormat="1" x14ac:dyDescent="0.2">
      <c r="A5" s="71">
        <v>8</v>
      </c>
      <c r="B5" s="101" t="s">
        <v>388</v>
      </c>
      <c r="C5" s="103">
        <f t="shared" ref="C5:P5" si="0">+C6+C11+C13-C14</f>
        <v>3524.2229765789998</v>
      </c>
      <c r="D5" s="103">
        <f t="shared" si="0"/>
        <v>3602.7571368430663</v>
      </c>
      <c r="E5" s="103">
        <f t="shared" si="0"/>
        <v>3646.2610142054509</v>
      </c>
      <c r="F5" s="103">
        <f t="shared" si="0"/>
        <v>3549.2643305180022</v>
      </c>
      <c r="G5" s="103">
        <f t="shared" si="0"/>
        <v>3475.1386036787289</v>
      </c>
      <c r="H5" s="103">
        <f t="shared" si="0"/>
        <v>3430.7248288886535</v>
      </c>
      <c r="I5" s="103">
        <f t="shared" si="0"/>
        <v>3396.1601142621362</v>
      </c>
      <c r="J5" s="103">
        <f t="shared" si="0"/>
        <v>3366.6761232702052</v>
      </c>
      <c r="K5" s="103">
        <f t="shared" si="0"/>
        <v>3440.0700641557273</v>
      </c>
      <c r="L5" s="103">
        <f t="shared" si="0"/>
        <v>3514.6201797453746</v>
      </c>
      <c r="M5" s="103">
        <f t="shared" si="0"/>
        <v>3547.473892885952</v>
      </c>
      <c r="N5" s="103">
        <f t="shared" si="0"/>
        <v>3580.3021237744219</v>
      </c>
      <c r="O5" s="103">
        <f t="shared" si="0"/>
        <v>3613.1055902621388</v>
      </c>
      <c r="P5" s="103">
        <f t="shared" si="0"/>
        <v>3645.8849825951547</v>
      </c>
      <c r="R5" s="637">
        <f>+H5-G5</f>
        <v>-44.413774790075422</v>
      </c>
    </row>
    <row r="6" spans="1:19" s="32" customFormat="1" x14ac:dyDescent="0.2">
      <c r="A6" s="33" t="s">
        <v>177</v>
      </c>
      <c r="B6" s="110" t="s">
        <v>389</v>
      </c>
      <c r="C6" s="286">
        <f>SUM(C7:C9)</f>
        <v>2819.54655</v>
      </c>
      <c r="D6" s="286">
        <f t="shared" ref="D6:P6" si="1">SUM(D7:D9)</f>
        <v>2664.9363419263491</v>
      </c>
      <c r="E6" s="286">
        <f t="shared" si="1"/>
        <v>2750.2418045777181</v>
      </c>
      <c r="F6" s="286">
        <f t="shared" si="1"/>
        <v>2672.135643656462</v>
      </c>
      <c r="G6" s="286">
        <f t="shared" si="1"/>
        <v>2611.1850003921159</v>
      </c>
      <c r="H6" s="286">
        <f t="shared" si="1"/>
        <v>2585.8575284129556</v>
      </c>
      <c r="I6" s="286">
        <f t="shared" si="1"/>
        <v>2568.5468562268497</v>
      </c>
      <c r="J6" s="286">
        <f t="shared" si="1"/>
        <v>2555.3718706883765</v>
      </c>
      <c r="K6" s="286">
        <f t="shared" si="1"/>
        <v>2625.7002943557345</v>
      </c>
      <c r="L6" s="286">
        <f t="shared" si="1"/>
        <v>2696.0287180230921</v>
      </c>
      <c r="M6" s="286">
        <f t="shared" si="1"/>
        <v>2724.8249821432719</v>
      </c>
      <c r="N6" s="286">
        <f t="shared" si="1"/>
        <v>2753.6212462634521</v>
      </c>
      <c r="O6" s="286">
        <f t="shared" si="1"/>
        <v>2782.4175103836319</v>
      </c>
      <c r="P6" s="286">
        <f t="shared" si="1"/>
        <v>2811.2137745038117</v>
      </c>
    </row>
    <row r="7" spans="1:19" s="11" customFormat="1" x14ac:dyDescent="0.2">
      <c r="A7" s="2"/>
      <c r="B7" s="44" t="s">
        <v>390</v>
      </c>
      <c r="C7" s="287">
        <f>+'ТЭЦ-1'!C62</f>
        <v>307.62085999999999</v>
      </c>
      <c r="D7" s="287">
        <f>+'ТЭЦ-1'!D62</f>
        <v>338.65071333333333</v>
      </c>
      <c r="E7" s="287">
        <f>+'ТЭЦ-1'!E62</f>
        <v>338.65071333333333</v>
      </c>
      <c r="F7" s="287">
        <f>+'ТЭЦ-1'!F62</f>
        <v>328.55625995466858</v>
      </c>
      <c r="G7" s="287">
        <f>+'ТЭЦ-1'!G62</f>
        <v>326.57612225294775</v>
      </c>
      <c r="H7" s="287">
        <f>+'ТЭЦ-1'!H62</f>
        <v>322.66142057016623</v>
      </c>
      <c r="I7" s="287">
        <f>+'ТЭЦ-1'!I62</f>
        <v>319.73408281240842</v>
      </c>
      <c r="J7" s="287">
        <f>+'ТЭЦ-1'!J62</f>
        <v>317.31990323490049</v>
      </c>
      <c r="K7" s="287">
        <f>+'ТЭЦ-1'!K62</f>
        <v>325.26687070833248</v>
      </c>
      <c r="L7" s="287">
        <f>+'ТЭЦ-1'!L62</f>
        <v>333.2138381817644</v>
      </c>
      <c r="M7" s="287">
        <f>+'ТЭЦ-1'!M62</f>
        <v>333.86122986496019</v>
      </c>
      <c r="N7" s="287">
        <f>+'ТЭЦ-1'!N62</f>
        <v>334.50862154815587</v>
      </c>
      <c r="O7" s="287">
        <f>+'ТЭЦ-1'!O62</f>
        <v>335.15601323135166</v>
      </c>
      <c r="P7" s="287">
        <f>+'ТЭЦ-1'!P62</f>
        <v>335.8034049145474</v>
      </c>
    </row>
    <row r="8" spans="1:19" s="11" customFormat="1" x14ac:dyDescent="0.2">
      <c r="A8" s="2"/>
      <c r="B8" s="44" t="s">
        <v>303</v>
      </c>
      <c r="C8" s="287">
        <f>+'ТЭЦ-3'!C55</f>
        <v>1350.52369</v>
      </c>
      <c r="D8" s="287">
        <f>+'ТЭЦ-3'!D55</f>
        <v>1296.1782333333335</v>
      </c>
      <c r="E8" s="287">
        <f>+'ТЭЦ-3'!E55</f>
        <v>1320.6604245777182</v>
      </c>
      <c r="F8" s="287">
        <f>+'ТЭЦ-3'!F55</f>
        <v>1285.1990916211132</v>
      </c>
      <c r="G8" s="287">
        <f>+'ТЭЦ-3'!G55</f>
        <v>1264.0226562127648</v>
      </c>
      <c r="H8" s="287">
        <f>+'ТЭЦ-3'!H55</f>
        <v>1249.0028686013445</v>
      </c>
      <c r="I8" s="287">
        <f>+'ТЭЦ-3'!I55</f>
        <v>1237.7693275139916</v>
      </c>
      <c r="J8" s="287">
        <f>+'ТЭЦ-3'!J55</f>
        <v>1228.503595181877</v>
      </c>
      <c r="K8" s="287">
        <f>+'ТЭЦ-3'!K55</f>
        <v>1258.9697752811708</v>
      </c>
      <c r="L8" s="287">
        <f>+'ТЭЦ-3'!L55</f>
        <v>1289.4359553804645</v>
      </c>
      <c r="M8" s="287">
        <f>+'ТЭЦ-3'!M55</f>
        <v>1314.0116464507073</v>
      </c>
      <c r="N8" s="287">
        <f>+'ТЭЦ-3'!N55</f>
        <v>1338.5873375209501</v>
      </c>
      <c r="O8" s="287">
        <f>+'ТЭЦ-3'!O55</f>
        <v>1363.1630285911929</v>
      </c>
      <c r="P8" s="287">
        <f>+'ТЭЦ-3'!P55</f>
        <v>1387.7387196614357</v>
      </c>
      <c r="R8" s="636"/>
    </row>
    <row r="9" spans="1:19" s="11" customFormat="1" x14ac:dyDescent="0.2">
      <c r="A9" s="2"/>
      <c r="B9" s="44" t="s">
        <v>304</v>
      </c>
      <c r="C9" s="287">
        <f>+'ТЭЦ-4'!C56</f>
        <v>1161.402</v>
      </c>
      <c r="D9" s="287">
        <f>+'ТЭЦ-4'!D56</f>
        <v>1030.1073952596819</v>
      </c>
      <c r="E9" s="287">
        <f>+'ТЭЦ-4'!E56</f>
        <v>1090.9306666666666</v>
      </c>
      <c r="F9" s="287">
        <f>+'ТЭЦ-4'!F56</f>
        <v>1058.38029208068</v>
      </c>
      <c r="G9" s="287">
        <f>+'ТЭЦ-4'!G56</f>
        <v>1020.5862219264033</v>
      </c>
      <c r="H9" s="287">
        <f>+'ТЭЦ-4'!H56</f>
        <v>1014.193239241445</v>
      </c>
      <c r="I9" s="287">
        <f>+'ТЭЦ-4'!I56</f>
        <v>1011.0434459004498</v>
      </c>
      <c r="J9" s="287">
        <f>+'ТЭЦ-4'!J56</f>
        <v>1009.5483722715991</v>
      </c>
      <c r="K9" s="287">
        <f>+'ТЭЦ-4'!K56</f>
        <v>1041.4636483662312</v>
      </c>
      <c r="L9" s="287">
        <f>+'ТЭЦ-4'!L56</f>
        <v>1073.3789244608631</v>
      </c>
      <c r="M9" s="287">
        <f>+'ТЭЦ-4'!M56</f>
        <v>1076.9521058276046</v>
      </c>
      <c r="N9" s="287">
        <f>+'ТЭЦ-4'!N56</f>
        <v>1080.525287194346</v>
      </c>
      <c r="O9" s="287">
        <f>+'ТЭЦ-4'!O56</f>
        <v>1084.0984685610874</v>
      </c>
      <c r="P9" s="287">
        <f>+'ТЭЦ-4'!P56</f>
        <v>1087.6716499278289</v>
      </c>
      <c r="R9" s="636"/>
    </row>
    <row r="10" spans="1:19" s="96" customFormat="1" x14ac:dyDescent="0.2">
      <c r="A10" s="64"/>
      <c r="B10" s="149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</row>
    <row r="11" spans="1:19" s="32" customFormat="1" x14ac:dyDescent="0.2">
      <c r="A11" s="33" t="s">
        <v>180</v>
      </c>
      <c r="B11" s="110" t="s">
        <v>494</v>
      </c>
      <c r="C11" s="287">
        <f>+Кот.!C101-C13</f>
        <v>570.10398999999973</v>
      </c>
      <c r="D11" s="287">
        <f>+Кот.!D101-D13</f>
        <v>882.62625383333352</v>
      </c>
      <c r="E11" s="287">
        <f>+Кот.!E101-E13</f>
        <v>843.11152182306625</v>
      </c>
      <c r="F11" s="287">
        <f>+Кот.!F101-F13</f>
        <v>824.22099905687344</v>
      </c>
      <c r="G11" s="287">
        <f>+Кот.!G101-G13</f>
        <v>811.04591548194651</v>
      </c>
      <c r="H11" s="287">
        <f>+Кот.!H101-H13</f>
        <v>791.9596126710311</v>
      </c>
      <c r="I11" s="287">
        <f>+Кот.!I101-I13</f>
        <v>774.70557023061986</v>
      </c>
      <c r="J11" s="287">
        <f>+Кот.!J101-J13</f>
        <v>758.3965647771621</v>
      </c>
      <c r="K11" s="287">
        <f>+Кот.!K101-K13</f>
        <v>761.46208199532623</v>
      </c>
      <c r="L11" s="287">
        <f>+Кот.!L101-L13</f>
        <v>765.68377391761567</v>
      </c>
      <c r="M11" s="287">
        <f>+Кот.!M101-M13</f>
        <v>769.74122293801349</v>
      </c>
      <c r="N11" s="287">
        <f>+Кот.!N101-N13</f>
        <v>773.77318970630324</v>
      </c>
      <c r="O11" s="287">
        <f>+Кот.!O101-O13</f>
        <v>777.78039207384029</v>
      </c>
      <c r="P11" s="287">
        <f>+Кот.!P101-P13</f>
        <v>781.76352028667645</v>
      </c>
      <c r="Q11" s="11"/>
    </row>
    <row r="12" spans="1:19" s="11" customFormat="1" x14ac:dyDescent="0.2">
      <c r="A12" s="2"/>
      <c r="B12" s="44" t="s">
        <v>508</v>
      </c>
      <c r="C12" s="287">
        <f>+C11-Кот.!C67-Кот.!C72-Кот.!C80</f>
        <v>131.03287699999976</v>
      </c>
      <c r="D12" s="287">
        <f>+D11-Кот.!D67-Кот.!D72-Кот.!D80</f>
        <v>243.92512650000003</v>
      </c>
      <c r="E12" s="287">
        <f>+E11-Кот.!E67-Кот.!E72-Кот.!E80</f>
        <v>207.82465182306623</v>
      </c>
      <c r="F12" s="287">
        <f>+F11-Кот.!F67-Кот.!F72-Кот.!F80</f>
        <v>207.82465182306618</v>
      </c>
      <c r="G12" s="287">
        <f>+G11-Кот.!G67-Кот.!G72-Кот.!G80</f>
        <v>208.89816920963312</v>
      </c>
      <c r="H12" s="287">
        <f>+H11-Кот.!H67-Кот.!H72-Кот.!H80</f>
        <v>210.09708262269015</v>
      </c>
      <c r="I12" s="287">
        <f>+I11-Кот.!I67-Кот.!I72-Кот.!I80</f>
        <v>211.29599603574758</v>
      </c>
      <c r="J12" s="287">
        <f>+J11-Кот.!J67-Кот.!J72-Кот.!J80</f>
        <v>212.49490944880455</v>
      </c>
      <c r="K12" s="287">
        <f>+K11-Кот.!K67-Кот.!K72-Кот.!K80</f>
        <v>213.69382286186146</v>
      </c>
      <c r="L12" s="287">
        <f>+L11-Кот.!L67-Кот.!L72-Кот.!L80</f>
        <v>216.06380776252377</v>
      </c>
      <c r="M12" s="287">
        <f>+M11-Кот.!M67-Кот.!M72-Кот.!M80</f>
        <v>218.43379266318607</v>
      </c>
      <c r="N12" s="287">
        <f>+N11-Кот.!N67-Кот.!N72-Кот.!N80</f>
        <v>220.80377756384826</v>
      </c>
      <c r="O12" s="287">
        <f>+O11-Кот.!O67-Кот.!O72-Кот.!O80</f>
        <v>223.17376246451062</v>
      </c>
      <c r="P12" s="287">
        <f>+P11-Кот.!P67-Кот.!P72-Кот.!P80</f>
        <v>225.54374736517281</v>
      </c>
    </row>
    <row r="13" spans="1:19" s="32" customFormat="1" x14ac:dyDescent="0.2">
      <c r="A13" s="33" t="s">
        <v>207</v>
      </c>
      <c r="B13" s="110" t="s">
        <v>391</v>
      </c>
      <c r="C13" s="288">
        <f>+Кот.!C100</f>
        <v>136.66149389899999</v>
      </c>
      <c r="D13" s="288">
        <f>+Кот.!D100</f>
        <v>57.222790078716969</v>
      </c>
      <c r="E13" s="288">
        <f>+Кот.!E100</f>
        <v>54.9359368</v>
      </c>
      <c r="F13" s="288">
        <f>+Кот.!F100</f>
        <v>54.9359368</v>
      </c>
      <c r="G13" s="288">
        <f>+Кот.!G100</f>
        <v>54.9359368</v>
      </c>
      <c r="H13" s="288">
        <f>+Кот.!H100</f>
        <v>54.9359368</v>
      </c>
      <c r="I13" s="288">
        <f>+Кот.!I100</f>
        <v>54.9359368</v>
      </c>
      <c r="J13" s="288">
        <f>+Кот.!J100</f>
        <v>54.9359368</v>
      </c>
      <c r="K13" s="288">
        <f>+Кот.!K100</f>
        <v>54.9359368</v>
      </c>
      <c r="L13" s="288">
        <f>+Кот.!L100</f>
        <v>54.9359368</v>
      </c>
      <c r="M13" s="288">
        <f>+Кот.!M100</f>
        <v>54.9359368</v>
      </c>
      <c r="N13" s="288">
        <f>+Кот.!N100</f>
        <v>54.9359368</v>
      </c>
      <c r="O13" s="288">
        <f>+Кот.!O100</f>
        <v>54.9359368</v>
      </c>
      <c r="P13" s="288">
        <f>+Кот.!P100</f>
        <v>54.9359368</v>
      </c>
    </row>
    <row r="14" spans="1:19" s="96" customFormat="1" x14ac:dyDescent="0.2">
      <c r="A14" s="64" t="s">
        <v>208</v>
      </c>
      <c r="B14" s="65" t="s">
        <v>392</v>
      </c>
      <c r="C14" s="111">
        <f>+'[4]4.1.РчПО_ТЭ'!$C$43</f>
        <v>2.0890573200000007</v>
      </c>
      <c r="D14" s="111">
        <f>+'[4]4.1.РчПО_ТЭ'!$K$43</f>
        <v>2.0282489953333336</v>
      </c>
      <c r="E14" s="111">
        <f>+'[4]4.1.РчПО_ТЭ'!$S$43</f>
        <v>2.0282489953333336</v>
      </c>
      <c r="F14" s="90">
        <f t="shared" ref="F14:P14" si="2">+E14</f>
        <v>2.0282489953333336</v>
      </c>
      <c r="G14" s="90">
        <f t="shared" si="2"/>
        <v>2.0282489953333336</v>
      </c>
      <c r="H14" s="90">
        <f t="shared" si="2"/>
        <v>2.0282489953333336</v>
      </c>
      <c r="I14" s="90">
        <f t="shared" si="2"/>
        <v>2.0282489953333336</v>
      </c>
      <c r="J14" s="90">
        <f t="shared" si="2"/>
        <v>2.0282489953333336</v>
      </c>
      <c r="K14" s="90">
        <f t="shared" si="2"/>
        <v>2.0282489953333336</v>
      </c>
      <c r="L14" s="90">
        <f t="shared" si="2"/>
        <v>2.0282489953333336</v>
      </c>
      <c r="M14" s="90">
        <f t="shared" si="2"/>
        <v>2.0282489953333336</v>
      </c>
      <c r="N14" s="90">
        <f t="shared" si="2"/>
        <v>2.0282489953333336</v>
      </c>
      <c r="O14" s="90">
        <f t="shared" si="2"/>
        <v>2.0282489953333336</v>
      </c>
      <c r="P14" s="90">
        <f t="shared" si="2"/>
        <v>2.0282489953333336</v>
      </c>
    </row>
    <row r="15" spans="1:19" s="274" customFormat="1" x14ac:dyDescent="0.2">
      <c r="A15" s="66">
        <v>10</v>
      </c>
      <c r="B15" s="72" t="s">
        <v>310</v>
      </c>
      <c r="C15" s="272">
        <f t="shared" ref="C15:P15" si="3">+C16+C17</f>
        <v>1142.7427498485977</v>
      </c>
      <c r="D15" s="272">
        <f t="shared" si="3"/>
        <v>1057.5492675836958</v>
      </c>
      <c r="E15" s="272">
        <f t="shared" si="3"/>
        <v>1057.5492675836958</v>
      </c>
      <c r="F15" s="272">
        <f t="shared" si="3"/>
        <v>908.72026758369589</v>
      </c>
      <c r="G15" s="272">
        <f t="shared" si="3"/>
        <v>743.69326758369584</v>
      </c>
      <c r="H15" s="272">
        <f t="shared" si="3"/>
        <v>625.54076758369581</v>
      </c>
      <c r="I15" s="272">
        <f t="shared" si="3"/>
        <v>517.22326758369582</v>
      </c>
      <c r="J15" s="272">
        <f t="shared" si="3"/>
        <v>414.01726758369585</v>
      </c>
      <c r="K15" s="272">
        <f t="shared" si="3"/>
        <v>414.01726758369585</v>
      </c>
      <c r="L15" s="272">
        <f t="shared" si="3"/>
        <v>414.01726758369585</v>
      </c>
      <c r="M15" s="272">
        <f t="shared" si="3"/>
        <v>414.01726758369585</v>
      </c>
      <c r="N15" s="272">
        <f t="shared" si="3"/>
        <v>414.01726758369585</v>
      </c>
      <c r="O15" s="272">
        <f t="shared" si="3"/>
        <v>414.01726758369585</v>
      </c>
      <c r="P15" s="272">
        <f t="shared" si="3"/>
        <v>414.01726758369585</v>
      </c>
      <c r="Q15" s="273"/>
      <c r="R15" s="638">
        <f>+H15-G15</f>
        <v>-118.15250000000003</v>
      </c>
      <c r="S15" s="273"/>
    </row>
    <row r="16" spans="1:19" s="32" customFormat="1" x14ac:dyDescent="0.2">
      <c r="A16" s="39" t="s">
        <v>49</v>
      </c>
      <c r="B16" s="3" t="s">
        <v>307</v>
      </c>
      <c r="C16" s="289">
        <f>+'[4]4.1.РчПО_ТЭ'!$C$48+'[4]4.1.РчПО_ТЭ'!$C$49</f>
        <v>697.26335297648825</v>
      </c>
      <c r="D16" s="289">
        <f>+'[4]4.1.РчПО_ТЭ'!$K$48+'[4]4.1.РчПО_ТЭ'!$K$49</f>
        <v>697.26335297648825</v>
      </c>
      <c r="E16" s="120">
        <f>+D16</f>
        <v>697.26335297648825</v>
      </c>
      <c r="F16" s="120">
        <f>+E16</f>
        <v>697.26335297648825</v>
      </c>
      <c r="G16" s="120">
        <f t="shared" ref="G16:I16" si="4">+F16</f>
        <v>697.26335297648825</v>
      </c>
      <c r="H16" s="120">
        <f t="shared" si="4"/>
        <v>697.26335297648825</v>
      </c>
      <c r="I16" s="120">
        <f t="shared" si="4"/>
        <v>697.26335297648825</v>
      </c>
      <c r="J16" s="120">
        <f t="shared" ref="J16" si="5">+I16</f>
        <v>697.26335297648825</v>
      </c>
      <c r="K16" s="120">
        <f t="shared" ref="K16" si="6">+J16</f>
        <v>697.26335297648825</v>
      </c>
      <c r="L16" s="120">
        <f t="shared" ref="L16" si="7">+K16</f>
        <v>697.26335297648825</v>
      </c>
      <c r="M16" s="120">
        <f t="shared" ref="M16" si="8">+L16</f>
        <v>697.26335297648825</v>
      </c>
      <c r="N16" s="120">
        <f t="shared" ref="N16" si="9">+M16</f>
        <v>697.26335297648825</v>
      </c>
      <c r="O16" s="120">
        <f t="shared" ref="O16" si="10">+N16</f>
        <v>697.26335297648825</v>
      </c>
      <c r="P16" s="120">
        <f t="shared" ref="P16" si="11">+O16</f>
        <v>697.26335297648825</v>
      </c>
    </row>
    <row r="17" spans="1:19" s="11" customFormat="1" x14ac:dyDescent="0.2">
      <c r="A17" s="2"/>
      <c r="B17" s="44" t="s">
        <v>308</v>
      </c>
      <c r="C17" s="107">
        <f>+'[4]4.1.РчПО_ТЭ'!$C$63</f>
        <v>445.47939687210948</v>
      </c>
      <c r="D17" s="107">
        <f>+'[4]4.1.РчПО_ТЭ'!$K$63</f>
        <v>360.28591460720759</v>
      </c>
      <c r="E17" s="120">
        <f>+D17+E22</f>
        <v>360.28591460720759</v>
      </c>
      <c r="F17" s="120">
        <f t="shared" ref="F17:P17" si="12">+E17+F22</f>
        <v>211.45691460720758</v>
      </c>
      <c r="G17" s="120">
        <f t="shared" si="12"/>
        <v>46.429914607207564</v>
      </c>
      <c r="H17" s="120">
        <f t="shared" si="12"/>
        <v>-71.722585392792425</v>
      </c>
      <c r="I17" s="120">
        <f t="shared" si="12"/>
        <v>-180.04008539279241</v>
      </c>
      <c r="J17" s="120">
        <f t="shared" si="12"/>
        <v>-283.24608539279239</v>
      </c>
      <c r="K17" s="120">
        <f t="shared" si="12"/>
        <v>-283.24608539279239</v>
      </c>
      <c r="L17" s="120">
        <f t="shared" si="12"/>
        <v>-283.24608539279239</v>
      </c>
      <c r="M17" s="120">
        <f t="shared" si="12"/>
        <v>-283.24608539279239</v>
      </c>
      <c r="N17" s="120">
        <f t="shared" si="12"/>
        <v>-283.24608539279239</v>
      </c>
      <c r="O17" s="120">
        <f t="shared" si="12"/>
        <v>-283.24608539279239</v>
      </c>
      <c r="P17" s="120">
        <f t="shared" si="12"/>
        <v>-283.24608539279239</v>
      </c>
    </row>
    <row r="18" spans="1:19" s="32" customFormat="1" x14ac:dyDescent="0.2">
      <c r="A18" s="33"/>
      <c r="B18" s="110" t="s">
        <v>311</v>
      </c>
      <c r="C18" s="98">
        <f>+C15/C$5</f>
        <v>0.324253816356952</v>
      </c>
      <c r="D18" s="98">
        <f t="shared" ref="D18:P18" si="13">+D15/D$5</f>
        <v>0.29353887242879173</v>
      </c>
      <c r="E18" s="98">
        <f t="shared" si="13"/>
        <v>0.29003663299571664</v>
      </c>
      <c r="F18" s="98">
        <f t="shared" si="13"/>
        <v>0.25603059760022762</v>
      </c>
      <c r="G18" s="98">
        <f t="shared" si="13"/>
        <v>0.21400391535360155</v>
      </c>
      <c r="H18" s="98">
        <f t="shared" si="13"/>
        <v>0.18233487055455072</v>
      </c>
      <c r="I18" s="98">
        <f t="shared" si="13"/>
        <v>0.15229649079606775</v>
      </c>
      <c r="J18" s="98">
        <f t="shared" si="13"/>
        <v>0.12297508059122186</v>
      </c>
      <c r="K18" s="98">
        <f t="shared" si="13"/>
        <v>0.1203514056000209</v>
      </c>
      <c r="L18" s="98">
        <f t="shared" si="13"/>
        <v>0.11779858033299358</v>
      </c>
      <c r="M18" s="98">
        <f t="shared" si="13"/>
        <v>0.11670762917070639</v>
      </c>
      <c r="N18" s="98">
        <f t="shared" si="13"/>
        <v>0.11563752255277022</v>
      </c>
      <c r="O18" s="98">
        <f t="shared" si="13"/>
        <v>0.11458764689842844</v>
      </c>
      <c r="P18" s="98">
        <f t="shared" si="13"/>
        <v>0.11355741323715506</v>
      </c>
    </row>
    <row r="19" spans="1:19" s="32" customFormat="1" x14ac:dyDescent="0.2">
      <c r="A19" s="291"/>
      <c r="B19" s="34" t="s">
        <v>307</v>
      </c>
      <c r="C19" s="98">
        <f>+C16/C$5</f>
        <v>0.19784881876382551</v>
      </c>
      <c r="D19" s="98">
        <f t="shared" ref="D19:P19" si="14">+D16/D$5</f>
        <v>0.19353604100760138</v>
      </c>
      <c r="E19" s="98">
        <f t="shared" si="14"/>
        <v>0.19122694460435588</v>
      </c>
      <c r="F19" s="98">
        <f t="shared" si="14"/>
        <v>0.19645292321035024</v>
      </c>
      <c r="G19" s="98">
        <f t="shared" si="14"/>
        <v>0.20064332174790836</v>
      </c>
      <c r="H19" s="98">
        <f t="shared" si="14"/>
        <v>0.20324082744997046</v>
      </c>
      <c r="I19" s="98">
        <f t="shared" si="14"/>
        <v>0.20530932862921822</v>
      </c>
      <c r="J19" s="98">
        <f t="shared" si="14"/>
        <v>0.20710734488448646</v>
      </c>
      <c r="K19" s="98">
        <f t="shared" si="14"/>
        <v>0.20268870690795443</v>
      </c>
      <c r="L19" s="98">
        <f t="shared" si="14"/>
        <v>0.19838938983927509</v>
      </c>
      <c r="M19" s="98">
        <f t="shared" si="14"/>
        <v>0.19655207452682574</v>
      </c>
      <c r="N19" s="98">
        <f t="shared" si="14"/>
        <v>0.19474986436100541</v>
      </c>
      <c r="O19" s="98">
        <f t="shared" si="14"/>
        <v>0.19298172598545626</v>
      </c>
      <c r="P19" s="98">
        <f t="shared" si="14"/>
        <v>0.19124666749091287</v>
      </c>
    </row>
    <row r="20" spans="1:19" s="32" customFormat="1" x14ac:dyDescent="0.2">
      <c r="A20" s="33"/>
      <c r="B20" s="110" t="s">
        <v>308</v>
      </c>
      <c r="C20" s="98">
        <f t="shared" ref="C20:P20" si="15">+C17/C$5</f>
        <v>0.12640499759312648</v>
      </c>
      <c r="D20" s="98">
        <f t="shared" si="15"/>
        <v>0.10000283142119036</v>
      </c>
      <c r="E20" s="98">
        <f t="shared" si="15"/>
        <v>9.8809688391360742E-2</v>
      </c>
      <c r="F20" s="98">
        <f t="shared" si="15"/>
        <v>5.9577674389877357E-2</v>
      </c>
      <c r="G20" s="98">
        <f t="shared" si="15"/>
        <v>1.3360593605693184E-2</v>
      </c>
      <c r="H20" s="98">
        <f t="shared" si="15"/>
        <v>-2.0905956895419731E-2</v>
      </c>
      <c r="I20" s="98">
        <f t="shared" si="15"/>
        <v>-5.3012837833150472E-2</v>
      </c>
      <c r="J20" s="98">
        <f t="shared" si="15"/>
        <v>-8.4132264293264605E-2</v>
      </c>
      <c r="K20" s="98">
        <f t="shared" si="15"/>
        <v>-8.2337301307933541E-2</v>
      </c>
      <c r="L20" s="98">
        <f t="shared" si="15"/>
        <v>-8.0590809506281516E-2</v>
      </c>
      <c r="M20" s="98">
        <f t="shared" si="15"/>
        <v>-7.9844445356119356E-2</v>
      </c>
      <c r="N20" s="98">
        <f t="shared" si="15"/>
        <v>-7.9112341808235176E-2</v>
      </c>
      <c r="O20" s="98">
        <f t="shared" si="15"/>
        <v>-7.8394079087027807E-2</v>
      </c>
      <c r="P20" s="98">
        <f t="shared" si="15"/>
        <v>-7.768925425375782E-2</v>
      </c>
    </row>
    <row r="21" spans="1:19" s="96" customFormat="1" x14ac:dyDescent="0.2">
      <c r="A21" s="64"/>
      <c r="B21" s="65"/>
      <c r="C21" s="292"/>
      <c r="D21" s="292"/>
      <c r="E21" s="292"/>
      <c r="F21" s="292"/>
      <c r="G21" s="208"/>
      <c r="H21" s="208"/>
      <c r="I21" s="292"/>
      <c r="J21" s="292"/>
      <c r="K21" s="292"/>
      <c r="L21" s="292"/>
      <c r="M21" s="292"/>
      <c r="N21" s="292"/>
      <c r="O21" s="292"/>
      <c r="P21" s="292"/>
    </row>
    <row r="22" spans="1:19" s="295" customFormat="1" ht="21" x14ac:dyDescent="0.2">
      <c r="A22" s="293"/>
      <c r="B22" s="245" t="s">
        <v>393</v>
      </c>
      <c r="C22" s="294">
        <f>SUM(C23:C26)</f>
        <v>0</v>
      </c>
      <c r="D22" s="294">
        <f>SUM(D23:D26)</f>
        <v>0</v>
      </c>
      <c r="E22" s="512">
        <f>SUM(E23:E26)</f>
        <v>0</v>
      </c>
      <c r="F22" s="294">
        <f>SUM(F23:F30)</f>
        <v>-148.82900000000001</v>
      </c>
      <c r="G22" s="294">
        <f t="shared" ref="G22:P22" si="16">SUM(G23:G30)</f>
        <v>-165.02700000000002</v>
      </c>
      <c r="H22" s="294">
        <f t="shared" si="16"/>
        <v>-118.15249999999999</v>
      </c>
      <c r="I22" s="294">
        <f t="shared" si="16"/>
        <v>-108.31749999999998</v>
      </c>
      <c r="J22" s="294">
        <f t="shared" si="16"/>
        <v>-103.206</v>
      </c>
      <c r="K22" s="294">
        <f t="shared" si="16"/>
        <v>0</v>
      </c>
      <c r="L22" s="294">
        <f t="shared" si="16"/>
        <v>0</v>
      </c>
      <c r="M22" s="294">
        <f t="shared" si="16"/>
        <v>0</v>
      </c>
      <c r="N22" s="294">
        <f t="shared" si="16"/>
        <v>0</v>
      </c>
      <c r="O22" s="294">
        <f t="shared" si="16"/>
        <v>0</v>
      </c>
      <c r="P22" s="294">
        <f t="shared" si="16"/>
        <v>0</v>
      </c>
    </row>
    <row r="23" spans="1:19" s="247" customFormat="1" ht="22.5" x14ac:dyDescent="0.2">
      <c r="A23" s="244"/>
      <c r="B23" s="248" t="s">
        <v>505</v>
      </c>
      <c r="C23" s="296"/>
      <c r="D23" s="296"/>
      <c r="E23" s="513"/>
      <c r="F23" s="299">
        <f>-0.48-3.45</f>
        <v>-3.93</v>
      </c>
      <c r="G23" s="297">
        <f>-0.49-3.54</f>
        <v>-4.03</v>
      </c>
      <c r="H23" s="297">
        <f>-0.37-2.68</f>
        <v>-3.0500000000000003</v>
      </c>
      <c r="I23" s="297">
        <f>-0.28-2.02</f>
        <v>-2.2999999999999998</v>
      </c>
      <c r="J23" s="300">
        <f>-0.73-6.46</f>
        <v>-7.1899999999999995</v>
      </c>
      <c r="K23" s="296"/>
      <c r="L23" s="296"/>
      <c r="M23" s="296"/>
      <c r="N23" s="296"/>
      <c r="O23" s="296"/>
      <c r="P23" s="296"/>
      <c r="R23" s="298"/>
    </row>
    <row r="24" spans="1:19" s="247" customFormat="1" ht="22.5" x14ac:dyDescent="0.2">
      <c r="A24" s="244"/>
      <c r="B24" s="248" t="s">
        <v>512</v>
      </c>
      <c r="C24" s="296"/>
      <c r="D24" s="296"/>
      <c r="E24" s="513"/>
      <c r="F24" s="299">
        <f>-16.08-58.57</f>
        <v>-74.650000000000006</v>
      </c>
      <c r="G24" s="299">
        <f>-12.96-77.22</f>
        <v>-90.18</v>
      </c>
      <c r="H24" s="297">
        <f>-10.69-82.72</f>
        <v>-93.41</v>
      </c>
      <c r="I24" s="300">
        <f>-11.3-72.41</f>
        <v>-83.71</v>
      </c>
      <c r="J24" s="300">
        <f>-10.726-83.87</f>
        <v>-94.596000000000004</v>
      </c>
      <c r="K24" s="296"/>
      <c r="L24" s="296"/>
      <c r="M24" s="296"/>
      <c r="N24" s="296"/>
      <c r="O24" s="296"/>
      <c r="P24" s="296"/>
      <c r="R24" s="298"/>
    </row>
    <row r="25" spans="1:19" s="247" customFormat="1" ht="22.5" x14ac:dyDescent="0.2">
      <c r="A25" s="244"/>
      <c r="B25" s="248" t="s">
        <v>513</v>
      </c>
      <c r="C25" s="296"/>
      <c r="D25" s="296"/>
      <c r="E25" s="513"/>
      <c r="F25" s="299">
        <f>-1.152-0.27</f>
        <v>-1.4219999999999999</v>
      </c>
      <c r="G25" s="299">
        <f>-1.03-0.7</f>
        <v>-1.73</v>
      </c>
      <c r="H25" s="297">
        <f>-0.775-0.37</f>
        <v>-1.145</v>
      </c>
      <c r="I25" s="300">
        <f>-1.03-0.47</f>
        <v>-1.5</v>
      </c>
      <c r="J25" s="300">
        <f>-1.08-0.34</f>
        <v>-1.4200000000000002</v>
      </c>
      <c r="K25" s="296"/>
      <c r="L25" s="296"/>
      <c r="M25" s="296"/>
      <c r="N25" s="296"/>
      <c r="O25" s="296"/>
      <c r="P25" s="296"/>
      <c r="R25" s="298"/>
    </row>
    <row r="26" spans="1:19" s="247" customFormat="1" ht="22.5" x14ac:dyDescent="0.2">
      <c r="A26" s="244"/>
      <c r="B26" s="248" t="s">
        <v>530</v>
      </c>
      <c r="C26" s="296"/>
      <c r="D26" s="296"/>
      <c r="E26" s="513"/>
      <c r="F26" s="299">
        <f>(-11.6-10.7-2.4-2-1.8-1.8-1.5-1.5-0.8-4.2-0.75-15.7-2.7-0.55)/4</f>
        <v>-14.5</v>
      </c>
      <c r="G26" s="299">
        <f t="shared" ref="G26:I26" si="17">(-11.6-10.7-2.4-2-1.8-1.8-1.5-1.5-0.8-4.2-0.75-15.7-2.7-0.55)/4</f>
        <v>-14.5</v>
      </c>
      <c r="H26" s="299">
        <f t="shared" si="17"/>
        <v>-14.5</v>
      </c>
      <c r="I26" s="299">
        <f t="shared" si="17"/>
        <v>-14.5</v>
      </c>
      <c r="J26" s="296"/>
      <c r="K26" s="296"/>
      <c r="L26" s="296"/>
      <c r="M26" s="296"/>
      <c r="N26" s="296"/>
      <c r="O26" s="296"/>
      <c r="P26" s="296"/>
      <c r="R26" s="298"/>
    </row>
    <row r="27" spans="1:19" s="247" customFormat="1" ht="33.75" x14ac:dyDescent="0.2">
      <c r="A27" s="244"/>
      <c r="B27" s="248" t="s">
        <v>531</v>
      </c>
      <c r="C27" s="296"/>
      <c r="D27" s="296"/>
      <c r="E27" s="513"/>
      <c r="F27" s="299">
        <f>-(0.8+0.11+0.23+1.01+0.72+1.32+3.77+2.97+9.1)/4</f>
        <v>-5.0075000000000003</v>
      </c>
      <c r="G27" s="299">
        <f t="shared" ref="G27:I27" si="18">-(0.8+0.11+0.23+1.01+0.72+1.32+3.77+2.97+9.1)/4</f>
        <v>-5.0075000000000003</v>
      </c>
      <c r="H27" s="299">
        <f t="shared" si="18"/>
        <v>-5.0075000000000003</v>
      </c>
      <c r="I27" s="299">
        <f t="shared" si="18"/>
        <v>-5.0075000000000003</v>
      </c>
      <c r="J27" s="296"/>
      <c r="K27" s="296"/>
      <c r="L27" s="296"/>
      <c r="M27" s="296"/>
      <c r="N27" s="296"/>
      <c r="O27" s="296"/>
      <c r="P27" s="296"/>
      <c r="R27" s="298"/>
    </row>
    <row r="28" spans="1:19" s="247" customFormat="1" ht="22.5" x14ac:dyDescent="0.2">
      <c r="A28" s="244"/>
      <c r="B28" s="248" t="s">
        <v>532</v>
      </c>
      <c r="C28" s="296"/>
      <c r="D28" s="296"/>
      <c r="E28" s="513"/>
      <c r="F28" s="300">
        <v>-1.04</v>
      </c>
      <c r="G28" s="300">
        <v>-1.3</v>
      </c>
      <c r="H28" s="300">
        <v>-1.04</v>
      </c>
      <c r="I28" s="300">
        <v>-1.3</v>
      </c>
      <c r="J28" s="296"/>
      <c r="K28" s="296"/>
      <c r="L28" s="296"/>
      <c r="M28" s="296"/>
      <c r="N28" s="296"/>
      <c r="O28" s="296"/>
      <c r="P28" s="296"/>
      <c r="R28" s="298"/>
    </row>
    <row r="29" spans="1:19" s="247" customFormat="1" ht="22.5" x14ac:dyDescent="0.2">
      <c r="A29" s="244"/>
      <c r="B29" s="248" t="s">
        <v>533</v>
      </c>
      <c r="C29" s="296"/>
      <c r="D29" s="296"/>
      <c r="E29" s="513"/>
      <c r="F29" s="300">
        <f>-96.559/2</f>
        <v>-48.279499999999999</v>
      </c>
      <c r="G29" s="300">
        <f>-96.559/2</f>
        <v>-48.279499999999999</v>
      </c>
      <c r="H29" s="513"/>
      <c r="I29" s="513"/>
      <c r="J29" s="296"/>
      <c r="K29" s="296"/>
      <c r="L29" s="296"/>
      <c r="M29" s="296"/>
      <c r="N29" s="296"/>
      <c r="O29" s="296"/>
      <c r="P29" s="296"/>
      <c r="R29" s="298"/>
    </row>
    <row r="30" spans="1:19" s="247" customFormat="1" x14ac:dyDescent="0.2">
      <c r="A30" s="244"/>
      <c r="B30" s="248"/>
      <c r="C30" s="296"/>
      <c r="D30" s="296"/>
      <c r="E30" s="513"/>
      <c r="F30" s="513"/>
      <c r="G30" s="513"/>
      <c r="H30" s="513"/>
      <c r="I30" s="513"/>
      <c r="J30" s="513"/>
      <c r="K30" s="296"/>
      <c r="L30" s="296"/>
      <c r="M30" s="296"/>
      <c r="N30" s="296"/>
      <c r="O30" s="296"/>
      <c r="P30" s="296"/>
      <c r="R30" s="298"/>
    </row>
    <row r="31" spans="1:19" s="304" customFormat="1" x14ac:dyDescent="0.2">
      <c r="A31" s="301"/>
      <c r="B31" s="302" t="s">
        <v>507</v>
      </c>
      <c r="C31" s="303"/>
      <c r="D31" s="303"/>
      <c r="E31" s="310"/>
      <c r="F31" s="639">
        <f>+(F22-F29)/($E5-$E12-$E13-$E14)</f>
        <v>-2.9735421363568774E-2</v>
      </c>
      <c r="G31" s="639">
        <f>+(G22+F22-F29-G29)/($E5-$E12-$E13-$E14)</f>
        <v>-6.4261064013639096E-2</v>
      </c>
      <c r="H31" s="639">
        <f>+(H22+G22+F22-F29-G29)/($E5-$E12-$E13-$E14)</f>
        <v>-9.9202206164112849E-2</v>
      </c>
      <c r="I31" s="639">
        <f>+(I22+H22+G22+F22-F29-G29)/($E5-$E12-$E13-$E14)</f>
        <v>-0.13123485181176262</v>
      </c>
      <c r="J31" s="639">
        <f>+(J22+I22+H22+G22+F22-F29-G29)/($E5-$E12-$E13-$E14)</f>
        <v>-0.16175587774673469</v>
      </c>
      <c r="K31" s="303"/>
      <c r="L31" s="303"/>
      <c r="M31" s="303"/>
      <c r="N31" s="303"/>
      <c r="O31" s="303"/>
      <c r="P31" s="303"/>
      <c r="R31" s="305"/>
    </row>
    <row r="32" spans="1:19" s="139" customFormat="1" x14ac:dyDescent="0.2">
      <c r="A32" s="64"/>
      <c r="B32" s="65"/>
      <c r="C32" s="283"/>
      <c r="D32" s="283"/>
      <c r="E32" s="283"/>
      <c r="F32" s="283"/>
      <c r="G32" s="283"/>
      <c r="H32" s="283"/>
      <c r="I32" s="283"/>
      <c r="J32" s="283"/>
      <c r="K32" s="283"/>
      <c r="L32" s="283"/>
      <c r="M32" s="283"/>
      <c r="N32" s="283"/>
      <c r="O32" s="283"/>
      <c r="P32" s="283"/>
      <c r="Q32" s="96"/>
      <c r="R32" s="96"/>
      <c r="S32" s="96"/>
    </row>
    <row r="33" spans="1:24" s="274" customFormat="1" x14ac:dyDescent="0.2">
      <c r="A33" s="66">
        <v>13</v>
      </c>
      <c r="B33" s="72" t="s">
        <v>394</v>
      </c>
      <c r="C33" s="272">
        <f t="shared" ref="C33:P33" si="19">+C5-C15</f>
        <v>2381.4802267304021</v>
      </c>
      <c r="D33" s="272">
        <f t="shared" si="19"/>
        <v>2545.2078692593705</v>
      </c>
      <c r="E33" s="272">
        <f t="shared" si="19"/>
        <v>2588.7117466217551</v>
      </c>
      <c r="F33" s="272">
        <f t="shared" si="19"/>
        <v>2640.5440629343066</v>
      </c>
      <c r="G33" s="272">
        <f t="shared" si="19"/>
        <v>2731.4453360950329</v>
      </c>
      <c r="H33" s="272">
        <f t="shared" si="19"/>
        <v>2805.1840613049576</v>
      </c>
      <c r="I33" s="272">
        <f t="shared" si="19"/>
        <v>2878.9368466784404</v>
      </c>
      <c r="J33" s="272">
        <f t="shared" si="19"/>
        <v>2952.6588556865095</v>
      </c>
      <c r="K33" s="272">
        <f t="shared" si="19"/>
        <v>3026.0527965720316</v>
      </c>
      <c r="L33" s="272">
        <f t="shared" si="19"/>
        <v>3100.6029121616789</v>
      </c>
      <c r="M33" s="272">
        <f t="shared" si="19"/>
        <v>3133.4566253022563</v>
      </c>
      <c r="N33" s="272">
        <f t="shared" si="19"/>
        <v>3166.2848561907263</v>
      </c>
      <c r="O33" s="272">
        <f t="shared" si="19"/>
        <v>3199.0883226784431</v>
      </c>
      <c r="P33" s="272">
        <f t="shared" si="19"/>
        <v>3231.867715011459</v>
      </c>
      <c r="Q33" s="273"/>
      <c r="R33" s="273"/>
      <c r="S33" s="273"/>
    </row>
    <row r="34" spans="1:24" s="144" customFormat="1" x14ac:dyDescent="0.2">
      <c r="A34" s="64">
        <v>14</v>
      </c>
      <c r="B34" s="65" t="s">
        <v>299</v>
      </c>
      <c r="C34" s="515">
        <f>+'[4]+Пок_ЭЭ,ТЭ'!$C$34</f>
        <v>8.2875433300000001</v>
      </c>
      <c r="D34" s="515">
        <f>+'[4]+Пок_ЭЭ,ТЭ'!$C$70</f>
        <v>9.0686999999999998</v>
      </c>
      <c r="E34" s="429">
        <f>+D34</f>
        <v>9.0686999999999998</v>
      </c>
      <c r="F34" s="429">
        <f>+E34</f>
        <v>9.0686999999999998</v>
      </c>
      <c r="G34" s="429">
        <f t="shared" ref="G34:P34" si="20">+F34</f>
        <v>9.0686999999999998</v>
      </c>
      <c r="H34" s="429">
        <f t="shared" si="20"/>
        <v>9.0686999999999998</v>
      </c>
      <c r="I34" s="429">
        <f t="shared" si="20"/>
        <v>9.0686999999999998</v>
      </c>
      <c r="J34" s="429">
        <f t="shared" si="20"/>
        <v>9.0686999999999998</v>
      </c>
      <c r="K34" s="429">
        <f t="shared" si="20"/>
        <v>9.0686999999999998</v>
      </c>
      <c r="L34" s="429">
        <f t="shared" si="20"/>
        <v>9.0686999999999998</v>
      </c>
      <c r="M34" s="429">
        <f t="shared" si="20"/>
        <v>9.0686999999999998</v>
      </c>
      <c r="N34" s="429">
        <f t="shared" si="20"/>
        <v>9.0686999999999998</v>
      </c>
      <c r="O34" s="429">
        <f t="shared" si="20"/>
        <v>9.0686999999999998</v>
      </c>
      <c r="P34" s="429">
        <f t="shared" si="20"/>
        <v>9.0686999999999998</v>
      </c>
      <c r="Q34" s="143"/>
      <c r="R34" s="143"/>
      <c r="S34" s="143"/>
    </row>
    <row r="35" spans="1:24" s="144" customFormat="1" x14ac:dyDescent="0.2">
      <c r="A35" s="64"/>
      <c r="B35" s="65"/>
      <c r="C35" s="306"/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143"/>
      <c r="R35" s="143"/>
      <c r="S35" s="143"/>
    </row>
    <row r="36" spans="1:24" s="18" customFormat="1" ht="12.75" customHeight="1" x14ac:dyDescent="0.2">
      <c r="A36" s="943" t="s">
        <v>395</v>
      </c>
      <c r="B36" s="944"/>
      <c r="C36" s="28"/>
      <c r="D36" s="28"/>
      <c r="E36" s="269"/>
      <c r="F36" s="269"/>
      <c r="G36" s="269"/>
      <c r="H36" s="269"/>
      <c r="I36" s="269"/>
      <c r="J36" s="269"/>
      <c r="K36" s="269"/>
      <c r="L36" s="269"/>
      <c r="M36" s="269"/>
      <c r="N36" s="26"/>
      <c r="O36" s="26"/>
      <c r="P36" s="26"/>
      <c r="Q36" s="17"/>
      <c r="R36" s="77"/>
      <c r="S36" s="16"/>
    </row>
    <row r="37" spans="1:24" ht="12.75" customHeight="1" x14ac:dyDescent="0.2">
      <c r="A37" s="83"/>
      <c r="B37" s="83" t="s">
        <v>302</v>
      </c>
      <c r="C37" s="228">
        <f>SUM(C38:C40)-C41</f>
        <v>10738.796250947</v>
      </c>
      <c r="D37" s="228">
        <f t="shared" ref="D37:P37" si="21">SUM(D38:D40)-D41</f>
        <v>10738.796250947</v>
      </c>
      <c r="E37" s="228">
        <f t="shared" si="21"/>
        <v>10738.796250947</v>
      </c>
      <c r="F37" s="228">
        <f t="shared" si="21"/>
        <v>9451.5348509470005</v>
      </c>
      <c r="G37" s="228">
        <f t="shared" si="21"/>
        <v>7672.6834509470009</v>
      </c>
      <c r="H37" s="228">
        <f t="shared" si="21"/>
        <v>5925.9909104812978</v>
      </c>
      <c r="I37" s="228">
        <f t="shared" si="21"/>
        <v>4592.5109104812982</v>
      </c>
      <c r="J37" s="228">
        <f t="shared" si="21"/>
        <v>3004.6409104812969</v>
      </c>
      <c r="K37" s="228">
        <f t="shared" si="21"/>
        <v>3004.6024309757699</v>
      </c>
      <c r="L37" s="228">
        <f t="shared" si="21"/>
        <v>3004.6024309757699</v>
      </c>
      <c r="M37" s="228">
        <f t="shared" si="21"/>
        <v>3004.6024309757699</v>
      </c>
      <c r="N37" s="228">
        <f t="shared" si="21"/>
        <v>3004.6024309757699</v>
      </c>
      <c r="O37" s="228">
        <f t="shared" si="21"/>
        <v>3004.6024309757699</v>
      </c>
      <c r="P37" s="228">
        <f t="shared" si="21"/>
        <v>3004.6024309757699</v>
      </c>
      <c r="R37" s="307"/>
      <c r="S37" s="8"/>
    </row>
    <row r="38" spans="1:24" ht="12.75" customHeight="1" x14ac:dyDescent="0.2">
      <c r="A38" s="83"/>
      <c r="B38" s="44" t="s">
        <v>303</v>
      </c>
      <c r="C38" s="534">
        <f>+'ТЭЦ-3'!C80</f>
        <v>3136.1885999999995</v>
      </c>
      <c r="D38" s="534">
        <f>+'ТЭЦ-3'!D80</f>
        <v>3136.1885999999995</v>
      </c>
      <c r="E38" s="534">
        <f>+'ТЭЦ-3'!E80</f>
        <v>3136.1885999999995</v>
      </c>
      <c r="F38" s="534">
        <f>+'ТЭЦ-3'!F80</f>
        <v>2755.16763496567</v>
      </c>
      <c r="G38" s="534">
        <f>+'ТЭЦ-3'!G80</f>
        <v>2121.8836907420168</v>
      </c>
      <c r="H38" s="534">
        <f>+'ТЭЦ-3'!H80</f>
        <v>1444.7389950364354</v>
      </c>
      <c r="I38" s="534">
        <f>+'ТЭЦ-3'!I80</f>
        <v>1050.0376263369797</v>
      </c>
      <c r="J38" s="534">
        <f>+'ТЭЦ-3'!J80</f>
        <v>325.63847950552741</v>
      </c>
      <c r="K38" s="534">
        <f>+'ТЭЦ-3'!K80</f>
        <v>0</v>
      </c>
      <c r="L38" s="534">
        <f>+'ТЭЦ-3'!L80</f>
        <v>0</v>
      </c>
      <c r="M38" s="534">
        <f>+'ТЭЦ-3'!M80</f>
        <v>0</v>
      </c>
      <c r="N38" s="534">
        <f>+'ТЭЦ-3'!N80</f>
        <v>0</v>
      </c>
      <c r="O38" s="534">
        <f>+'ТЭЦ-3'!O80</f>
        <v>0</v>
      </c>
      <c r="P38" s="534">
        <f>+'ТЭЦ-3'!P80</f>
        <v>0</v>
      </c>
      <c r="R38" s="307"/>
      <c r="S38" s="8"/>
    </row>
    <row r="39" spans="1:24" ht="12.75" customHeight="1" x14ac:dyDescent="0.2">
      <c r="A39" s="83"/>
      <c r="B39" s="44" t="s">
        <v>304</v>
      </c>
      <c r="C39" s="534">
        <f>+'ТЭЦ-4'!C83</f>
        <v>7459.277</v>
      </c>
      <c r="D39" s="534">
        <f>+'ТЭЦ-4'!D83</f>
        <v>7459.277</v>
      </c>
      <c r="E39" s="534">
        <f>+'ТЭЦ-4'!E83</f>
        <v>7459.277</v>
      </c>
      <c r="F39" s="534">
        <f>+'ТЭЦ-4'!F83</f>
        <v>6553.0365650343292</v>
      </c>
      <c r="G39" s="534">
        <f>+'ТЭЦ-4'!G83</f>
        <v>5407.4691092579833</v>
      </c>
      <c r="H39" s="534">
        <f>+'ТЭЦ-4'!H83</f>
        <v>4337.9212644978616</v>
      </c>
      <c r="I39" s="534">
        <f>+'ТЭЦ-4'!I83</f>
        <v>3399.142633197318</v>
      </c>
      <c r="J39" s="534">
        <f>+'ТЭЦ-4'!J83</f>
        <v>2535.6717800287697</v>
      </c>
      <c r="K39" s="534">
        <f>+'ТЭЦ-4'!K83</f>
        <v>2861.2717800287701</v>
      </c>
      <c r="L39" s="534">
        <f>+'ТЭЦ-4'!L83</f>
        <v>2861.2717800287701</v>
      </c>
      <c r="M39" s="534">
        <f>+'ТЭЦ-4'!M83</f>
        <v>2861.2717800287701</v>
      </c>
      <c r="N39" s="534">
        <f>+'ТЭЦ-4'!N83</f>
        <v>2861.2717800287701</v>
      </c>
      <c r="O39" s="534">
        <f>+'ТЭЦ-4'!O83</f>
        <v>2861.2717800287701</v>
      </c>
      <c r="P39" s="534">
        <f>+'ТЭЦ-4'!P83</f>
        <v>2861.2717800287701</v>
      </c>
      <c r="R39" s="307"/>
      <c r="S39" s="8"/>
    </row>
    <row r="40" spans="1:24" ht="12.75" customHeight="1" x14ac:dyDescent="0.2">
      <c r="A40" s="83"/>
      <c r="B40" s="83" t="s">
        <v>495</v>
      </c>
      <c r="C40" s="227">
        <f>+'[4]4.2.РчПО_ТН'!$D$11+'[4]4.2.РчПО_ТН'!$D$22</f>
        <v>164.92976100000001</v>
      </c>
      <c r="D40" s="228">
        <f>+C40</f>
        <v>164.92976100000001</v>
      </c>
      <c r="E40" s="228">
        <f t="shared" ref="E40:O40" si="22">+D40</f>
        <v>164.92976100000001</v>
      </c>
      <c r="F40" s="228">
        <f t="shared" si="22"/>
        <v>164.92976100000001</v>
      </c>
      <c r="G40" s="228">
        <f t="shared" si="22"/>
        <v>164.92976100000001</v>
      </c>
      <c r="H40" s="228">
        <f t="shared" si="22"/>
        <v>164.92976100000001</v>
      </c>
      <c r="I40" s="228">
        <f t="shared" si="22"/>
        <v>164.92976100000001</v>
      </c>
      <c r="J40" s="228">
        <f t="shared" si="22"/>
        <v>164.92976100000001</v>
      </c>
      <c r="K40" s="228">
        <f t="shared" si="22"/>
        <v>164.92976100000001</v>
      </c>
      <c r="L40" s="228">
        <f t="shared" si="22"/>
        <v>164.92976100000001</v>
      </c>
      <c r="M40" s="228">
        <f t="shared" si="22"/>
        <v>164.92976100000001</v>
      </c>
      <c r="N40" s="228">
        <f t="shared" si="22"/>
        <v>164.92976100000001</v>
      </c>
      <c r="O40" s="228">
        <f t="shared" si="22"/>
        <v>164.92976100000001</v>
      </c>
      <c r="P40" s="228">
        <f>+O40</f>
        <v>164.92976100000001</v>
      </c>
      <c r="R40" s="307"/>
      <c r="S40" s="8"/>
    </row>
    <row r="41" spans="1:24" s="232" customFormat="1" ht="12.75" customHeight="1" x14ac:dyDescent="0.2">
      <c r="A41" s="83"/>
      <c r="B41" s="83" t="str">
        <f>+'[4]4.2.РчПО_ТН'!$B$25</f>
        <v>Расход теплоносителя на хозяйственные нужды</v>
      </c>
      <c r="C41" s="227">
        <f>+'[4]4.2.РчПО_ТН'!$D$25</f>
        <v>21.599110053</v>
      </c>
      <c r="D41" s="228">
        <f>+C41</f>
        <v>21.599110053</v>
      </c>
      <c r="E41" s="228">
        <f t="shared" ref="E41:O41" si="23">+D41</f>
        <v>21.599110053</v>
      </c>
      <c r="F41" s="228">
        <f t="shared" si="23"/>
        <v>21.599110053</v>
      </c>
      <c r="G41" s="228">
        <f t="shared" si="23"/>
        <v>21.599110053</v>
      </c>
      <c r="H41" s="228">
        <f t="shared" si="23"/>
        <v>21.599110053</v>
      </c>
      <c r="I41" s="228">
        <f t="shared" si="23"/>
        <v>21.599110053</v>
      </c>
      <c r="J41" s="228">
        <f t="shared" si="23"/>
        <v>21.599110053</v>
      </c>
      <c r="K41" s="228">
        <f t="shared" si="23"/>
        <v>21.599110053</v>
      </c>
      <c r="L41" s="228">
        <f t="shared" si="23"/>
        <v>21.599110053</v>
      </c>
      <c r="M41" s="228">
        <f t="shared" si="23"/>
        <v>21.599110053</v>
      </c>
      <c r="N41" s="228">
        <f t="shared" si="23"/>
        <v>21.599110053</v>
      </c>
      <c r="O41" s="228">
        <f t="shared" si="23"/>
        <v>21.599110053</v>
      </c>
      <c r="P41" s="228">
        <f>+O41</f>
        <v>21.599110053</v>
      </c>
      <c r="Q41" s="11"/>
      <c r="R41" s="307"/>
      <c r="S41" s="8"/>
    </row>
    <row r="42" spans="1:24" s="274" customFormat="1" x14ac:dyDescent="0.2">
      <c r="A42" s="66">
        <v>10</v>
      </c>
      <c r="B42" s="101" t="s">
        <v>306</v>
      </c>
      <c r="C42" s="272">
        <f>SUM(C43:C44)</f>
        <v>7532.1200898049992</v>
      </c>
      <c r="D42" s="272">
        <f t="shared" ref="D42:P42" si="24">SUM(D43:D44)</f>
        <v>7532.1200898049992</v>
      </c>
      <c r="E42" s="272">
        <f t="shared" si="24"/>
        <v>7532.1200898049992</v>
      </c>
      <c r="F42" s="272">
        <f t="shared" si="24"/>
        <v>6244.8586898049998</v>
      </c>
      <c r="G42" s="272">
        <f t="shared" si="24"/>
        <v>4617.6472898049997</v>
      </c>
      <c r="H42" s="272">
        <f t="shared" si="24"/>
        <v>3098.4172898049992</v>
      </c>
      <c r="I42" s="272">
        <f t="shared" si="24"/>
        <v>1764.9372898049992</v>
      </c>
      <c r="J42" s="272">
        <f t="shared" si="24"/>
        <v>177.06728980499906</v>
      </c>
      <c r="K42" s="272">
        <f t="shared" si="24"/>
        <v>177.06728980499906</v>
      </c>
      <c r="L42" s="272">
        <f t="shared" si="24"/>
        <v>177.06728980499906</v>
      </c>
      <c r="M42" s="272">
        <f t="shared" si="24"/>
        <v>177.06728980499906</v>
      </c>
      <c r="N42" s="272">
        <f t="shared" si="24"/>
        <v>177.06728980499906</v>
      </c>
      <c r="O42" s="272">
        <f t="shared" si="24"/>
        <v>177.06728980499906</v>
      </c>
      <c r="P42" s="272">
        <f t="shared" si="24"/>
        <v>177.06728980499906</v>
      </c>
      <c r="Q42" s="273"/>
      <c r="R42" s="273"/>
      <c r="S42" s="273"/>
    </row>
    <row r="43" spans="1:24" s="32" customFormat="1" x14ac:dyDescent="0.2">
      <c r="A43" s="39" t="s">
        <v>49</v>
      </c>
      <c r="B43" s="3" t="s">
        <v>307</v>
      </c>
      <c r="C43" s="289">
        <f>+'[4]4.2.РчПО_ТН'!$D$28</f>
        <v>1457.2282441140758</v>
      </c>
      <c r="D43" s="120">
        <f>+C43</f>
        <v>1457.2282441140758</v>
      </c>
      <c r="E43" s="120">
        <f>+D43</f>
        <v>1457.2282441140758</v>
      </c>
      <c r="F43" s="120">
        <f>+E43</f>
        <v>1457.2282441140758</v>
      </c>
      <c r="G43" s="120">
        <f t="shared" ref="G43:P44" si="25">+F43</f>
        <v>1457.2282441140758</v>
      </c>
      <c r="H43" s="120">
        <f t="shared" si="25"/>
        <v>1457.2282441140758</v>
      </c>
      <c r="I43" s="120">
        <f t="shared" si="25"/>
        <v>1457.2282441140758</v>
      </c>
      <c r="J43" s="120">
        <f t="shared" si="25"/>
        <v>1457.2282441140758</v>
      </c>
      <c r="K43" s="120">
        <f t="shared" si="25"/>
        <v>1457.2282441140758</v>
      </c>
      <c r="L43" s="120">
        <f t="shared" si="25"/>
        <v>1457.2282441140758</v>
      </c>
      <c r="M43" s="120">
        <f t="shared" si="25"/>
        <v>1457.2282441140758</v>
      </c>
      <c r="N43" s="120">
        <f t="shared" si="25"/>
        <v>1457.2282441140758</v>
      </c>
      <c r="O43" s="120">
        <f t="shared" si="25"/>
        <v>1457.2282441140758</v>
      </c>
      <c r="P43" s="120">
        <f t="shared" si="25"/>
        <v>1457.2282441140758</v>
      </c>
    </row>
    <row r="44" spans="1:24" s="11" customFormat="1" x14ac:dyDescent="0.2">
      <c r="A44" s="2"/>
      <c r="B44" s="44" t="s">
        <v>308</v>
      </c>
      <c r="C44" s="107">
        <f>+'[4]4.2.РчПО_ТН'!$D$41</f>
        <v>6074.8918456909232</v>
      </c>
      <c r="D44" s="120">
        <f>+C44</f>
        <v>6074.8918456909232</v>
      </c>
      <c r="E44" s="120">
        <f>+D44</f>
        <v>6074.8918456909232</v>
      </c>
      <c r="F44" s="290">
        <f>+E44+F46</f>
        <v>4787.6304456909238</v>
      </c>
      <c r="G44" s="290">
        <f>+F44+G46</f>
        <v>3160.4190456909237</v>
      </c>
      <c r="H44" s="290">
        <f>+G44+H46</f>
        <v>1641.1890456909234</v>
      </c>
      <c r="I44" s="290">
        <f>+H44+I46</f>
        <v>307.7090456909234</v>
      </c>
      <c r="J44" s="290">
        <f>+I44+J46</f>
        <v>-1280.1609543090767</v>
      </c>
      <c r="K44" s="120">
        <f t="shared" si="25"/>
        <v>-1280.1609543090767</v>
      </c>
      <c r="L44" s="120">
        <f t="shared" si="25"/>
        <v>-1280.1609543090767</v>
      </c>
      <c r="M44" s="120">
        <f t="shared" si="25"/>
        <v>-1280.1609543090767</v>
      </c>
      <c r="N44" s="120">
        <f t="shared" si="25"/>
        <v>-1280.1609543090767</v>
      </c>
      <c r="O44" s="120">
        <f t="shared" si="25"/>
        <v>-1280.1609543090767</v>
      </c>
      <c r="P44" s="120">
        <f t="shared" si="25"/>
        <v>-1280.1609543090767</v>
      </c>
    </row>
    <row r="45" spans="1:24" s="96" customFormat="1" x14ac:dyDescent="0.2">
      <c r="A45" s="64"/>
      <c r="B45" s="65"/>
      <c r="C45" s="292"/>
      <c r="D45" s="292"/>
      <c r="E45" s="292"/>
      <c r="F45" s="292"/>
      <c r="G45" s="208"/>
      <c r="H45" s="208"/>
      <c r="I45" s="292"/>
      <c r="J45" s="292"/>
      <c r="K45" s="292"/>
      <c r="L45" s="292"/>
      <c r="M45" s="292"/>
      <c r="N45" s="292"/>
      <c r="O45" s="292"/>
      <c r="P45" s="292"/>
    </row>
    <row r="46" spans="1:24" s="295" customFormat="1" ht="21" x14ac:dyDescent="0.2">
      <c r="A46" s="293"/>
      <c r="B46" s="245" t="s">
        <v>396</v>
      </c>
      <c r="C46" s="294">
        <f t="shared" ref="C46:P46" si="26">SUM(C47:C49)</f>
        <v>0</v>
      </c>
      <c r="D46" s="294">
        <f t="shared" si="26"/>
        <v>0</v>
      </c>
      <c r="E46" s="512">
        <f t="shared" si="26"/>
        <v>0</v>
      </c>
      <c r="F46" s="294">
        <f>SUM(F47:F52)</f>
        <v>-1287.2613999999999</v>
      </c>
      <c r="G46" s="294">
        <f t="shared" ref="G46:J46" si="27">SUM(G47:G52)</f>
        <v>-1627.2114000000001</v>
      </c>
      <c r="H46" s="294">
        <f t="shared" si="27"/>
        <v>-1519.2300000000002</v>
      </c>
      <c r="I46" s="294">
        <f t="shared" si="27"/>
        <v>-1333.48</v>
      </c>
      <c r="J46" s="294">
        <f t="shared" si="27"/>
        <v>-1587.8700000000001</v>
      </c>
      <c r="K46" s="294">
        <f t="shared" si="26"/>
        <v>0</v>
      </c>
      <c r="L46" s="294">
        <f t="shared" si="26"/>
        <v>0</v>
      </c>
      <c r="M46" s="294">
        <f t="shared" si="26"/>
        <v>0</v>
      </c>
      <c r="N46" s="294">
        <f t="shared" si="26"/>
        <v>0</v>
      </c>
      <c r="O46" s="294">
        <f t="shared" si="26"/>
        <v>0</v>
      </c>
      <c r="P46" s="294">
        <f t="shared" si="26"/>
        <v>0</v>
      </c>
      <c r="R46" s="96"/>
      <c r="S46" s="96"/>
      <c r="T46" s="96"/>
      <c r="U46" s="96"/>
      <c r="V46" s="96"/>
      <c r="W46" s="96"/>
      <c r="X46" s="96"/>
    </row>
    <row r="47" spans="1:24" s="247" customFormat="1" ht="22.5" x14ac:dyDescent="0.2">
      <c r="A47" s="244"/>
      <c r="B47" s="248" t="s">
        <v>505</v>
      </c>
      <c r="C47" s="296"/>
      <c r="D47" s="296"/>
      <c r="E47" s="513"/>
      <c r="F47" s="299">
        <v>-60.5</v>
      </c>
      <c r="G47" s="299">
        <v>-61.95</v>
      </c>
      <c r="H47" s="297">
        <v>-46.96</v>
      </c>
      <c r="I47" s="300">
        <v>-35.409999999999997</v>
      </c>
      <c r="J47" s="300">
        <v>-113.14</v>
      </c>
      <c r="K47" s="296"/>
      <c r="L47" s="296"/>
      <c r="M47" s="296"/>
      <c r="N47" s="296"/>
      <c r="O47" s="296"/>
      <c r="P47" s="296"/>
      <c r="R47" s="96"/>
      <c r="S47" s="96"/>
      <c r="T47" s="96"/>
      <c r="U47" s="96"/>
      <c r="V47" s="96"/>
      <c r="W47" s="96"/>
      <c r="X47" s="96"/>
    </row>
    <row r="48" spans="1:24" s="247" customFormat="1" ht="22.5" x14ac:dyDescent="0.2">
      <c r="A48" s="244"/>
      <c r="B48" s="248" t="s">
        <v>512</v>
      </c>
      <c r="C48" s="296"/>
      <c r="D48" s="296"/>
      <c r="E48" s="513"/>
      <c r="F48" s="300">
        <v>-1025.5999999999999</v>
      </c>
      <c r="G48" s="308">
        <v>-1352.2</v>
      </c>
      <c r="H48" s="309">
        <v>-1448.4</v>
      </c>
      <c r="I48" s="300">
        <v>-1268</v>
      </c>
      <c r="J48" s="300">
        <v>-1468.74</v>
      </c>
      <c r="K48" s="296"/>
      <c r="L48" s="296"/>
      <c r="M48" s="296"/>
      <c r="N48" s="296"/>
      <c r="O48" s="296"/>
      <c r="P48" s="296"/>
      <c r="R48" s="96"/>
      <c r="S48" s="96"/>
      <c r="T48" s="96"/>
      <c r="U48" s="96"/>
      <c r="V48" s="96"/>
      <c r="W48" s="96"/>
      <c r="X48" s="96"/>
    </row>
    <row r="49" spans="1:24" s="247" customFormat="1" ht="22.5" x14ac:dyDescent="0.2">
      <c r="A49" s="244"/>
      <c r="B49" s="248" t="s">
        <v>513</v>
      </c>
      <c r="C49" s="296"/>
      <c r="D49" s="296"/>
      <c r="E49" s="513"/>
      <c r="F49" s="300">
        <v>-4.7699999999999996</v>
      </c>
      <c r="G49" s="308">
        <v>-12.27</v>
      </c>
      <c r="H49" s="309">
        <v>-6.47</v>
      </c>
      <c r="I49" s="300">
        <v>-8.27</v>
      </c>
      <c r="J49" s="300">
        <v>-5.99</v>
      </c>
      <c r="K49" s="296"/>
      <c r="L49" s="296"/>
      <c r="M49" s="296"/>
      <c r="N49" s="296"/>
      <c r="O49" s="296"/>
      <c r="P49" s="296"/>
      <c r="R49" s="96"/>
      <c r="S49" s="96"/>
      <c r="T49" s="96"/>
      <c r="U49" s="96"/>
      <c r="V49" s="96"/>
      <c r="W49" s="96"/>
      <c r="X49" s="96"/>
    </row>
    <row r="50" spans="1:24" s="247" customFormat="1" ht="22.5" x14ac:dyDescent="0.2">
      <c r="A50" s="244"/>
      <c r="B50" s="248" t="s">
        <v>532</v>
      </c>
      <c r="C50" s="296"/>
      <c r="D50" s="296"/>
      <c r="E50" s="513"/>
      <c r="F50" s="300">
        <v>-17.399999999999999</v>
      </c>
      <c r="G50" s="299">
        <v>-21.8</v>
      </c>
      <c r="H50" s="309">
        <v>-17.399999999999999</v>
      </c>
      <c r="I50" s="300">
        <v>-21.8</v>
      </c>
      <c r="J50" s="296"/>
      <c r="K50" s="296"/>
      <c r="L50" s="296"/>
      <c r="M50" s="296"/>
      <c r="N50" s="296"/>
      <c r="O50" s="296"/>
      <c r="P50" s="296"/>
      <c r="R50" s="96"/>
      <c r="S50" s="96"/>
      <c r="T50" s="96"/>
      <c r="U50" s="96"/>
      <c r="V50" s="96"/>
      <c r="W50" s="96"/>
      <c r="X50" s="96"/>
    </row>
    <row r="51" spans="1:24" s="247" customFormat="1" ht="22.5" x14ac:dyDescent="0.2">
      <c r="A51" s="244"/>
      <c r="B51" s="248" t="s">
        <v>533</v>
      </c>
      <c r="C51" s="296"/>
      <c r="D51" s="296"/>
      <c r="E51" s="513"/>
      <c r="F51" s="678">
        <f>-596.638*0.3</f>
        <v>-178.9914</v>
      </c>
      <c r="G51" s="678">
        <f>-596.638*0.3</f>
        <v>-178.9914</v>
      </c>
      <c r="H51" s="296"/>
      <c r="I51" s="296"/>
      <c r="J51" s="296"/>
      <c r="K51" s="296"/>
      <c r="L51" s="296"/>
      <c r="M51" s="296"/>
      <c r="N51" s="296"/>
      <c r="O51" s="296"/>
      <c r="P51" s="296"/>
      <c r="R51" s="96"/>
      <c r="S51" s="96"/>
      <c r="T51" s="96"/>
      <c r="U51" s="96"/>
      <c r="V51" s="96"/>
      <c r="W51" s="96"/>
      <c r="X51" s="96"/>
    </row>
    <row r="52" spans="1:24" s="247" customFormat="1" x14ac:dyDescent="0.2">
      <c r="A52" s="244"/>
      <c r="C52" s="296"/>
      <c r="D52" s="296"/>
      <c r="E52" s="513"/>
      <c r="F52" s="513"/>
      <c r="G52" s="513"/>
      <c r="H52" s="513"/>
      <c r="I52" s="513"/>
      <c r="J52" s="513"/>
      <c r="K52" s="513"/>
      <c r="L52" s="513"/>
      <c r="M52" s="513"/>
      <c r="N52" s="513"/>
      <c r="O52" s="513"/>
      <c r="P52" s="296"/>
      <c r="R52" s="96"/>
      <c r="S52" s="96"/>
      <c r="T52" s="96"/>
      <c r="U52" s="96"/>
      <c r="V52" s="96"/>
      <c r="W52" s="96"/>
      <c r="X52" s="96"/>
    </row>
    <row r="53" spans="1:24" s="143" customFormat="1" x14ac:dyDescent="0.2">
      <c r="A53" s="142"/>
      <c r="B53" s="133"/>
      <c r="C53" s="310"/>
      <c r="D53" s="310"/>
      <c r="E53" s="310"/>
      <c r="F53" s="311">
        <f>+F46/(E38+E39)</f>
        <v>-0.12149172566800651</v>
      </c>
      <c r="G53" s="311">
        <f>+(F46+G46)/(E38+E39)</f>
        <v>-0.27506793094585669</v>
      </c>
      <c r="H53" s="311">
        <f>+(F46+G46+H46)/(E38+E39)</f>
        <v>-0.41845285213327482</v>
      </c>
      <c r="I53" s="311">
        <f>+(F46+G46+H46+I46)/(E38+E39)</f>
        <v>-0.54430668908027979</v>
      </c>
      <c r="J53" s="311">
        <f>+(F46+G46+H46+I46+J46)/(E38+E39)</f>
        <v>-0.69416985318700863</v>
      </c>
      <c r="K53" s="310"/>
      <c r="L53" s="310"/>
      <c r="M53" s="310"/>
      <c r="N53" s="310"/>
      <c r="O53" s="310"/>
      <c r="P53" s="310"/>
      <c r="R53" s="312"/>
    </row>
    <row r="54" spans="1:24" s="143" customFormat="1" ht="22.5" x14ac:dyDescent="0.2">
      <c r="A54" s="142"/>
      <c r="B54" s="65" t="s">
        <v>309</v>
      </c>
      <c r="C54" s="313">
        <f>+C37-C42</f>
        <v>3206.6761611420006</v>
      </c>
      <c r="D54" s="313">
        <f t="shared" ref="D54:P54" si="28">+D37-D42</f>
        <v>3206.6761611420006</v>
      </c>
      <c r="E54" s="313">
        <f t="shared" si="28"/>
        <v>3206.6761611420006</v>
      </c>
      <c r="F54" s="313">
        <f t="shared" si="28"/>
        <v>3206.6761611420006</v>
      </c>
      <c r="G54" s="313">
        <f t="shared" si="28"/>
        <v>3055.0361611420012</v>
      </c>
      <c r="H54" s="313">
        <f t="shared" si="28"/>
        <v>2827.5736206762986</v>
      </c>
      <c r="I54" s="313">
        <f t="shared" si="28"/>
        <v>2827.573620676299</v>
      </c>
      <c r="J54" s="313">
        <f t="shared" si="28"/>
        <v>2827.5736206762977</v>
      </c>
      <c r="K54" s="313">
        <f t="shared" si="28"/>
        <v>2827.5351411707707</v>
      </c>
      <c r="L54" s="313">
        <f t="shared" si="28"/>
        <v>2827.5351411707707</v>
      </c>
      <c r="M54" s="313">
        <f t="shared" si="28"/>
        <v>2827.5351411707707</v>
      </c>
      <c r="N54" s="313">
        <f t="shared" si="28"/>
        <v>2827.5351411707707</v>
      </c>
      <c r="O54" s="313">
        <f t="shared" si="28"/>
        <v>2827.5351411707707</v>
      </c>
      <c r="P54" s="313">
        <f t="shared" si="28"/>
        <v>2827.5351411707707</v>
      </c>
      <c r="R54" s="312"/>
    </row>
    <row r="55" spans="1:24" s="139" customFormat="1" x14ac:dyDescent="0.2">
      <c r="A55" s="64"/>
      <c r="B55" s="65"/>
      <c r="C55" s="226"/>
      <c r="D55" s="226"/>
      <c r="E55" s="226"/>
      <c r="F55" s="226"/>
      <c r="G55" s="226"/>
      <c r="H55" s="226"/>
      <c r="I55" s="226"/>
      <c r="J55" s="226"/>
      <c r="K55" s="226"/>
      <c r="L55" s="226"/>
      <c r="M55" s="226"/>
      <c r="N55" s="226"/>
      <c r="O55" s="226"/>
      <c r="P55" s="226"/>
      <c r="Q55" s="96"/>
      <c r="R55" s="314"/>
      <c r="S55" s="96"/>
    </row>
    <row r="56" spans="1:24" s="16" customFormat="1" ht="12" x14ac:dyDescent="0.2">
      <c r="A56" s="1"/>
      <c r="B56" s="250" t="s">
        <v>9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24"/>
      <c r="R56" s="24"/>
      <c r="S56" s="24"/>
    </row>
    <row r="57" spans="1:24" x14ac:dyDescent="0.2">
      <c r="A57" s="2">
        <v>15</v>
      </c>
      <c r="B57" s="80" t="s">
        <v>490</v>
      </c>
      <c r="C57" s="125">
        <f>+'[4]+Пок_ЭЭ,ТЭ'!$E$34</f>
        <v>5641.974349713596</v>
      </c>
      <c r="D57" s="126">
        <f>+C57*D58</f>
        <v>5811.2335802050038</v>
      </c>
      <c r="E57" s="126">
        <f t="shared" ref="E57:P57" si="29">+D57*E58</f>
        <v>5985.5705876111542</v>
      </c>
      <c r="F57" s="126">
        <f t="shared" si="29"/>
        <v>6165.1377052394892</v>
      </c>
      <c r="G57" s="126">
        <f t="shared" si="29"/>
        <v>6350.0918363966739</v>
      </c>
      <c r="H57" s="126">
        <f t="shared" si="29"/>
        <v>6540.5945914885742</v>
      </c>
      <c r="I57" s="126">
        <f t="shared" si="29"/>
        <v>6736.8124292332313</v>
      </c>
      <c r="J57" s="126">
        <f t="shared" si="29"/>
        <v>6938.9168021102287</v>
      </c>
      <c r="K57" s="126">
        <f t="shared" si="29"/>
        <v>7147.0843061735359</v>
      </c>
      <c r="L57" s="126">
        <f t="shared" si="29"/>
        <v>7361.4968353587419</v>
      </c>
      <c r="M57" s="126">
        <f t="shared" si="29"/>
        <v>7582.3417404195043</v>
      </c>
      <c r="N57" s="126">
        <f t="shared" si="29"/>
        <v>7809.8119926320896</v>
      </c>
      <c r="O57" s="126">
        <f t="shared" si="29"/>
        <v>8044.1063524110523</v>
      </c>
      <c r="P57" s="126">
        <f t="shared" si="29"/>
        <v>8285.4295429833837</v>
      </c>
    </row>
    <row r="58" spans="1:24" s="35" customFormat="1" x14ac:dyDescent="0.2">
      <c r="A58" s="33">
        <v>16</v>
      </c>
      <c r="B58" s="40" t="s">
        <v>8</v>
      </c>
      <c r="C58" s="251"/>
      <c r="D58" s="124">
        <f>+'[4]+Пок_ЭЭ,ТЭ'!$L$4</f>
        <v>1.03</v>
      </c>
      <c r="E58" s="147">
        <f>+D58</f>
        <v>1.03</v>
      </c>
      <c r="F58" s="147">
        <f t="shared" ref="F58:P58" si="30">+E58</f>
        <v>1.03</v>
      </c>
      <c r="G58" s="147">
        <f t="shared" si="30"/>
        <v>1.03</v>
      </c>
      <c r="H58" s="147">
        <f t="shared" si="30"/>
        <v>1.03</v>
      </c>
      <c r="I58" s="147">
        <f t="shared" si="30"/>
        <v>1.03</v>
      </c>
      <c r="J58" s="147">
        <f t="shared" si="30"/>
        <v>1.03</v>
      </c>
      <c r="K58" s="147">
        <f t="shared" si="30"/>
        <v>1.03</v>
      </c>
      <c r="L58" s="147">
        <f t="shared" si="30"/>
        <v>1.03</v>
      </c>
      <c r="M58" s="147">
        <f t="shared" si="30"/>
        <v>1.03</v>
      </c>
      <c r="N58" s="147">
        <f t="shared" si="30"/>
        <v>1.03</v>
      </c>
      <c r="O58" s="147">
        <f t="shared" si="30"/>
        <v>1.03</v>
      </c>
      <c r="P58" s="147">
        <f t="shared" si="30"/>
        <v>1.03</v>
      </c>
      <c r="Q58" s="32"/>
      <c r="R58" s="32"/>
      <c r="S58" s="32"/>
    </row>
    <row r="59" spans="1:24" s="96" customFormat="1" x14ac:dyDescent="0.2">
      <c r="A59" s="64" t="s">
        <v>73</v>
      </c>
      <c r="B59" s="133" t="s">
        <v>266</v>
      </c>
      <c r="C59" s="230">
        <f t="shared" ref="C59:P59" si="31">+C112/C33</f>
        <v>430.21489875210079</v>
      </c>
      <c r="D59" s="230">
        <f t="shared" si="31"/>
        <v>436.42652362780404</v>
      </c>
      <c r="E59" s="230">
        <f t="shared" si="31"/>
        <v>418.5863385830275</v>
      </c>
      <c r="F59" s="230">
        <f t="shared" si="31"/>
        <v>453.97900532502905</v>
      </c>
      <c r="G59" s="230">
        <f t="shared" si="31"/>
        <v>472.45884021817159</v>
      </c>
      <c r="H59" s="230">
        <f t="shared" si="31"/>
        <v>491.90334095097285</v>
      </c>
      <c r="I59" s="230">
        <f t="shared" si="31"/>
        <v>512.9607623814826</v>
      </c>
      <c r="J59" s="230">
        <f t="shared" si="31"/>
        <v>525.84332580881005</v>
      </c>
      <c r="K59" s="230">
        <f t="shared" si="31"/>
        <v>526.40997673985555</v>
      </c>
      <c r="L59" s="230">
        <f t="shared" si="31"/>
        <v>528.04679947425939</v>
      </c>
      <c r="M59" s="230">
        <f t="shared" si="31"/>
        <v>537.16192543952752</v>
      </c>
      <c r="N59" s="230">
        <f t="shared" si="31"/>
        <v>546.64142391181781</v>
      </c>
      <c r="O59" s="230">
        <f t="shared" si="31"/>
        <v>556.50719467672377</v>
      </c>
      <c r="P59" s="230">
        <f t="shared" si="31"/>
        <v>555.84973450208508</v>
      </c>
    </row>
    <row r="60" spans="1:24" s="96" customFormat="1" x14ac:dyDescent="0.2">
      <c r="A60" s="64" t="s">
        <v>74</v>
      </c>
      <c r="B60" s="133" t="s">
        <v>75</v>
      </c>
      <c r="C60" s="135"/>
      <c r="D60" s="70">
        <f t="shared" ref="D60:P60" si="32">(D59-C59)/C59</f>
        <v>1.4438423433779136E-2</v>
      </c>
      <c r="E60" s="70">
        <f t="shared" si="32"/>
        <v>-4.0877866213262337E-2</v>
      </c>
      <c r="F60" s="70">
        <f t="shared" si="32"/>
        <v>8.4552847237706355E-2</v>
      </c>
      <c r="G60" s="70">
        <f t="shared" si="32"/>
        <v>4.0706364559550033E-2</v>
      </c>
      <c r="H60" s="70">
        <f t="shared" si="32"/>
        <v>4.1155967626348565E-2</v>
      </c>
      <c r="I60" s="70">
        <f t="shared" si="32"/>
        <v>4.2808047186263173E-2</v>
      </c>
      <c r="J60" s="70">
        <f t="shared" si="32"/>
        <v>2.5114130304077432E-2</v>
      </c>
      <c r="K60" s="70">
        <f t="shared" si="32"/>
        <v>1.0776041136852392E-3</v>
      </c>
      <c r="L60" s="70">
        <f t="shared" si="32"/>
        <v>3.1094067489771966E-3</v>
      </c>
      <c r="M60" s="70">
        <f t="shared" si="32"/>
        <v>1.7261966125622676E-2</v>
      </c>
      <c r="N60" s="70">
        <f t="shared" si="32"/>
        <v>1.7647376002187385E-2</v>
      </c>
      <c r="O60" s="70">
        <f t="shared" si="32"/>
        <v>1.8047975022283474E-2</v>
      </c>
      <c r="P60" s="70">
        <f t="shared" si="32"/>
        <v>-1.181404626800209E-3</v>
      </c>
    </row>
    <row r="61" spans="1:24" s="96" customFormat="1" x14ac:dyDescent="0.2">
      <c r="A61" s="64" t="s">
        <v>20</v>
      </c>
      <c r="B61" s="133" t="s">
        <v>155</v>
      </c>
      <c r="C61" s="285">
        <f>+'ТЭЦ-1'!C102</f>
        <v>1437.4878616436636</v>
      </c>
      <c r="D61" s="285">
        <f>+'ТЭЦ-1'!D102</f>
        <v>1494.3340947457748</v>
      </c>
      <c r="E61" s="156">
        <f>D61*(E62)</f>
        <v>1613.8808223254368</v>
      </c>
      <c r="F61" s="156">
        <f t="shared" ref="F61:P61" si="33">E61*(F62)</f>
        <v>1742.9912881114719</v>
      </c>
      <c r="G61" s="156">
        <f t="shared" si="33"/>
        <v>1882.4305911603899</v>
      </c>
      <c r="H61" s="156">
        <f t="shared" si="33"/>
        <v>2033.0250384532212</v>
      </c>
      <c r="I61" s="156">
        <f t="shared" si="33"/>
        <v>2195.6670415294789</v>
      </c>
      <c r="J61" s="156">
        <f t="shared" si="33"/>
        <v>2195.6670415294789</v>
      </c>
      <c r="K61" s="156">
        <f t="shared" si="33"/>
        <v>2195.6670415294789</v>
      </c>
      <c r="L61" s="156">
        <f t="shared" si="33"/>
        <v>2195.6670415294789</v>
      </c>
      <c r="M61" s="156">
        <f t="shared" si="33"/>
        <v>2195.6670415294789</v>
      </c>
      <c r="N61" s="156">
        <f t="shared" si="33"/>
        <v>2195.6670415294789</v>
      </c>
      <c r="O61" s="156">
        <f t="shared" si="33"/>
        <v>2217.6237119447737</v>
      </c>
      <c r="P61" s="156">
        <f t="shared" si="33"/>
        <v>2261.9761861836691</v>
      </c>
    </row>
    <row r="62" spans="1:24" s="96" customFormat="1" x14ac:dyDescent="0.2">
      <c r="A62" s="64"/>
      <c r="B62" s="133" t="s">
        <v>75</v>
      </c>
      <c r="C62" s="154"/>
      <c r="D62" s="70">
        <f>+D61/C61</f>
        <v>1.0395455395617126</v>
      </c>
      <c r="E62" s="315">
        <f>+СВОД!D61</f>
        <v>1.08</v>
      </c>
      <c r="F62" s="315">
        <f>+СВОД!E61</f>
        <v>1.08</v>
      </c>
      <c r="G62" s="315">
        <f>+СВОД!F61</f>
        <v>1.08</v>
      </c>
      <c r="H62" s="315">
        <f>+СВОД!G61</f>
        <v>1.08</v>
      </c>
      <c r="I62" s="315">
        <f>+СВОД!H61</f>
        <v>1.08</v>
      </c>
      <c r="J62" s="315">
        <f>+СВОД!I61</f>
        <v>1</v>
      </c>
      <c r="K62" s="315">
        <f>+СВОД!J61</f>
        <v>1</v>
      </c>
      <c r="L62" s="315">
        <f>+СВОД!K61</f>
        <v>1</v>
      </c>
      <c r="M62" s="315">
        <f>+СВОД!L61</f>
        <v>1</v>
      </c>
      <c r="N62" s="315">
        <f>+СВОД!M61</f>
        <v>1</v>
      </c>
      <c r="O62" s="315">
        <f>+СВОД!N61</f>
        <v>1.01</v>
      </c>
      <c r="P62" s="315">
        <f>+СВОД!O61</f>
        <v>1.02</v>
      </c>
    </row>
    <row r="63" spans="1:24" s="136" customFormat="1" ht="10.5" x14ac:dyDescent="0.2">
      <c r="A63" s="253"/>
      <c r="B63" s="132" t="s">
        <v>359</v>
      </c>
      <c r="C63" s="316">
        <f>+([15]ГОД!$AP$69+[15]ГОД!$BN$69)/C54</f>
        <v>17.125288548140421</v>
      </c>
      <c r="D63" s="316">
        <f>17.3*0.55+17.69*0.45</f>
        <v>17.4755</v>
      </c>
      <c r="E63" s="254">
        <f>D63*(E64)</f>
        <v>18.174520000000001</v>
      </c>
      <c r="F63" s="254">
        <f t="shared" ref="F63:J63" si="34">E63*(F64)</f>
        <v>18.901500800000001</v>
      </c>
      <c r="G63" s="254">
        <f t="shared" si="34"/>
        <v>19.657560832000001</v>
      </c>
      <c r="H63" s="254">
        <f t="shared" si="34"/>
        <v>20.443863265280001</v>
      </c>
      <c r="I63" s="254">
        <f t="shared" si="34"/>
        <v>21.261617795891201</v>
      </c>
      <c r="J63" s="254">
        <f t="shared" si="34"/>
        <v>22.11208250772685</v>
      </c>
      <c r="K63" s="254">
        <f>J63*(K64)</f>
        <v>22.996565808035925</v>
      </c>
      <c r="L63" s="254">
        <f t="shared" ref="L63" si="35">K63*(L64)</f>
        <v>23.916428440357361</v>
      </c>
      <c r="M63" s="254">
        <f t="shared" ref="M63" si="36">L63*(M64)</f>
        <v>24.873085577971658</v>
      </c>
      <c r="N63" s="254">
        <f t="shared" ref="N63" si="37">M63*(N64)</f>
        <v>25.868009001090524</v>
      </c>
      <c r="O63" s="254">
        <f t="shared" ref="O63" si="38">N63*(O64)</f>
        <v>26.902729361134146</v>
      </c>
      <c r="P63" s="254">
        <f t="shared" ref="P63" si="39">O63*(P64)</f>
        <v>27.978838535579513</v>
      </c>
    </row>
    <row r="64" spans="1:24" s="143" customFormat="1" x14ac:dyDescent="0.2">
      <c r="A64" s="255"/>
      <c r="B64" s="133" t="s">
        <v>7</v>
      </c>
      <c r="C64" s="215"/>
      <c r="D64" s="70">
        <f>+D63/C63</f>
        <v>1.0204499591860954</v>
      </c>
      <c r="E64" s="467">
        <f>+E65</f>
        <v>1.04</v>
      </c>
      <c r="F64" s="467">
        <f t="shared" ref="F64:P64" si="40">+F65</f>
        <v>1.04</v>
      </c>
      <c r="G64" s="467">
        <f t="shared" si="40"/>
        <v>1.04</v>
      </c>
      <c r="H64" s="467">
        <f t="shared" si="40"/>
        <v>1.04</v>
      </c>
      <c r="I64" s="467">
        <f t="shared" si="40"/>
        <v>1.04</v>
      </c>
      <c r="J64" s="467">
        <f t="shared" si="40"/>
        <v>1.04</v>
      </c>
      <c r="K64" s="467">
        <f t="shared" si="40"/>
        <v>1.04</v>
      </c>
      <c r="L64" s="467">
        <f t="shared" si="40"/>
        <v>1.04</v>
      </c>
      <c r="M64" s="467">
        <f t="shared" si="40"/>
        <v>1.04</v>
      </c>
      <c r="N64" s="467">
        <f t="shared" si="40"/>
        <v>1.04</v>
      </c>
      <c r="O64" s="467">
        <f t="shared" si="40"/>
        <v>1.04</v>
      </c>
      <c r="P64" s="467">
        <f t="shared" si="40"/>
        <v>1.04</v>
      </c>
    </row>
    <row r="65" spans="1:19" s="144" customFormat="1" x14ac:dyDescent="0.2">
      <c r="A65" s="142">
        <v>27</v>
      </c>
      <c r="B65" s="148" t="s">
        <v>5</v>
      </c>
      <c r="C65" s="215"/>
      <c r="D65" s="124">
        <f>+'ТЭЦ-1'!D108</f>
        <v>1.04</v>
      </c>
      <c r="E65" s="124">
        <f>+'ТЭЦ-1'!E108</f>
        <v>1.04</v>
      </c>
      <c r="F65" s="124">
        <f>+'ТЭЦ-1'!F108</f>
        <v>1.04</v>
      </c>
      <c r="G65" s="124">
        <f>+'ТЭЦ-1'!G108</f>
        <v>1.04</v>
      </c>
      <c r="H65" s="124">
        <f>+'ТЭЦ-1'!H108</f>
        <v>1.04</v>
      </c>
      <c r="I65" s="124">
        <f>+'ТЭЦ-1'!I108</f>
        <v>1.04</v>
      </c>
      <c r="J65" s="124">
        <f>+'ТЭЦ-1'!J108</f>
        <v>1.04</v>
      </c>
      <c r="K65" s="124">
        <f>+'ТЭЦ-1'!K108</f>
        <v>1.04</v>
      </c>
      <c r="L65" s="124">
        <f>+'ТЭЦ-1'!L108</f>
        <v>1.04</v>
      </c>
      <c r="M65" s="124">
        <f>+'ТЭЦ-1'!M108</f>
        <v>1.04</v>
      </c>
      <c r="N65" s="124">
        <f>+'ТЭЦ-1'!N108</f>
        <v>1.04</v>
      </c>
      <c r="O65" s="124">
        <f>+'ТЭЦ-1'!O108</f>
        <v>1.04</v>
      </c>
      <c r="P65" s="124">
        <f>+'ТЭЦ-1'!P108</f>
        <v>1.04</v>
      </c>
      <c r="Q65" s="143"/>
      <c r="R65" s="143"/>
      <c r="S65" s="143"/>
    </row>
    <row r="66" spans="1:19" s="139" customFormat="1" x14ac:dyDescent="0.2">
      <c r="A66" s="64"/>
      <c r="B66" s="149" t="s">
        <v>52</v>
      </c>
      <c r="C66" s="215"/>
      <c r="D66" s="146">
        <f t="shared" ref="D66" si="41">C66+(1*D65)</f>
        <v>1.04</v>
      </c>
      <c r="E66" s="146">
        <f>D66*(E65)</f>
        <v>1.0816000000000001</v>
      </c>
      <c r="F66" s="146">
        <f t="shared" ref="F66:P66" si="42">E66*(F65)</f>
        <v>1.1248640000000001</v>
      </c>
      <c r="G66" s="146">
        <f t="shared" si="42"/>
        <v>1.1698585600000002</v>
      </c>
      <c r="H66" s="146">
        <f t="shared" si="42"/>
        <v>1.2166529024000003</v>
      </c>
      <c r="I66" s="146">
        <f t="shared" si="42"/>
        <v>1.2653190184960004</v>
      </c>
      <c r="J66" s="146">
        <f t="shared" si="42"/>
        <v>1.3159317792358405</v>
      </c>
      <c r="K66" s="146">
        <f t="shared" si="42"/>
        <v>1.3685690504052741</v>
      </c>
      <c r="L66" s="146">
        <f t="shared" si="42"/>
        <v>1.4233118124214852</v>
      </c>
      <c r="M66" s="146">
        <f t="shared" si="42"/>
        <v>1.4802442849183446</v>
      </c>
      <c r="N66" s="146">
        <f t="shared" si="42"/>
        <v>1.5394540563150785</v>
      </c>
      <c r="O66" s="146">
        <f t="shared" si="42"/>
        <v>1.6010322185676817</v>
      </c>
      <c r="P66" s="146">
        <f t="shared" si="42"/>
        <v>1.6650735073103891</v>
      </c>
      <c r="Q66" s="96"/>
      <c r="R66" s="96"/>
      <c r="S66" s="96"/>
    </row>
    <row r="67" spans="1:19" s="130" customFormat="1" x14ac:dyDescent="0.2">
      <c r="A67" s="150"/>
      <c r="B67" s="164"/>
      <c r="C67" s="165"/>
      <c r="D67" s="165"/>
      <c r="E67" s="165"/>
      <c r="F67" s="166"/>
      <c r="G67" s="165"/>
      <c r="H67" s="165"/>
      <c r="I67" s="165"/>
      <c r="J67" s="165"/>
      <c r="K67" s="165"/>
      <c r="L67" s="165"/>
      <c r="M67" s="165"/>
      <c r="N67" s="165"/>
      <c r="O67" s="165"/>
      <c r="P67" s="165"/>
    </row>
    <row r="68" spans="1:19" s="18" customFormat="1" ht="12.75" customHeight="1" x14ac:dyDescent="0.2">
      <c r="A68" s="941" t="s">
        <v>10</v>
      </c>
      <c r="B68" s="942"/>
      <c r="C68" s="28"/>
      <c r="D68" s="28"/>
      <c r="E68" s="28"/>
      <c r="F68" s="28"/>
      <c r="G68" s="26"/>
      <c r="H68" s="26"/>
      <c r="I68" s="28"/>
      <c r="J68" s="28"/>
      <c r="K68" s="28"/>
      <c r="L68" s="28"/>
      <c r="M68" s="28"/>
      <c r="N68" s="28"/>
      <c r="O68" s="28"/>
      <c r="P68" s="28"/>
      <c r="Q68" s="17"/>
      <c r="R68" s="17"/>
      <c r="S68" s="17"/>
    </row>
    <row r="69" spans="1:19" s="18" customFormat="1" ht="22.5" x14ac:dyDescent="0.2">
      <c r="A69" s="2">
        <v>26</v>
      </c>
      <c r="B69" s="6" t="s">
        <v>412</v>
      </c>
      <c r="C69" s="160">
        <f t="shared" ref="C69:P69" si="43">SUM(C70:C90)</f>
        <v>0</v>
      </c>
      <c r="D69" s="160">
        <f t="shared" si="43"/>
        <v>0</v>
      </c>
      <c r="E69" s="160">
        <f t="shared" si="43"/>
        <v>980682.70960218983</v>
      </c>
      <c r="F69" s="160">
        <f t="shared" si="43"/>
        <v>859256.55967074819</v>
      </c>
      <c r="G69" s="160">
        <f t="shared" si="43"/>
        <v>860372.32175191736</v>
      </c>
      <c r="H69" s="160">
        <f t="shared" si="43"/>
        <v>875562.260923706</v>
      </c>
      <c r="I69" s="160">
        <f t="shared" si="43"/>
        <v>904393.06216023141</v>
      </c>
      <c r="J69" s="160">
        <f t="shared" si="43"/>
        <v>197205.15830806573</v>
      </c>
      <c r="K69" s="160">
        <f t="shared" si="43"/>
        <v>228858.91548367383</v>
      </c>
      <c r="L69" s="160">
        <f t="shared" si="43"/>
        <v>235761.09602445611</v>
      </c>
      <c r="M69" s="160">
        <f t="shared" si="43"/>
        <v>243771.1580663847</v>
      </c>
      <c r="N69" s="160">
        <f t="shared" si="43"/>
        <v>252022.79642724065</v>
      </c>
      <c r="O69" s="160">
        <f t="shared" si="43"/>
        <v>260554.78695956414</v>
      </c>
      <c r="P69" s="160">
        <f t="shared" si="43"/>
        <v>269375.58483451756</v>
      </c>
      <c r="Q69" s="17"/>
      <c r="R69" s="17"/>
      <c r="S69" s="17"/>
    </row>
    <row r="70" spans="1:19" x14ac:dyDescent="0.2">
      <c r="A70" s="2">
        <v>46</v>
      </c>
      <c r="B70" s="945" t="s">
        <v>577</v>
      </c>
      <c r="C70" s="158"/>
      <c r="D70" s="186"/>
      <c r="E70" s="159">
        <f>+[12]Пр.4.Амортизация!F55</f>
        <v>168059.65401273611</v>
      </c>
      <c r="F70" s="159">
        <f>+[12]Пр.4.Амортизация!G55</f>
        <v>314138.28236416762</v>
      </c>
      <c r="G70" s="159">
        <f>+[12]Пр.4.Амортизация!H55</f>
        <v>425667.12915411836</v>
      </c>
      <c r="H70" s="159">
        <f>+[12]Пр.4.Амортизация!I55</f>
        <v>451286.61151640443</v>
      </c>
      <c r="I70" s="159">
        <f>+[12]Пр.4.Амортизация!J55</f>
        <v>578322.6443210264</v>
      </c>
      <c r="J70" s="158"/>
      <c r="K70" s="158"/>
      <c r="L70" s="158"/>
      <c r="M70" s="158"/>
      <c r="N70" s="158"/>
      <c r="O70" s="158"/>
      <c r="P70" s="158"/>
      <c r="R70" s="167"/>
    </row>
    <row r="71" spans="1:19" x14ac:dyDescent="0.2">
      <c r="A71" s="2">
        <v>47</v>
      </c>
      <c r="B71" s="946"/>
      <c r="C71" s="158"/>
      <c r="D71" s="186"/>
      <c r="E71" s="159">
        <f>+[12]Пр.4.Амортизация!F56</f>
        <v>29298.787504709733</v>
      </c>
      <c r="F71" s="159">
        <f>+[12]Пр.4.Амортизация!G56</f>
        <v>29913.856164430475</v>
      </c>
      <c r="G71" s="159">
        <f>+[12]Пр.4.Амортизация!H56</f>
        <v>24643.767102441783</v>
      </c>
      <c r="H71" s="159">
        <f>+[12]Пр.4.Амортизация!I56</f>
        <v>20038.793937328213</v>
      </c>
      <c r="I71" s="159">
        <f>+[12]Пр.4.Амортизация!J56</f>
        <v>56070.141854579422</v>
      </c>
      <c r="J71" s="158"/>
      <c r="K71" s="158"/>
      <c r="L71" s="158"/>
      <c r="M71" s="158"/>
      <c r="N71" s="158"/>
      <c r="O71" s="158"/>
      <c r="P71" s="158"/>
      <c r="R71" s="167"/>
    </row>
    <row r="72" spans="1:19" x14ac:dyDescent="0.2">
      <c r="A72" s="2">
        <v>48</v>
      </c>
      <c r="B72" s="946"/>
      <c r="C72" s="158"/>
      <c r="D72" s="186"/>
      <c r="E72" s="159">
        <f>+[12]Пр.4.Амортизация!F57</f>
        <v>134523.95251974405</v>
      </c>
      <c r="F72" s="159">
        <f>+[12]Пр.4.Амортизация!G57</f>
        <v>139922.83239823752</v>
      </c>
      <c r="G72" s="159">
        <f>+[12]Пр.4.Амортизация!H57</f>
        <v>150456.71108386022</v>
      </c>
      <c r="H72" s="159">
        <f>+[12]Пр.4.Амортизация!I57</f>
        <v>165267.86220396336</v>
      </c>
      <c r="I72" s="159">
        <f>+[12]Пр.4.Амортизация!J57</f>
        <v>105149.54083393466</v>
      </c>
      <c r="J72" s="158"/>
      <c r="K72" s="158"/>
      <c r="L72" s="158"/>
      <c r="M72" s="158"/>
      <c r="N72" s="158"/>
      <c r="O72" s="158"/>
      <c r="P72" s="158"/>
      <c r="R72" s="167"/>
    </row>
    <row r="73" spans="1:19" x14ac:dyDescent="0.2">
      <c r="A73" s="2">
        <v>49</v>
      </c>
      <c r="B73" s="947"/>
      <c r="C73" s="158"/>
      <c r="D73" s="186"/>
      <c r="E73" s="159">
        <f>+[12]Пр.4.Амортизация!F58</f>
        <v>300123.68660815671</v>
      </c>
      <c r="F73" s="159">
        <f>+[12]Пр.4.Амортизация!G58</f>
        <v>37613.541102420291</v>
      </c>
      <c r="G73" s="159">
        <f>+[12]Пр.4.Амортизация!H58</f>
        <v>39023.633201533223</v>
      </c>
      <c r="H73" s="159">
        <f>+[12]Пр.4.Амортизация!I58</f>
        <v>21165.51157186467</v>
      </c>
      <c r="I73" s="159">
        <f>+[12]Пр.4.Амортизация!J58</f>
        <v>0</v>
      </c>
      <c r="J73" s="158"/>
      <c r="K73" s="158"/>
      <c r="L73" s="158"/>
      <c r="M73" s="158"/>
      <c r="N73" s="158"/>
      <c r="O73" s="158"/>
      <c r="P73" s="158"/>
      <c r="R73" s="167"/>
    </row>
    <row r="74" spans="1:19" x14ac:dyDescent="0.2">
      <c r="A74" s="2">
        <v>50</v>
      </c>
      <c r="B74" s="46" t="s">
        <v>578</v>
      </c>
      <c r="C74" s="158"/>
      <c r="D74" s="186"/>
      <c r="E74" s="159">
        <f>+[12]Пр.4.Амортизация!F59</f>
        <v>55177.560964504548</v>
      </c>
      <c r="F74" s="159">
        <f>+[12]Пр.4.Амортизация!G59</f>
        <v>58101.378891613116</v>
      </c>
      <c r="G74" s="159">
        <f>+[12]Пр.4.Амортизация!H59</f>
        <v>55249.329485696406</v>
      </c>
      <c r="H74" s="159">
        <f>+[12]Пр.4.Амортизация!I59</f>
        <v>53149.551346511129</v>
      </c>
      <c r="I74" s="159">
        <f>+[12]Пр.4.Амортизация!J59</f>
        <v>56806.917886109833</v>
      </c>
      <c r="J74" s="158"/>
      <c r="K74" s="158"/>
      <c r="L74" s="158"/>
      <c r="M74" s="158"/>
      <c r="N74" s="158"/>
      <c r="O74" s="158"/>
      <c r="P74" s="158"/>
      <c r="R74" s="167"/>
    </row>
    <row r="75" spans="1:19" x14ac:dyDescent="0.2">
      <c r="A75" s="2">
        <v>51</v>
      </c>
      <c r="B75" s="46" t="s">
        <v>579</v>
      </c>
      <c r="C75" s="158"/>
      <c r="D75" s="186"/>
      <c r="E75" s="159">
        <f>+[12]Пр.4.Амортизация!F60</f>
        <v>55362.286795200002</v>
      </c>
      <c r="F75" s="159">
        <f>+[12]Пр.4.Амортизация!G60</f>
        <v>56447.633271554587</v>
      </c>
      <c r="G75" s="159">
        <f>+[12]Пр.4.Амортизация!H60</f>
        <v>55335.704988640173</v>
      </c>
      <c r="H75" s="159">
        <f>+[12]Пр.4.Амортизация!I60</f>
        <v>56099.569895266584</v>
      </c>
      <c r="I75" s="159">
        <f>+[12]Пр.4.Амортизация!J60</f>
        <v>55747.140079379205</v>
      </c>
      <c r="J75" s="158"/>
      <c r="K75" s="158"/>
      <c r="L75" s="158"/>
      <c r="M75" s="158"/>
      <c r="N75" s="158"/>
      <c r="O75" s="158"/>
      <c r="P75" s="158"/>
      <c r="R75" s="167"/>
    </row>
    <row r="76" spans="1:19" x14ac:dyDescent="0.2">
      <c r="A76" s="2">
        <v>52</v>
      </c>
      <c r="B76" s="46" t="s">
        <v>580</v>
      </c>
      <c r="C76" s="158"/>
      <c r="D76" s="186"/>
      <c r="E76" s="159">
        <f>+[12]Пр.4.Амортизация!F61</f>
        <v>15487.547457627121</v>
      </c>
      <c r="F76" s="159">
        <f>+[12]Пр.4.Амортизация!G61</f>
        <v>5766.9538542372884</v>
      </c>
      <c r="G76" s="159">
        <f>+[12]Пр.4.Амортизация!H61</f>
        <v>5986.0981006983056</v>
      </c>
      <c r="H76" s="159">
        <f>+[12]Пр.4.Амортизация!I61</f>
        <v>6213.5698285248409</v>
      </c>
      <c r="I76" s="159">
        <f>+[12]Пр.4.Амортизация!J61</f>
        <v>0</v>
      </c>
      <c r="J76" s="158"/>
      <c r="K76" s="158"/>
      <c r="L76" s="158"/>
      <c r="M76" s="158"/>
      <c r="N76" s="158"/>
      <c r="O76" s="158"/>
      <c r="P76" s="158"/>
      <c r="R76" s="167"/>
    </row>
    <row r="77" spans="1:19" s="232" customFormat="1" ht="22.5" x14ac:dyDescent="0.2">
      <c r="A77" s="2">
        <v>53</v>
      </c>
      <c r="B77" s="317" t="s">
        <v>581</v>
      </c>
      <c r="C77" s="158"/>
      <c r="D77" s="186"/>
      <c r="E77" s="159">
        <f>+[12]Пр.4.Амортизация!F62</f>
        <v>11142.887999999999</v>
      </c>
      <c r="F77" s="159">
        <f>+[12]Пр.4.Амортизация!G62</f>
        <v>0</v>
      </c>
      <c r="G77" s="159">
        <f>+[12]Пр.4.Амортизация!H62</f>
        <v>0</v>
      </c>
      <c r="H77" s="159">
        <f>+[12]Пр.4.Амортизация!I62</f>
        <v>0</v>
      </c>
      <c r="I77" s="159">
        <f>+[12]Пр.4.Амортизация!J62</f>
        <v>0</v>
      </c>
      <c r="J77" s="158"/>
      <c r="K77" s="158"/>
      <c r="L77" s="158"/>
      <c r="M77" s="158"/>
      <c r="N77" s="158"/>
      <c r="O77" s="158"/>
      <c r="P77" s="158"/>
      <c r="Q77" s="11"/>
      <c r="R77" s="167"/>
      <c r="S77" s="11"/>
    </row>
    <row r="78" spans="1:19" s="232" customFormat="1" ht="22.5" x14ac:dyDescent="0.2">
      <c r="A78" s="2" t="s">
        <v>582</v>
      </c>
      <c r="B78" s="318" t="s">
        <v>583</v>
      </c>
      <c r="C78" s="158"/>
      <c r="D78" s="186"/>
      <c r="E78" s="159">
        <f>+[12]Пр.4.Амортизация!F63</f>
        <v>0</v>
      </c>
      <c r="F78" s="159">
        <f>+[12]Пр.4.Амортизация!G63</f>
        <v>12231.26316368366</v>
      </c>
      <c r="G78" s="159">
        <f>+[12]Пр.4.Амортизация!H63</f>
        <v>0</v>
      </c>
      <c r="H78" s="159">
        <f>+[12]Пр.4.Амортизация!I63</f>
        <v>12267.98241459298</v>
      </c>
      <c r="I78" s="159">
        <f>+[12]Пр.4.Амортизация!J63</f>
        <v>0</v>
      </c>
      <c r="J78" s="158"/>
      <c r="K78" s="158"/>
      <c r="L78" s="158"/>
      <c r="M78" s="158"/>
      <c r="N78" s="158"/>
      <c r="O78" s="158"/>
      <c r="P78" s="158"/>
      <c r="Q78" s="11"/>
      <c r="R78" s="167"/>
      <c r="S78" s="11"/>
    </row>
    <row r="79" spans="1:19" s="232" customFormat="1" ht="22.5" x14ac:dyDescent="0.2">
      <c r="A79" s="2" t="s">
        <v>584</v>
      </c>
      <c r="B79" s="318" t="s">
        <v>583</v>
      </c>
      <c r="C79" s="158"/>
      <c r="D79" s="186"/>
      <c r="E79" s="159">
        <f>+[12]Пр.4.Амортизация!F64</f>
        <v>8874.37392894</v>
      </c>
      <c r="F79" s="159">
        <f>+[12]Пр.4.Амортизация!G64</f>
        <v>0</v>
      </c>
      <c r="G79" s="159">
        <f>+[12]Пр.4.Амортизация!H64</f>
        <v>12598.0747454715</v>
      </c>
      <c r="H79" s="159">
        <f>+[12]Пр.4.Амортизация!I64</f>
        <v>0</v>
      </c>
      <c r="I79" s="159">
        <f>+[12]Пр.4.Амортизация!J64</f>
        <v>0</v>
      </c>
      <c r="J79" s="158"/>
      <c r="K79" s="158"/>
      <c r="L79" s="158"/>
      <c r="M79" s="158"/>
      <c r="N79" s="158"/>
      <c r="O79" s="158"/>
      <c r="P79" s="158"/>
      <c r="Q79" s="11"/>
      <c r="R79" s="167"/>
      <c r="S79" s="11"/>
    </row>
    <row r="80" spans="1:19" s="232" customFormat="1" ht="22.5" x14ac:dyDescent="0.2">
      <c r="A80" s="2">
        <v>55</v>
      </c>
      <c r="B80" s="317" t="s">
        <v>585</v>
      </c>
      <c r="C80" s="158"/>
      <c r="D80" s="186"/>
      <c r="E80" s="159">
        <f>+[12]Пр.4.Амортизация!F65</f>
        <v>14819.59973153584</v>
      </c>
      <c r="F80" s="159">
        <f>+[12]Пр.4.Амортизация!G65</f>
        <v>15367.924921602666</v>
      </c>
      <c r="G80" s="159">
        <f>+[12]Пр.4.Амортизация!H65</f>
        <v>15951.906068623568</v>
      </c>
      <c r="H80" s="159">
        <f>+[12]Пр.4.Амортизация!I65</f>
        <v>16558.078499231266</v>
      </c>
      <c r="I80" s="159">
        <f>+[12]Пр.4.Амортизация!J65</f>
        <v>17187.285482202053</v>
      </c>
      <c r="J80" s="158"/>
      <c r="K80" s="158"/>
      <c r="L80" s="158"/>
      <c r="M80" s="158"/>
      <c r="N80" s="158"/>
      <c r="O80" s="158"/>
      <c r="P80" s="158"/>
      <c r="Q80" s="11"/>
      <c r="R80" s="167"/>
      <c r="S80" s="11"/>
    </row>
    <row r="81" spans="1:23" s="232" customFormat="1" ht="22.5" x14ac:dyDescent="0.2">
      <c r="A81" s="2">
        <v>56</v>
      </c>
      <c r="B81" s="46" t="s">
        <v>586</v>
      </c>
      <c r="C81" s="158"/>
      <c r="D81" s="186"/>
      <c r="E81" s="159">
        <f>+[12]Пр.4.Амортизация!F66</f>
        <v>17390.897019575259</v>
      </c>
      <c r="F81" s="159">
        <f>+[12]Пр.4.Амортизация!G66</f>
        <v>18034.360209299542</v>
      </c>
      <c r="G81" s="159">
        <f>+[12]Пр.4.Амортизация!H66</f>
        <v>18719.665897252926</v>
      </c>
      <c r="H81" s="159">
        <f>+[12]Пр.4.Амортизация!I66</f>
        <v>19431.013201348538</v>
      </c>
      <c r="I81" s="159">
        <f>+[12]Пр.4.Амортизация!J66</f>
        <v>20169.391702999783</v>
      </c>
      <c r="J81" s="158"/>
      <c r="K81" s="158"/>
      <c r="L81" s="158"/>
      <c r="M81" s="158"/>
      <c r="N81" s="158"/>
      <c r="O81" s="158"/>
      <c r="P81" s="158"/>
      <c r="Q81" s="11"/>
      <c r="R81" s="167"/>
      <c r="S81" s="11"/>
    </row>
    <row r="82" spans="1:23" s="232" customFormat="1" x14ac:dyDescent="0.2">
      <c r="A82" s="2">
        <v>57</v>
      </c>
      <c r="B82" s="46" t="s">
        <v>587</v>
      </c>
      <c r="C82" s="158"/>
      <c r="D82" s="186"/>
      <c r="E82" s="159">
        <f>+[12]Пр.4.Амортизация!F67</f>
        <v>5447.5568400000002</v>
      </c>
      <c r="F82" s="159">
        <f>+[12]Пр.4.Амортизация!G67</f>
        <v>0</v>
      </c>
      <c r="G82" s="159">
        <f>+[12]Пр.4.Амортизация!H67</f>
        <v>0</v>
      </c>
      <c r="H82" s="159">
        <f>+[12]Пр.4.Амортизация!I67</f>
        <v>0</v>
      </c>
      <c r="I82" s="159">
        <f>+[12]Пр.4.Амортизация!J67</f>
        <v>0</v>
      </c>
      <c r="J82" s="158"/>
      <c r="K82" s="158"/>
      <c r="L82" s="158"/>
      <c r="M82" s="158"/>
      <c r="N82" s="158"/>
      <c r="O82" s="158"/>
      <c r="P82" s="158"/>
      <c r="Q82" s="11"/>
      <c r="R82" s="167"/>
      <c r="S82" s="11"/>
    </row>
    <row r="83" spans="1:23" s="232" customFormat="1" x14ac:dyDescent="0.2">
      <c r="A83" s="2">
        <v>58</v>
      </c>
      <c r="B83" s="46" t="s">
        <v>588</v>
      </c>
      <c r="C83" s="158"/>
      <c r="D83" s="186"/>
      <c r="E83" s="159">
        <f>+[12]Пр.4.Амортизация!F68</f>
        <v>120230.04982400054</v>
      </c>
      <c r="F83" s="159">
        <f>+[12]Пр.4.Амортизация!G68</f>
        <v>118677.84853476915</v>
      </c>
      <c r="G83" s="159">
        <f>+[12]Пр.4.Амортизация!H68</f>
        <v>0</v>
      </c>
      <c r="H83" s="159">
        <f>+[12]Пр.4.Амортизация!I68</f>
        <v>0</v>
      </c>
      <c r="I83" s="159">
        <f>+[12]Пр.4.Амортизация!J68</f>
        <v>0</v>
      </c>
      <c r="J83" s="158"/>
      <c r="K83" s="158"/>
      <c r="L83" s="158"/>
      <c r="M83" s="158"/>
      <c r="N83" s="158"/>
      <c r="O83" s="158"/>
      <c r="P83" s="158"/>
      <c r="Q83" s="11"/>
      <c r="R83" s="167"/>
      <c r="S83" s="11"/>
    </row>
    <row r="84" spans="1:23" s="232" customFormat="1" ht="22.5" x14ac:dyDescent="0.2">
      <c r="A84" s="2">
        <v>59</v>
      </c>
      <c r="B84" s="317" t="s">
        <v>589</v>
      </c>
      <c r="C84" s="158"/>
      <c r="D84" s="186"/>
      <c r="E84" s="159">
        <f>+[12]Пр.4.Амортизация!F69</f>
        <v>2605.3643868799995</v>
      </c>
      <c r="F84" s="159">
        <f>+[12]Пр.4.Амортизация!G69</f>
        <v>3377.2035864931991</v>
      </c>
      <c r="G84" s="159">
        <f>+[12]Пр.4.Амортизация!H69</f>
        <v>2804.429858223953</v>
      </c>
      <c r="H84" s="159">
        <f>+[12]Пр.4.Амортизация!I69</f>
        <v>3638.747741045579</v>
      </c>
      <c r="I84" s="159">
        <f>+[12]Пр.4.Амортизация!J69</f>
        <v>0</v>
      </c>
      <c r="J84" s="158"/>
      <c r="K84" s="158"/>
      <c r="L84" s="158"/>
      <c r="M84" s="158"/>
      <c r="N84" s="158"/>
      <c r="O84" s="158"/>
      <c r="P84" s="158"/>
      <c r="Q84" s="11"/>
      <c r="R84" s="167"/>
      <c r="S84" s="11"/>
    </row>
    <row r="85" spans="1:23" s="232" customFormat="1" ht="22.5" x14ac:dyDescent="0.2">
      <c r="A85" s="2">
        <v>60</v>
      </c>
      <c r="B85" s="318" t="s">
        <v>590</v>
      </c>
      <c r="C85" s="158"/>
      <c r="D85" s="186"/>
      <c r="E85" s="159">
        <f>+[12]Пр.4.Амортизация!F70</f>
        <v>4019.9560000000001</v>
      </c>
      <c r="F85" s="159">
        <f>+[12]Пр.4.Амортизация!G70</f>
        <v>14314.994806000001</v>
      </c>
      <c r="G85" s="159">
        <f>+[12]Пр.4.Амортизация!H70</f>
        <v>22802.0495149368</v>
      </c>
      <c r="H85" s="159">
        <f>+[12]Пр.4.Амортизация!I70</f>
        <v>35444.968767624407</v>
      </c>
      <c r="I85" s="159">
        <f>+[12]Пр.4.Амортизация!J70</f>
        <v>0</v>
      </c>
      <c r="J85" s="158"/>
      <c r="K85" s="158"/>
      <c r="L85" s="158"/>
      <c r="M85" s="158"/>
      <c r="N85" s="158"/>
      <c r="O85" s="158"/>
      <c r="P85" s="158"/>
      <c r="Q85" s="11"/>
      <c r="R85" s="167"/>
      <c r="S85" s="11"/>
    </row>
    <row r="86" spans="1:23" s="232" customFormat="1" x14ac:dyDescent="0.2">
      <c r="A86" s="2">
        <v>61</v>
      </c>
      <c r="B86" s="318" t="s">
        <v>591</v>
      </c>
      <c r="C86" s="158"/>
      <c r="D86" s="186"/>
      <c r="E86" s="159">
        <f>+[12]Пр.4.Амортизация!F71</f>
        <v>23118.548008579997</v>
      </c>
      <c r="F86" s="159">
        <f>+[12]Пр.4.Амортизация!G71</f>
        <v>20348.486402238999</v>
      </c>
      <c r="G86" s="159">
        <f>+[12]Пр.4.Амортизация!H71</f>
        <v>14133.822550420156</v>
      </c>
      <c r="H86" s="159">
        <f>+[12]Пр.4.Амортизация!I71</f>
        <v>0</v>
      </c>
      <c r="I86" s="159">
        <f>+[12]Пр.4.Амортизация!J71</f>
        <v>0</v>
      </c>
      <c r="J86" s="158"/>
      <c r="K86" s="158"/>
      <c r="L86" s="158"/>
      <c r="M86" s="158"/>
      <c r="N86" s="158"/>
      <c r="O86" s="158"/>
      <c r="P86" s="158"/>
      <c r="Q86" s="11"/>
      <c r="R86" s="167"/>
      <c r="S86" s="11"/>
    </row>
    <row r="87" spans="1:23" s="232" customFormat="1" x14ac:dyDescent="0.2">
      <c r="A87" s="2">
        <v>60</v>
      </c>
      <c r="B87" s="317" t="s">
        <v>592</v>
      </c>
      <c r="C87" s="158"/>
      <c r="D87" s="186"/>
      <c r="E87" s="159">
        <f>+[12]Пр.4.Амортизация!F73</f>
        <v>9297</v>
      </c>
      <c r="F87" s="159">
        <f>+[12]Пр.4.Амортизация!G73</f>
        <v>14014</v>
      </c>
      <c r="G87" s="159">
        <f>+[12]Пр.4.Амортизация!H73</f>
        <v>17000</v>
      </c>
      <c r="H87" s="159">
        <f>+[12]Пр.4.Амортизация!I73</f>
        <v>14150</v>
      </c>
      <c r="I87" s="159">
        <f>+[12]Пр.4.Амортизация!J73</f>
        <v>14118</v>
      </c>
      <c r="J87" s="158"/>
      <c r="K87" s="158"/>
      <c r="L87" s="158"/>
      <c r="M87" s="158"/>
      <c r="N87" s="158"/>
      <c r="O87" s="158"/>
      <c r="P87" s="158"/>
      <c r="Q87" s="11"/>
      <c r="R87" s="167"/>
      <c r="S87" s="11"/>
    </row>
    <row r="88" spans="1:23" s="232" customFormat="1" ht="45" x14ac:dyDescent="0.2">
      <c r="A88" s="2">
        <v>61</v>
      </c>
      <c r="B88" s="46" t="s">
        <v>593</v>
      </c>
      <c r="C88" s="158"/>
      <c r="D88" s="186"/>
      <c r="E88" s="159">
        <f>+[12]Пр.4.Амортизация!F74</f>
        <v>5703</v>
      </c>
      <c r="F88" s="159">
        <f>+[12]Пр.4.Амортизация!G74</f>
        <v>986</v>
      </c>
      <c r="G88" s="159">
        <f>+[12]Пр.4.Амортизация!H74</f>
        <v>0</v>
      </c>
      <c r="H88" s="159">
        <f>+[12]Пр.4.Амортизация!I74</f>
        <v>850</v>
      </c>
      <c r="I88" s="159">
        <f>+[12]Пр.4.Амортизация!J74</f>
        <v>822</v>
      </c>
      <c r="J88" s="158"/>
      <c r="K88" s="158"/>
      <c r="L88" s="158"/>
      <c r="M88" s="158"/>
      <c r="N88" s="158"/>
      <c r="O88" s="158"/>
      <c r="P88" s="158"/>
      <c r="Q88" s="11"/>
      <c r="R88" s="167"/>
      <c r="S88" s="11"/>
    </row>
    <row r="89" spans="1:23" s="717" customFormat="1" ht="12.75" customHeight="1" x14ac:dyDescent="0.2">
      <c r="A89" s="714"/>
      <c r="B89" s="715" t="s">
        <v>675</v>
      </c>
      <c r="C89" s="716"/>
      <c r="D89" s="716"/>
      <c r="E89" s="716"/>
      <c r="F89" s="716"/>
      <c r="G89" s="716"/>
      <c r="H89" s="716"/>
      <c r="I89" s="716"/>
      <c r="J89" s="718">
        <f>+I93*$R89</f>
        <v>197205.15830806573</v>
      </c>
      <c r="K89" s="718">
        <f t="shared" ref="K89:P89" si="44">+J93*$R89</f>
        <v>228858.91548367383</v>
      </c>
      <c r="L89" s="718">
        <f t="shared" si="44"/>
        <v>235761.09602445611</v>
      </c>
      <c r="M89" s="718">
        <f t="shared" si="44"/>
        <v>243771.1580663847</v>
      </c>
      <c r="N89" s="718">
        <f t="shared" si="44"/>
        <v>252022.79642724065</v>
      </c>
      <c r="O89" s="718">
        <f t="shared" si="44"/>
        <v>260554.78695956414</v>
      </c>
      <c r="P89" s="718">
        <f t="shared" si="44"/>
        <v>269375.58483451756</v>
      </c>
      <c r="R89" s="719">
        <v>0.35</v>
      </c>
      <c r="S89" s="717" t="s">
        <v>657</v>
      </c>
    </row>
    <row r="90" spans="1:23" s="23" customFormat="1" x14ac:dyDescent="0.2">
      <c r="A90" s="2"/>
      <c r="B90" s="46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1"/>
      <c r="R90" s="11"/>
      <c r="S90" s="11"/>
      <c r="T90" s="11"/>
      <c r="U90" s="11"/>
      <c r="V90" s="11"/>
      <c r="W90" s="22"/>
    </row>
    <row r="91" spans="1:23" s="18" customFormat="1" ht="12.75" customHeight="1" x14ac:dyDescent="0.2">
      <c r="A91" s="941" t="s">
        <v>42</v>
      </c>
      <c r="B91" s="942"/>
      <c r="C91" s="28"/>
      <c r="D91" s="28"/>
      <c r="E91" s="28"/>
      <c r="F91" s="28"/>
      <c r="G91" s="26"/>
      <c r="H91" s="26"/>
      <c r="I91" s="28"/>
      <c r="J91" s="28"/>
      <c r="K91" s="28"/>
      <c r="L91" s="28"/>
      <c r="M91" s="28"/>
      <c r="N91" s="28"/>
      <c r="O91" s="28"/>
      <c r="P91" s="28"/>
      <c r="Q91" s="17"/>
      <c r="R91" s="17"/>
      <c r="S91" s="17"/>
      <c r="T91" s="17"/>
      <c r="U91" s="17"/>
      <c r="V91" s="17"/>
    </row>
    <row r="92" spans="1:23" s="13" customFormat="1" x14ac:dyDescent="0.2">
      <c r="A92" s="1">
        <v>29</v>
      </c>
      <c r="B92" s="44" t="s">
        <v>4</v>
      </c>
      <c r="C92" s="173">
        <v>120</v>
      </c>
      <c r="D92" s="180">
        <f>+C92</f>
        <v>120</v>
      </c>
      <c r="E92" s="180">
        <f t="shared" ref="E92:I92" si="45">+D92</f>
        <v>120</v>
      </c>
      <c r="F92" s="180">
        <f t="shared" si="45"/>
        <v>120</v>
      </c>
      <c r="G92" s="180">
        <f t="shared" si="45"/>
        <v>120</v>
      </c>
      <c r="H92" s="180">
        <f t="shared" si="45"/>
        <v>120</v>
      </c>
      <c r="I92" s="180">
        <f t="shared" si="45"/>
        <v>120</v>
      </c>
      <c r="J92" s="180">
        <f t="shared" ref="J92" si="46">+I92</f>
        <v>120</v>
      </c>
      <c r="K92" s="180">
        <f t="shared" ref="K92" si="47">+J92</f>
        <v>120</v>
      </c>
      <c r="L92" s="180">
        <f t="shared" ref="L92" si="48">+K92</f>
        <v>120</v>
      </c>
      <c r="M92" s="180">
        <f t="shared" ref="M92" si="49">+L92</f>
        <v>120</v>
      </c>
      <c r="N92" s="180">
        <f t="shared" ref="N92" si="50">+M92</f>
        <v>120</v>
      </c>
      <c r="O92" s="180">
        <f t="shared" ref="O92" si="51">+N92</f>
        <v>120</v>
      </c>
      <c r="P92" s="180">
        <f t="shared" ref="P92" si="52">+O92</f>
        <v>120</v>
      </c>
    </row>
    <row r="93" spans="1:23" s="130" customFormat="1" x14ac:dyDescent="0.2">
      <c r="A93" s="150">
        <v>30</v>
      </c>
      <c r="B93" s="168" t="s">
        <v>186</v>
      </c>
      <c r="C93" s="176">
        <f>+'[4]+Ам'!$H$97</f>
        <v>160964.9654228923</v>
      </c>
      <c r="D93" s="177">
        <f>IF(D94-C96-C93&lt;0,0,IF(C96+C93*2&gt;D94,D94-C96-C93,IF(C92=0,C93,+C93+C95/C92*12)))</f>
        <v>186925.54118086904</v>
      </c>
      <c r="E93" s="177">
        <f>IF(E94-D96-D93&lt;0,0,IF(D96+D93*2&gt;E94,E94-D96-D93,IF(D92=0,D93,+D93+D95/D92*12)))</f>
        <v>209201.34118086903</v>
      </c>
      <c r="F93" s="177">
        <f>IF(F94-E96-E93&lt;0,0,IF(E96+E93*2&gt;F94,F94-E96-E93,IF(E92=0,E93,+E93+E95/E92*12)))</f>
        <v>305720.85739532532</v>
      </c>
      <c r="G93" s="177">
        <f t="shared" ref="G93:P93" si="53">IF(G94-F96-F93&lt;0,0,IF(F96+F93*2&gt;G94,G94-F96-F93,IF(F92=0,F93,+F93+F95/F92*12)))</f>
        <v>391069.8179769764</v>
      </c>
      <c r="H93" s="177">
        <f t="shared" si="53"/>
        <v>476508.4403420983</v>
      </c>
      <c r="I93" s="177">
        <f t="shared" si="53"/>
        <v>563443.30945161637</v>
      </c>
      <c r="J93" s="177">
        <f t="shared" si="53"/>
        <v>653882.61566763953</v>
      </c>
      <c r="K93" s="177">
        <f t="shared" si="53"/>
        <v>673603.13149844611</v>
      </c>
      <c r="L93" s="177">
        <f t="shared" si="53"/>
        <v>696489.02304681344</v>
      </c>
      <c r="M93" s="177">
        <f t="shared" si="53"/>
        <v>720065.13264925906</v>
      </c>
      <c r="N93" s="177">
        <f t="shared" si="53"/>
        <v>744442.24845589756</v>
      </c>
      <c r="O93" s="177">
        <f t="shared" si="53"/>
        <v>769644.52809862164</v>
      </c>
      <c r="P93" s="177">
        <f t="shared" si="53"/>
        <v>759616.17306935578</v>
      </c>
    </row>
    <row r="94" spans="1:23" s="96" customFormat="1" x14ac:dyDescent="0.2">
      <c r="A94" s="64">
        <v>31</v>
      </c>
      <c r="B94" s="149" t="s">
        <v>187</v>
      </c>
      <c r="C94" s="178">
        <f>+'[4]+Ам'!$H$7</f>
        <v>1226961.2934498016</v>
      </c>
      <c r="D94" s="179">
        <f>+C94+C95</f>
        <v>1486567.051029569</v>
      </c>
      <c r="E94" s="179">
        <f t="shared" ref="E94:P94" si="54">+D94+D95</f>
        <v>1709325.051029569</v>
      </c>
      <c r="F94" s="179">
        <f t="shared" si="54"/>
        <v>2674520.2131741317</v>
      </c>
      <c r="G94" s="179">
        <f t="shared" si="54"/>
        <v>3528009.8189906427</v>
      </c>
      <c r="H94" s="179">
        <f t="shared" si="54"/>
        <v>4382396.0426418614</v>
      </c>
      <c r="I94" s="179">
        <f t="shared" si="54"/>
        <v>5251744.7337370422</v>
      </c>
      <c r="J94" s="179">
        <f t="shared" si="54"/>
        <v>6156137.7958972733</v>
      </c>
      <c r="K94" s="179">
        <f t="shared" si="54"/>
        <v>6353342.9542053388</v>
      </c>
      <c r="L94" s="179">
        <f t="shared" si="54"/>
        <v>6582201.8696890129</v>
      </c>
      <c r="M94" s="179">
        <f t="shared" si="54"/>
        <v>6817962.9657134693</v>
      </c>
      <c r="N94" s="179">
        <f t="shared" si="54"/>
        <v>7061734.1237798538</v>
      </c>
      <c r="O94" s="179">
        <f t="shared" si="54"/>
        <v>7313756.9202070944</v>
      </c>
      <c r="P94" s="179">
        <f t="shared" si="54"/>
        <v>7574311.7071666587</v>
      </c>
    </row>
    <row r="95" spans="1:23" s="96" customFormat="1" x14ac:dyDescent="0.2">
      <c r="A95" s="64"/>
      <c r="B95" s="149" t="s">
        <v>191</v>
      </c>
      <c r="C95" s="178">
        <f>+'[4]+Ам'!$H$37+'[4]+Ам'!$H$52</f>
        <v>259605.75757976744</v>
      </c>
      <c r="D95" s="178">
        <f>+'[4]+Ам'!$N$37</f>
        <v>222758</v>
      </c>
      <c r="E95" s="514">
        <f>+E69-E76</f>
        <v>965195.1621445627</v>
      </c>
      <c r="F95" s="368">
        <f t="shared" ref="F95:I95" si="55">+F69-F76</f>
        <v>853489.60581651086</v>
      </c>
      <c r="G95" s="368">
        <f t="shared" si="55"/>
        <v>854386.22365121904</v>
      </c>
      <c r="H95" s="368">
        <f t="shared" si="55"/>
        <v>869348.69109518116</v>
      </c>
      <c r="I95" s="368">
        <f t="shared" si="55"/>
        <v>904393.06216023141</v>
      </c>
      <c r="J95" s="179">
        <f t="shared" ref="J95:P95" si="56">+J69</f>
        <v>197205.15830806573</v>
      </c>
      <c r="K95" s="179">
        <f t="shared" si="56"/>
        <v>228858.91548367383</v>
      </c>
      <c r="L95" s="179">
        <f t="shared" si="56"/>
        <v>235761.09602445611</v>
      </c>
      <c r="M95" s="179">
        <f t="shared" si="56"/>
        <v>243771.1580663847</v>
      </c>
      <c r="N95" s="179">
        <f t="shared" si="56"/>
        <v>252022.79642724065</v>
      </c>
      <c r="O95" s="179">
        <f t="shared" si="56"/>
        <v>260554.78695956414</v>
      </c>
      <c r="P95" s="179">
        <f t="shared" si="56"/>
        <v>269375.58483451756</v>
      </c>
    </row>
    <row r="96" spans="1:23" s="96" customFormat="1" x14ac:dyDescent="0.2">
      <c r="A96" s="64"/>
      <c r="B96" s="149" t="s">
        <v>190</v>
      </c>
      <c r="C96" s="178">
        <f>+'[24]Расчет ТС'!$P$403/1000-C93/12*7</f>
        <v>262734.58172997949</v>
      </c>
      <c r="D96" s="179">
        <f>IF(+C96+C93&gt;C94,C94,+C96+C93)</f>
        <v>423699.54715287179</v>
      </c>
      <c r="E96" s="179">
        <f t="shared" ref="E96:P96" si="57">IF(+D96+D93&gt;D94,D94,+D96+D93)</f>
        <v>610625.08833374083</v>
      </c>
      <c r="F96" s="179">
        <f t="shared" si="57"/>
        <v>819826.42951460986</v>
      </c>
      <c r="G96" s="179">
        <f t="shared" si="57"/>
        <v>1125547.2869099351</v>
      </c>
      <c r="H96" s="179">
        <f t="shared" si="57"/>
        <v>1516617.1048869113</v>
      </c>
      <c r="I96" s="179">
        <f t="shared" si="57"/>
        <v>1993125.5452290096</v>
      </c>
      <c r="J96" s="179">
        <f t="shared" si="57"/>
        <v>2556568.8546806257</v>
      </c>
      <c r="K96" s="179">
        <f t="shared" si="57"/>
        <v>3210451.470348265</v>
      </c>
      <c r="L96" s="179">
        <f t="shared" si="57"/>
        <v>3884054.6018467112</v>
      </c>
      <c r="M96" s="179">
        <f t="shared" si="57"/>
        <v>4580543.6248935247</v>
      </c>
      <c r="N96" s="179">
        <f t="shared" si="57"/>
        <v>5300608.7575427834</v>
      </c>
      <c r="O96" s="179">
        <f t="shared" si="57"/>
        <v>6045051.0059986813</v>
      </c>
      <c r="P96" s="179">
        <f t="shared" si="57"/>
        <v>6814695.5340973027</v>
      </c>
    </row>
    <row r="97" spans="1:19" s="96" customFormat="1" x14ac:dyDescent="0.2">
      <c r="A97" s="64"/>
      <c r="B97" s="149" t="s">
        <v>189</v>
      </c>
      <c r="C97" s="174">
        <f>+C96/C94</f>
        <v>0.21413436848627751</v>
      </c>
      <c r="D97" s="174">
        <f t="shared" ref="D97:P97" si="58">+D96/D94</f>
        <v>0.28501879337324559</v>
      </c>
      <c r="E97" s="174">
        <f t="shared" si="58"/>
        <v>0.35723169678344452</v>
      </c>
      <c r="F97" s="174">
        <f t="shared" si="58"/>
        <v>0.30653214938377171</v>
      </c>
      <c r="G97" s="174">
        <f t="shared" si="58"/>
        <v>0.31903178977884822</v>
      </c>
      <c r="H97" s="174">
        <f t="shared" si="58"/>
        <v>0.34607029810401196</v>
      </c>
      <c r="I97" s="174">
        <f t="shared" si="58"/>
        <v>0.3795168360764441</v>
      </c>
      <c r="J97" s="174">
        <f t="shared" si="58"/>
        <v>0.41528778910446706</v>
      </c>
      <c r="K97" s="174">
        <f t="shared" si="58"/>
        <v>0.50531688490438509</v>
      </c>
      <c r="L97" s="174">
        <f t="shared" si="58"/>
        <v>0.59008439405858271</v>
      </c>
      <c r="M97" s="174">
        <f t="shared" si="58"/>
        <v>0.67183462977555075</v>
      </c>
      <c r="N97" s="174">
        <f t="shared" si="58"/>
        <v>0.75061007178015748</v>
      </c>
      <c r="O97" s="174">
        <f t="shared" si="58"/>
        <v>0.82653157220701168</v>
      </c>
      <c r="P97" s="174">
        <f t="shared" si="58"/>
        <v>0.89971152463257842</v>
      </c>
    </row>
    <row r="98" spans="1:19" s="96" customFormat="1" x14ac:dyDescent="0.2">
      <c r="A98" s="64">
        <v>32</v>
      </c>
      <c r="B98" s="149" t="s">
        <v>188</v>
      </c>
      <c r="C98" s="180">
        <f>IF(+C94+C95-C96-C93&lt;0,0,+C94+C95-C96-C93)</f>
        <v>1062867.5038766973</v>
      </c>
      <c r="D98" s="180">
        <f t="shared" ref="D98:P98" si="59">IF(+D94+D95-D96-D93&lt;0,0,+D94+D95-D96-D93)</f>
        <v>1098699.9626958282</v>
      </c>
      <c r="E98" s="180">
        <f t="shared" si="59"/>
        <v>1854693.783659522</v>
      </c>
      <c r="F98" s="180">
        <f t="shared" si="59"/>
        <v>2402462.5320807076</v>
      </c>
      <c r="G98" s="180">
        <f t="shared" si="59"/>
        <v>2865778.93775495</v>
      </c>
      <c r="H98" s="180">
        <f t="shared" si="59"/>
        <v>3258619.1885080324</v>
      </c>
      <c r="I98" s="180">
        <f t="shared" si="59"/>
        <v>3599568.9412166476</v>
      </c>
      <c r="J98" s="180">
        <f t="shared" si="59"/>
        <v>3142891.4838570738</v>
      </c>
      <c r="K98" s="180">
        <f t="shared" si="59"/>
        <v>2698147.2678423016</v>
      </c>
      <c r="L98" s="180">
        <f t="shared" si="59"/>
        <v>2237419.3408199446</v>
      </c>
      <c r="M98" s="180">
        <f t="shared" si="59"/>
        <v>1761125.3662370699</v>
      </c>
      <c r="N98" s="180">
        <f t="shared" si="59"/>
        <v>1268705.9142084136</v>
      </c>
      <c r="O98" s="180">
        <f t="shared" si="59"/>
        <v>759616.17306935578</v>
      </c>
      <c r="P98" s="180">
        <f t="shared" si="59"/>
        <v>269375.58483451814</v>
      </c>
    </row>
    <row r="99" spans="1:19" s="96" customFormat="1" ht="22.5" x14ac:dyDescent="0.2">
      <c r="A99" s="64">
        <v>34</v>
      </c>
      <c r="B99" s="65" t="s">
        <v>11</v>
      </c>
      <c r="C99" s="199">
        <f>+'[4]+А,С,Н'!$M$23</f>
        <v>15308.025010000001</v>
      </c>
      <c r="D99" s="181">
        <f>+D98*2.2%</f>
        <v>24171.39917930822</v>
      </c>
      <c r="E99" s="181">
        <f t="shared" ref="E99:P99" si="60">+E98*2.2%</f>
        <v>40803.263240509485</v>
      </c>
      <c r="F99" s="181">
        <f t="shared" si="60"/>
        <v>52854.175705775575</v>
      </c>
      <c r="G99" s="181">
        <f t="shared" si="60"/>
        <v>63047.136630608904</v>
      </c>
      <c r="H99" s="181">
        <f t="shared" si="60"/>
        <v>71689.62214717672</v>
      </c>
      <c r="I99" s="181">
        <f t="shared" si="60"/>
        <v>79190.516706766255</v>
      </c>
      <c r="J99" s="181">
        <f t="shared" si="60"/>
        <v>69143.612644855632</v>
      </c>
      <c r="K99" s="181">
        <f t="shared" si="60"/>
        <v>59359.239892530641</v>
      </c>
      <c r="L99" s="181">
        <f t="shared" si="60"/>
        <v>49223.225498038788</v>
      </c>
      <c r="M99" s="181">
        <f t="shared" si="60"/>
        <v>38744.758057215542</v>
      </c>
      <c r="N99" s="160">
        <f t="shared" si="60"/>
        <v>27911.5301125851</v>
      </c>
      <c r="O99" s="160">
        <f t="shared" si="60"/>
        <v>16711.55580752583</v>
      </c>
      <c r="P99" s="160">
        <f t="shared" si="60"/>
        <v>5926.2628663593996</v>
      </c>
    </row>
    <row r="100" spans="1:19" s="96" customFormat="1" x14ac:dyDescent="0.2">
      <c r="A100" s="64">
        <v>35</v>
      </c>
      <c r="B100" s="65" t="s">
        <v>43</v>
      </c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449"/>
      <c r="O100" s="449"/>
      <c r="P100" s="449"/>
    </row>
    <row r="101" spans="1:19" s="96" customFormat="1" x14ac:dyDescent="0.2">
      <c r="A101" s="64">
        <v>36</v>
      </c>
      <c r="B101" s="65" t="s">
        <v>44</v>
      </c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449"/>
      <c r="O101" s="449"/>
      <c r="P101" s="449"/>
    </row>
    <row r="102" spans="1:19" s="96" customFormat="1" x14ac:dyDescent="0.2">
      <c r="A102" s="64">
        <v>37</v>
      </c>
      <c r="B102" s="65" t="s">
        <v>45</v>
      </c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449"/>
      <c r="O102" s="449"/>
      <c r="P102" s="449"/>
    </row>
    <row r="103" spans="1:19" s="96" customFormat="1" x14ac:dyDescent="0.2">
      <c r="A103" s="64">
        <v>38</v>
      </c>
      <c r="B103" s="129" t="s">
        <v>46</v>
      </c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</row>
    <row r="104" spans="1:19" s="96" customFormat="1" x14ac:dyDescent="0.2">
      <c r="A104" s="64">
        <v>39</v>
      </c>
      <c r="B104" s="129" t="s">
        <v>360</v>
      </c>
      <c r="C104" s="182">
        <f>C93+C99+C103</f>
        <v>176272.99043289231</v>
      </c>
      <c r="D104" s="182">
        <f>D93+D99+D103</f>
        <v>211096.94036017725</v>
      </c>
      <c r="E104" s="182">
        <f t="shared" ref="E104:P104" si="61">E93+E99+E103</f>
        <v>250004.60442137852</v>
      </c>
      <c r="F104" s="182">
        <f t="shared" si="61"/>
        <v>358575.03310110088</v>
      </c>
      <c r="G104" s="182">
        <f t="shared" si="61"/>
        <v>454116.95460758533</v>
      </c>
      <c r="H104" s="182">
        <f t="shared" si="61"/>
        <v>548198.06248927501</v>
      </c>
      <c r="I104" s="182">
        <f t="shared" si="61"/>
        <v>642633.82615838258</v>
      </c>
      <c r="J104" s="182">
        <f t="shared" si="61"/>
        <v>723026.22831249516</v>
      </c>
      <c r="K104" s="182">
        <f t="shared" si="61"/>
        <v>732962.37139097671</v>
      </c>
      <c r="L104" s="182">
        <f t="shared" si="61"/>
        <v>745712.24854485225</v>
      </c>
      <c r="M104" s="182">
        <f t="shared" si="61"/>
        <v>758809.89070647466</v>
      </c>
      <c r="N104" s="182">
        <f t="shared" si="61"/>
        <v>772353.77856848261</v>
      </c>
      <c r="O104" s="182">
        <f t="shared" si="61"/>
        <v>786356.08390614751</v>
      </c>
      <c r="P104" s="182">
        <f t="shared" si="61"/>
        <v>765542.43593571521</v>
      </c>
    </row>
    <row r="105" spans="1:19" s="96" customFormat="1" x14ac:dyDescent="0.2">
      <c r="A105" s="64">
        <v>40</v>
      </c>
      <c r="B105" s="129" t="s">
        <v>13</v>
      </c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  <c r="P105" s="172"/>
    </row>
    <row r="106" spans="1:19" s="96" customFormat="1" x14ac:dyDescent="0.2">
      <c r="A106" s="64"/>
      <c r="B106" s="168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</row>
    <row r="107" spans="1:19" s="18" customFormat="1" ht="12.75" customHeight="1" x14ac:dyDescent="0.2">
      <c r="A107" s="941" t="s">
        <v>386</v>
      </c>
      <c r="B107" s="942"/>
      <c r="C107" s="48"/>
      <c r="D107" s="28"/>
      <c r="E107" s="28"/>
      <c r="F107" s="28"/>
      <c r="G107" s="26"/>
      <c r="H107" s="26"/>
      <c r="I107" s="28"/>
      <c r="J107" s="28"/>
      <c r="K107" s="28"/>
      <c r="L107" s="28"/>
      <c r="M107" s="28"/>
      <c r="N107" s="28"/>
      <c r="O107" s="28"/>
      <c r="P107" s="28"/>
      <c r="Q107" s="17"/>
      <c r="R107" s="17"/>
      <c r="S107" s="17"/>
    </row>
    <row r="108" spans="1:19" s="139" customFormat="1" x14ac:dyDescent="0.2">
      <c r="A108" s="64">
        <v>43</v>
      </c>
      <c r="B108" s="168" t="s">
        <v>361</v>
      </c>
      <c r="C108" s="189">
        <f>SUM(C109:C110)</f>
        <v>384236.71169274714</v>
      </c>
      <c r="D108" s="189">
        <f>SUM(D109:D110)</f>
        <v>384784.40822780156</v>
      </c>
      <c r="E108" s="189">
        <f t="shared" ref="E108:P108" si="62">SUM(E109:E110)</f>
        <v>435631.17841252097</v>
      </c>
      <c r="F108" s="189">
        <f t="shared" si="62"/>
        <v>667042.22312761517</v>
      </c>
      <c r="G108" s="189">
        <f t="shared" si="62"/>
        <v>975265.0568712377</v>
      </c>
      <c r="H108" s="189">
        <f t="shared" si="62"/>
        <v>1252996.6199342548</v>
      </c>
      <c r="I108" s="189">
        <f t="shared" si="62"/>
        <v>1560200.4158853786</v>
      </c>
      <c r="J108" s="189">
        <f t="shared" si="62"/>
        <v>1769225.8100188461</v>
      </c>
      <c r="K108" s="189">
        <f t="shared" si="62"/>
        <v>1829949.1420829191</v>
      </c>
      <c r="L108" s="189">
        <f t="shared" si="62"/>
        <v>1891751.1001758361</v>
      </c>
      <c r="M108" s="189">
        <f t="shared" si="62"/>
        <v>1922101.9561335766</v>
      </c>
      <c r="N108" s="189">
        <f t="shared" si="62"/>
        <v>1952649.6986827271</v>
      </c>
      <c r="O108" s="189">
        <f t="shared" si="62"/>
        <v>2001717.3416139935</v>
      </c>
      <c r="P108" s="189">
        <f t="shared" si="62"/>
        <v>2070432.3152907998</v>
      </c>
      <c r="Q108" s="96"/>
      <c r="R108" s="96"/>
      <c r="S108" s="96"/>
    </row>
    <row r="109" spans="1:19" s="139" customFormat="1" x14ac:dyDescent="0.2">
      <c r="A109" s="64"/>
      <c r="B109" s="149" t="s">
        <v>36</v>
      </c>
      <c r="C109" s="319">
        <f>+C33*C61-'ТЭЦ-1'!C140-'ТЭЦ-3'!C138-'ТЭЦ-4'!C144-Кот.!C262</f>
        <v>279983.72387274716</v>
      </c>
      <c r="D109" s="319">
        <f>+D33*D61-'ТЭЦ-1'!D140-'ТЭЦ-3'!D138-'ТЭЦ-4'!D144-Кот.!D262</f>
        <v>279408.40569376457</v>
      </c>
      <c r="E109" s="319">
        <f>+E33*E61-'ТЭЦ-1'!E140-'ТЭЦ-3'!E138-'ТЭЦ-4'!E144-Кот.!E262</f>
        <v>326040.13577712246</v>
      </c>
      <c r="F109" s="319">
        <f>+F33*F61-'ТЭЦ-1'!F140-'ТЭЦ-3'!F138-'ТЭЦ-4'!F144-Кот.!F262</f>
        <v>553067.53878680069</v>
      </c>
      <c r="G109" s="319">
        <f>+G33*G61-'ТЭЦ-1'!G140-'ТЭЦ-3'!G138-'ТЭЦ-4'!G144-Кот.!G262</f>
        <v>859712.25768135511</v>
      </c>
      <c r="H109" s="319">
        <f>+H33*H61-'ТЭЦ-1'!H140-'ТЭЦ-3'!H138-'ТЭЦ-4'!H144-Кот.!H262</f>
        <v>1137471.921852031</v>
      </c>
      <c r="I109" s="319">
        <f>+I33*I61-'ТЭЦ-1'!I140-'ТЭЦ-3'!I138-'ТЭЦ-4'!I144-Кот.!I262</f>
        <v>1440054.7298798659</v>
      </c>
      <c r="J109" s="319">
        <f>+J33*J61-'ТЭЦ-1'!J140-'ТЭЦ-3'!J138-'ТЭЦ-4'!J144-Кот.!J262</f>
        <v>1644274.2965731127</v>
      </c>
      <c r="K109" s="319">
        <f>+K33*K61-'ТЭЦ-1'!K140-'ТЭЦ-3'!K138-'ТЭЦ-4'!K144-Кот.!K262</f>
        <v>1700000.4529958377</v>
      </c>
      <c r="L109" s="319">
        <f>+L33*L61-'ТЭЦ-1'!L140-'ТЭЦ-3'!L138-'ТЭЦ-4'!L144-Кот.!L262</f>
        <v>1756604.4635252713</v>
      </c>
      <c r="M109" s="319">
        <f>+M33*M61-'ТЭЦ-1'!M140-'ТЭЦ-3'!M138-'ТЭЦ-4'!M144-Кот.!M262</f>
        <v>1781549.4540169893</v>
      </c>
      <c r="N109" s="319">
        <f>+N33*N61-'ТЭЦ-1'!N140-'ТЭЦ-3'!N138-'ТЭЦ-4'!N144-Кот.!N262</f>
        <v>1806475.0964814762</v>
      </c>
      <c r="O109" s="319">
        <f>+O33*O61-'ТЭЦ-1'!O140-'ТЭЦ-3'!O138-'ТЭЦ-4'!O144-Кот.!O262</f>
        <v>1849695.7553246927</v>
      </c>
      <c r="P109" s="319">
        <f>+P33*P61-'ТЭЦ-1'!P140-'ТЭЦ-3'!P138-'ТЭЦ-4'!P144-Кот.!P262</f>
        <v>1912329.8655499269</v>
      </c>
      <c r="Q109" s="96"/>
      <c r="R109" s="96"/>
      <c r="S109" s="96"/>
    </row>
    <row r="110" spans="1:19" s="139" customFormat="1" ht="22.5" x14ac:dyDescent="0.2">
      <c r="A110" s="64"/>
      <c r="B110" s="149" t="s">
        <v>431</v>
      </c>
      <c r="C110" s="160">
        <f t="shared" ref="C110:P110" si="63">+C133+C54*C63</f>
        <v>104252.98781999998</v>
      </c>
      <c r="D110" s="160">
        <f t="shared" si="63"/>
        <v>105376.00253403702</v>
      </c>
      <c r="E110" s="160">
        <f t="shared" si="63"/>
        <v>109591.04263539851</v>
      </c>
      <c r="F110" s="160">
        <f t="shared" si="63"/>
        <v>113974.68434081445</v>
      </c>
      <c r="G110" s="160">
        <f t="shared" si="63"/>
        <v>115552.79918988256</v>
      </c>
      <c r="H110" s="160">
        <f t="shared" si="63"/>
        <v>115524.69808222383</v>
      </c>
      <c r="I110" s="160">
        <f t="shared" si="63"/>
        <v>120145.68600551278</v>
      </c>
      <c r="J110" s="160">
        <f t="shared" si="63"/>
        <v>124951.51344573328</v>
      </c>
      <c r="K110" s="160">
        <f t="shared" si="63"/>
        <v>129948.6890870815</v>
      </c>
      <c r="L110" s="160">
        <f t="shared" si="63"/>
        <v>135146.63665056473</v>
      </c>
      <c r="M110" s="160">
        <f t="shared" si="63"/>
        <v>140552.50211658736</v>
      </c>
      <c r="N110" s="160">
        <f t="shared" si="63"/>
        <v>146174.60220125085</v>
      </c>
      <c r="O110" s="160">
        <f t="shared" si="63"/>
        <v>152021.58628930087</v>
      </c>
      <c r="P110" s="160">
        <f t="shared" si="63"/>
        <v>158102.44974087292</v>
      </c>
      <c r="Q110" s="96"/>
      <c r="R110" s="96"/>
      <c r="S110" s="96"/>
    </row>
    <row r="111" spans="1:19" s="139" customFormat="1" x14ac:dyDescent="0.2">
      <c r="A111" s="64"/>
      <c r="B111" s="149"/>
      <c r="C111" s="187"/>
      <c r="D111" s="258"/>
      <c r="E111" s="186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96"/>
      <c r="R111" s="96"/>
      <c r="S111" s="96"/>
    </row>
    <row r="112" spans="1:19" s="139" customFormat="1" ht="22.5" x14ac:dyDescent="0.2">
      <c r="A112" s="64">
        <v>44</v>
      </c>
      <c r="B112" s="168" t="s">
        <v>397</v>
      </c>
      <c r="C112" s="193">
        <f>+C113+C121+C130</f>
        <v>1024548.27462295</v>
      </c>
      <c r="D112" s="193">
        <f t="shared" ref="D112:P112" si="64">+D113+D121+D130</f>
        <v>1110796.2222909974</v>
      </c>
      <c r="E112" s="193">
        <f t="shared" si="64"/>
        <v>1083599.3716652745</v>
      </c>
      <c r="F112" s="193">
        <f t="shared" si="64"/>
        <v>1198751.5672078275</v>
      </c>
      <c r="G112" s="193">
        <f t="shared" si="64"/>
        <v>1290495.4956107931</v>
      </c>
      <c r="H112" s="193">
        <f t="shared" si="64"/>
        <v>1379879.4117383272</v>
      </c>
      <c r="I112" s="193">
        <f t="shared" si="64"/>
        <v>1476781.6397203142</v>
      </c>
      <c r="J112" s="193">
        <f t="shared" si="64"/>
        <v>1552635.9526530295</v>
      </c>
      <c r="K112" s="193">
        <f t="shared" si="64"/>
        <v>1592944.3822570581</v>
      </c>
      <c r="L112" s="193">
        <f t="shared" si="64"/>
        <v>1637263.4442075428</v>
      </c>
      <c r="M112" s="193">
        <f t="shared" si="64"/>
        <v>1683173.5941286043</v>
      </c>
      <c r="N112" s="193">
        <f t="shared" si="64"/>
        <v>1730822.4622985239</v>
      </c>
      <c r="O112" s="193">
        <f t="shared" si="64"/>
        <v>1780315.667976846</v>
      </c>
      <c r="P112" s="193">
        <f t="shared" si="64"/>
        <v>1796432.8113349797</v>
      </c>
      <c r="Q112" s="96"/>
      <c r="R112" s="96"/>
      <c r="S112" s="96"/>
    </row>
    <row r="113" spans="1:19" s="18" customFormat="1" x14ac:dyDescent="0.2">
      <c r="A113" s="56" t="s">
        <v>156</v>
      </c>
      <c r="B113" s="6" t="s">
        <v>157</v>
      </c>
      <c r="C113" s="193">
        <f>SUM(C114:C120)</f>
        <v>434923.55760100565</v>
      </c>
      <c r="D113" s="193">
        <f t="shared" ref="D113:P113" si="65">SUM(D114:D120)</f>
        <v>466260.37935516913</v>
      </c>
      <c r="E113" s="193">
        <f t="shared" si="65"/>
        <v>384407.44021149084</v>
      </c>
      <c r="F113" s="193">
        <f t="shared" si="65"/>
        <v>399783.73781995045</v>
      </c>
      <c r="G113" s="193">
        <f t="shared" si="65"/>
        <v>415775.08733274846</v>
      </c>
      <c r="H113" s="193">
        <f t="shared" si="65"/>
        <v>432406.09082605841</v>
      </c>
      <c r="I113" s="193">
        <f t="shared" si="65"/>
        <v>449702.33445910085</v>
      </c>
      <c r="J113" s="193">
        <f t="shared" si="65"/>
        <v>467690.42783746478</v>
      </c>
      <c r="K113" s="193">
        <f t="shared" si="65"/>
        <v>486398.04495096346</v>
      </c>
      <c r="L113" s="193">
        <f t="shared" si="65"/>
        <v>505853.96674900211</v>
      </c>
      <c r="M113" s="193">
        <f t="shared" si="65"/>
        <v>526088.1254189621</v>
      </c>
      <c r="N113" s="193">
        <f t="shared" si="65"/>
        <v>547131.65043572069</v>
      </c>
      <c r="O113" s="193">
        <f t="shared" si="65"/>
        <v>569016.91645314952</v>
      </c>
      <c r="P113" s="193">
        <f t="shared" si="65"/>
        <v>591777.5931112757</v>
      </c>
      <c r="Q113" s="17"/>
      <c r="R113" s="96"/>
      <c r="S113" s="96"/>
    </row>
    <row r="114" spans="1:19" ht="12" thickBot="1" x14ac:dyDescent="0.25">
      <c r="A114" s="2"/>
      <c r="B114" s="259" t="s">
        <v>196</v>
      </c>
      <c r="C114" s="194">
        <f>+'[4]5.1.Оп_i0'!$D$5</f>
        <v>22232.907639999998</v>
      </c>
      <c r="D114" s="194">
        <f>+'[4]5.1.Оп_i0'!$F$5</f>
        <v>23065.887599524078</v>
      </c>
      <c r="E114" s="616">
        <f>+'[4]5.1.Оп_i0'!$H$5</f>
        <v>23989.827726286683</v>
      </c>
      <c r="F114" s="160">
        <f t="shared" ref="F114:J115" si="66">+E114*(E$65)</f>
        <v>24949.420835338151</v>
      </c>
      <c r="G114" s="160">
        <f t="shared" si="66"/>
        <v>25947.397668751677</v>
      </c>
      <c r="H114" s="160">
        <f t="shared" si="66"/>
        <v>26985.293575501746</v>
      </c>
      <c r="I114" s="160">
        <f t="shared" si="66"/>
        <v>28064.705318521817</v>
      </c>
      <c r="J114" s="160">
        <f t="shared" si="66"/>
        <v>29187.293531262691</v>
      </c>
      <c r="K114" s="160">
        <f t="shared" ref="K114:P114" si="67">+J114*(J$65)</f>
        <v>30354.7852725132</v>
      </c>
      <c r="L114" s="160">
        <f t="shared" si="67"/>
        <v>31568.97668341373</v>
      </c>
      <c r="M114" s="160">
        <f t="shared" si="67"/>
        <v>32831.735750750282</v>
      </c>
      <c r="N114" s="160">
        <f t="shared" si="67"/>
        <v>34145.005180780296</v>
      </c>
      <c r="O114" s="160">
        <f t="shared" si="67"/>
        <v>35510.805388011511</v>
      </c>
      <c r="P114" s="160">
        <f t="shared" si="67"/>
        <v>36931.237603531976</v>
      </c>
      <c r="R114" s="96"/>
      <c r="S114" s="96"/>
    </row>
    <row r="115" spans="1:19" s="232" customFormat="1" ht="12" thickBot="1" x14ac:dyDescent="0.25">
      <c r="A115" s="2"/>
      <c r="B115" s="191" t="s">
        <v>363</v>
      </c>
      <c r="C115" s="874">
        <f>+'[4]5.1.Оп_i0'!$D$6</f>
        <v>120872.61093</v>
      </c>
      <c r="D115" s="615">
        <f>+[9]ГОД!$AL$51+[9]ГОД!$AL$64+[9]ГОД!$AL$65</f>
        <v>143174</v>
      </c>
      <c r="E115" s="618">
        <f>+D115*(D$65)*(1-R115)</f>
        <v>44670.288000000008</v>
      </c>
      <c r="F115" s="181">
        <f t="shared" si="66"/>
        <v>46457.099520000011</v>
      </c>
      <c r="G115" s="160">
        <f t="shared" si="66"/>
        <v>48315.38350080001</v>
      </c>
      <c r="H115" s="160">
        <f t="shared" si="66"/>
        <v>50247.998840832013</v>
      </c>
      <c r="I115" s="160">
        <f t="shared" si="66"/>
        <v>52257.918794465295</v>
      </c>
      <c r="J115" s="160">
        <f t="shared" si="66"/>
        <v>54348.235546243908</v>
      </c>
      <c r="K115" s="160">
        <f t="shared" ref="K115:P115" si="68">+J115*(J$65)</f>
        <v>56522.164968093668</v>
      </c>
      <c r="L115" s="160">
        <f t="shared" si="68"/>
        <v>58783.051566817419</v>
      </c>
      <c r="M115" s="160">
        <f t="shared" si="68"/>
        <v>61134.373629490117</v>
      </c>
      <c r="N115" s="160">
        <f t="shared" si="68"/>
        <v>63579.748574669728</v>
      </c>
      <c r="O115" s="160">
        <f t="shared" si="68"/>
        <v>66122.938517656512</v>
      </c>
      <c r="P115" s="160">
        <f t="shared" si="68"/>
        <v>68767.85605836277</v>
      </c>
      <c r="Q115" s="11"/>
      <c r="R115" s="517">
        <v>0.7</v>
      </c>
      <c r="S115" s="96" t="s">
        <v>434</v>
      </c>
    </row>
    <row r="116" spans="1:19" x14ac:dyDescent="0.2">
      <c r="A116" s="2"/>
      <c r="B116" s="191" t="s">
        <v>197</v>
      </c>
      <c r="C116" s="874">
        <f>+'[4]5.1.Оп_i0'!$D$7</f>
        <v>240840.377199418</v>
      </c>
      <c r="D116" s="194">
        <f>+'[4]5.1.Оп_i0'!$F$7</f>
        <v>269615.66695784515</v>
      </c>
      <c r="E116" s="617">
        <f>+'[4]5.1.Оп_i0'!$H$7</f>
        <v>283571.28127819486</v>
      </c>
      <c r="F116" s="160">
        <f t="shared" ref="F116:P122" si="69">+E116*(E$65)</f>
        <v>294914.13252932264</v>
      </c>
      <c r="G116" s="160">
        <f t="shared" ref="G116:H116" si="70">+F116*(F$65)</f>
        <v>306710.69783049554</v>
      </c>
      <c r="H116" s="160">
        <f t="shared" si="70"/>
        <v>318979.12574371538</v>
      </c>
      <c r="I116" s="160">
        <f t="shared" ref="I116:L116" si="71">+H116*(H$65)</f>
        <v>331738.29077346402</v>
      </c>
      <c r="J116" s="160">
        <f t="shared" si="71"/>
        <v>345007.8224044026</v>
      </c>
      <c r="K116" s="160">
        <f t="shared" si="71"/>
        <v>358808.13530057872</v>
      </c>
      <c r="L116" s="160">
        <f t="shared" si="71"/>
        <v>373160.4607126019</v>
      </c>
      <c r="M116" s="160">
        <f t="shared" ref="M116:P116" si="72">+L116*(L$65)</f>
        <v>388086.87914110598</v>
      </c>
      <c r="N116" s="160">
        <f t="shared" si="72"/>
        <v>403610.35430675023</v>
      </c>
      <c r="O116" s="160">
        <f t="shared" si="72"/>
        <v>419754.76847902028</v>
      </c>
      <c r="P116" s="160">
        <f t="shared" si="72"/>
        <v>436544.95921818109</v>
      </c>
      <c r="R116" s="96"/>
      <c r="S116" s="96"/>
    </row>
    <row r="117" spans="1:19" ht="22.5" x14ac:dyDescent="0.2">
      <c r="A117" s="2"/>
      <c r="B117" s="259" t="s">
        <v>198</v>
      </c>
      <c r="C117" s="194">
        <f>+'[4]5.1.Оп_i0'!$D$8</f>
        <v>3326.9815700000008</v>
      </c>
      <c r="D117" s="194">
        <f>+'[4]5.1.Оп_i0'!$F$8</f>
        <v>3451.6305371251997</v>
      </c>
      <c r="E117" s="194">
        <f>+'[4]5.1.Оп_i0'!$H$8</f>
        <v>3589.8909852544512</v>
      </c>
      <c r="F117" s="160">
        <f t="shared" si="69"/>
        <v>3733.4866246646293</v>
      </c>
      <c r="G117" s="160">
        <f t="shared" ref="G117:H117" si="73">+F117*(F$65)</f>
        <v>3882.8260896512147</v>
      </c>
      <c r="H117" s="160">
        <f t="shared" si="73"/>
        <v>4038.1391332372636</v>
      </c>
      <c r="I117" s="160">
        <f t="shared" ref="I117:L117" si="74">+H117*(H$65)</f>
        <v>4199.6646985667539</v>
      </c>
      <c r="J117" s="160">
        <f t="shared" si="74"/>
        <v>4367.6512865094246</v>
      </c>
      <c r="K117" s="160">
        <f t="shared" si="74"/>
        <v>4542.3573379698018</v>
      </c>
      <c r="L117" s="160">
        <f t="shared" si="74"/>
        <v>4724.0516314885945</v>
      </c>
      <c r="M117" s="160">
        <f t="shared" ref="M117:P117" si="75">+L117*(L$65)</f>
        <v>4913.0136967481385</v>
      </c>
      <c r="N117" s="160">
        <f t="shared" si="75"/>
        <v>5109.5342446180639</v>
      </c>
      <c r="O117" s="160">
        <f t="shared" si="75"/>
        <v>5313.9156144027866</v>
      </c>
      <c r="P117" s="160">
        <f t="shared" si="75"/>
        <v>5526.4722389788985</v>
      </c>
      <c r="R117" s="96"/>
      <c r="S117" s="96"/>
    </row>
    <row r="118" spans="1:19" ht="22.5" x14ac:dyDescent="0.2">
      <c r="A118" s="2"/>
      <c r="B118" s="259" t="s">
        <v>199</v>
      </c>
      <c r="C118" s="194">
        <f>+'[4]5.1.Оп_i0'!$D$9</f>
        <v>7366.5947940719352</v>
      </c>
      <c r="D118" s="194">
        <f>+'[4]5.1.Оп_i0'!$F$9</f>
        <v>5984.1152569448268</v>
      </c>
      <c r="E118" s="194">
        <f>+'[4]5.1.Оп_i0'!$H$9</f>
        <v>6223.8183329789663</v>
      </c>
      <c r="F118" s="160">
        <f t="shared" si="69"/>
        <v>6472.7710662981253</v>
      </c>
      <c r="G118" s="160">
        <f t="shared" ref="G118:H118" si="76">+F118*(F$65)</f>
        <v>6731.6819089500505</v>
      </c>
      <c r="H118" s="160">
        <f t="shared" si="76"/>
        <v>7000.9491853080526</v>
      </c>
      <c r="I118" s="160">
        <f t="shared" ref="I118:L118" si="77">+H118*(H$65)</f>
        <v>7280.987152720375</v>
      </c>
      <c r="J118" s="160">
        <f t="shared" si="77"/>
        <v>7572.2266388291901</v>
      </c>
      <c r="K118" s="160">
        <f t="shared" si="77"/>
        <v>7875.1157043823578</v>
      </c>
      <c r="L118" s="160">
        <f t="shared" si="77"/>
        <v>8190.1203325576525</v>
      </c>
      <c r="M118" s="160">
        <f t="shared" ref="M118:P118" si="78">+L118*(L$65)</f>
        <v>8517.7251458599585</v>
      </c>
      <c r="N118" s="160">
        <f t="shared" si="78"/>
        <v>8858.4341516943568</v>
      </c>
      <c r="O118" s="160">
        <f t="shared" si="78"/>
        <v>9212.7715177621321</v>
      </c>
      <c r="P118" s="160">
        <f t="shared" si="78"/>
        <v>9581.282378472617</v>
      </c>
      <c r="R118" s="96"/>
      <c r="S118" s="96"/>
    </row>
    <row r="119" spans="1:19" x14ac:dyDescent="0.2">
      <c r="A119" s="2"/>
      <c r="B119" s="191" t="str">
        <f>+'[14]5.1.Опер_i0'!$B$19</f>
        <v>Арендная плата</v>
      </c>
      <c r="C119" s="194">
        <f>+'[4]5.1.Оп_i0'!$D$19</f>
        <v>13041.821470000001</v>
      </c>
      <c r="D119" s="194">
        <f>+'[4]5.1.Оп_i0'!$F$19</f>
        <v>9752.2539341360789</v>
      </c>
      <c r="E119" s="194">
        <f>+'[4]5.1.Оп_i0'!$H$19</f>
        <v>9752.2539341360789</v>
      </c>
      <c r="F119" s="160">
        <f t="shared" si="69"/>
        <v>10142.344091501522</v>
      </c>
      <c r="G119" s="160">
        <f t="shared" ref="G119:H119" si="79">+F119*(F$65)</f>
        <v>10548.037855161583</v>
      </c>
      <c r="H119" s="160">
        <f t="shared" si="79"/>
        <v>10969.959369368047</v>
      </c>
      <c r="I119" s="160">
        <f t="shared" ref="I119:L119" si="80">+H119*(H$65)</f>
        <v>11408.757744142769</v>
      </c>
      <c r="J119" s="160">
        <f t="shared" si="80"/>
        <v>11865.10805390848</v>
      </c>
      <c r="K119" s="160">
        <f t="shared" si="80"/>
        <v>12339.712376064819</v>
      </c>
      <c r="L119" s="160">
        <f t="shared" si="80"/>
        <v>12833.300871107413</v>
      </c>
      <c r="M119" s="160">
        <f t="shared" ref="M119:P119" si="81">+L119*(L$65)</f>
        <v>13346.63290595171</v>
      </c>
      <c r="N119" s="160">
        <f t="shared" si="81"/>
        <v>13880.498222189779</v>
      </c>
      <c r="O119" s="160">
        <f t="shared" si="81"/>
        <v>14435.71815107737</v>
      </c>
      <c r="P119" s="160">
        <f t="shared" si="81"/>
        <v>15013.146877120465</v>
      </c>
    </row>
    <row r="120" spans="1:19" x14ac:dyDescent="0.2">
      <c r="A120" s="2"/>
      <c r="B120" s="44" t="s">
        <v>126</v>
      </c>
      <c r="C120" s="194">
        <f>+'[4]5.1.Оп_i0'!$D$10+'[4]5.1.Оп_i0'!$D$11+'[4]5.1.Оп_i0'!$D$12+'[4]5.1.Оп_i0'!$D$13+'[4]5.1.Оп_i0'!$D$20</f>
        <v>27242.263997515733</v>
      </c>
      <c r="D120" s="194">
        <f>+'[4]5.1.Оп_i0'!$F$10+'[4]5.1.Оп_i0'!$F$11+'[4]5.1.Оп_i0'!$F$12+'[4]5.1.Оп_i0'!$F$13+'[4]5.1.Оп_i0'!$F$20</f>
        <v>11216.825069593793</v>
      </c>
      <c r="E120" s="194">
        <f>+'[4]5.1.Оп_i0'!$H$10+'[4]5.1.Оп_i0'!$H$11+'[4]5.1.Оп_i0'!$H$12+'[4]5.1.Оп_i0'!$H$13+'[4]5.1.Оп_i0'!$H$20</f>
        <v>12610.079954639808</v>
      </c>
      <c r="F120" s="160">
        <f t="shared" si="69"/>
        <v>13114.483152825402</v>
      </c>
      <c r="G120" s="160">
        <f t="shared" ref="G120:H120" si="82">+F120*(F$65)</f>
        <v>13639.062478938418</v>
      </c>
      <c r="H120" s="160">
        <f t="shared" si="82"/>
        <v>14184.624978095955</v>
      </c>
      <c r="I120" s="160">
        <f t="shared" ref="I120:L120" si="83">+H120*(H$65)</f>
        <v>14752.009977219794</v>
      </c>
      <c r="J120" s="160">
        <f t="shared" si="83"/>
        <v>15342.090376308586</v>
      </c>
      <c r="K120" s="160">
        <f t="shared" si="83"/>
        <v>15955.773991360929</v>
      </c>
      <c r="L120" s="160">
        <f t="shared" si="83"/>
        <v>16594.004951015366</v>
      </c>
      <c r="M120" s="160">
        <f t="shared" ref="M120:P120" si="84">+L120*(L$65)</f>
        <v>17257.76514905598</v>
      </c>
      <c r="N120" s="160">
        <f t="shared" si="84"/>
        <v>17948.075755018221</v>
      </c>
      <c r="O120" s="160">
        <f t="shared" si="84"/>
        <v>18665.998785218952</v>
      </c>
      <c r="P120" s="160">
        <f t="shared" si="84"/>
        <v>19412.638736627709</v>
      </c>
    </row>
    <row r="121" spans="1:19" s="18" customFormat="1" x14ac:dyDescent="0.2">
      <c r="A121" s="56" t="s">
        <v>158</v>
      </c>
      <c r="B121" s="6" t="s">
        <v>159</v>
      </c>
      <c r="C121" s="193">
        <f>SUM(C122:C129)</f>
        <v>309254.00140274782</v>
      </c>
      <c r="D121" s="193">
        <f t="shared" ref="D121:P121" si="85">SUM(D122:D129)</f>
        <v>354454.48655586765</v>
      </c>
      <c r="E121" s="193">
        <f t="shared" si="85"/>
        <v>397919.0349567784</v>
      </c>
      <c r="F121" s="193">
        <f t="shared" si="85"/>
        <v>510393.4905151226</v>
      </c>
      <c r="G121" s="193">
        <f t="shared" si="85"/>
        <v>609995.59997537371</v>
      </c>
      <c r="H121" s="193">
        <f t="shared" si="85"/>
        <v>708299.30332898081</v>
      </c>
      <c r="I121" s="193">
        <f t="shared" si="85"/>
        <v>807126.5662888824</v>
      </c>
      <c r="J121" s="193">
        <f t="shared" si="85"/>
        <v>892086.12770542083</v>
      </c>
      <c r="K121" s="193">
        <f t="shared" si="85"/>
        <v>906772.11641682521</v>
      </c>
      <c r="L121" s="193">
        <f t="shared" si="85"/>
        <v>924461.83302894048</v>
      </c>
      <c r="M121" s="193">
        <f t="shared" si="85"/>
        <v>942696.90822713228</v>
      </c>
      <c r="N121" s="193">
        <f t="shared" si="85"/>
        <v>961583.72644717246</v>
      </c>
      <c r="O121" s="193">
        <f t="shared" si="85"/>
        <v>981142.67935719073</v>
      </c>
      <c r="P121" s="193">
        <f t="shared" si="85"/>
        <v>966107.944862006</v>
      </c>
      <c r="Q121" s="17"/>
      <c r="R121" s="17"/>
      <c r="S121" s="17"/>
    </row>
    <row r="122" spans="1:19" ht="22.5" x14ac:dyDescent="0.2">
      <c r="A122" s="2"/>
      <c r="B122" s="261" t="s">
        <v>202</v>
      </c>
      <c r="C122" s="194">
        <f>+'[4]5.3.Нк'!$C$27</f>
        <v>407.88092</v>
      </c>
      <c r="D122" s="159">
        <f>+'[4]5.3.Нк'!$D$27</f>
        <v>8644.3848430940452</v>
      </c>
      <c r="E122" s="159">
        <f>+'[4]5.3.Нк'!$F$27</f>
        <v>8832.6598679451326</v>
      </c>
      <c r="F122" s="160">
        <f t="shared" si="69"/>
        <v>9185.9662626629379</v>
      </c>
      <c r="G122" s="160">
        <f t="shared" si="69"/>
        <v>9553.4049131694555</v>
      </c>
      <c r="H122" s="160">
        <f t="shared" si="69"/>
        <v>9935.5411096962343</v>
      </c>
      <c r="I122" s="160">
        <f t="shared" si="69"/>
        <v>10332.962754084085</v>
      </c>
      <c r="J122" s="160">
        <f t="shared" si="69"/>
        <v>10746.281264247449</v>
      </c>
      <c r="K122" s="160">
        <f t="shared" si="69"/>
        <v>11176.132514817347</v>
      </c>
      <c r="L122" s="160">
        <f t="shared" si="69"/>
        <v>11623.177815410041</v>
      </c>
      <c r="M122" s="160">
        <f t="shared" si="69"/>
        <v>12088.104928026443</v>
      </c>
      <c r="N122" s="160">
        <f t="shared" si="69"/>
        <v>12571.629125147501</v>
      </c>
      <c r="O122" s="160">
        <f t="shared" si="69"/>
        <v>13074.494290153401</v>
      </c>
      <c r="P122" s="160">
        <f t="shared" si="69"/>
        <v>13597.474061759538</v>
      </c>
    </row>
    <row r="123" spans="1:19" x14ac:dyDescent="0.2">
      <c r="A123" s="2"/>
      <c r="B123" s="191" t="str">
        <f>+B119</f>
        <v>Арендная плата</v>
      </c>
      <c r="C123" s="194">
        <f>+'[4]5.3.Нк'!$C$30</f>
        <v>56270.936159999997</v>
      </c>
      <c r="D123" s="159">
        <f>+'[4]5.3.Нк'!$D$30</f>
        <v>49910.741796000002</v>
      </c>
      <c r="E123" s="160">
        <f>+D123</f>
        <v>49910.741796000002</v>
      </c>
      <c r="F123" s="160">
        <f t="shared" ref="F123:P123" si="86">+E123</f>
        <v>49910.741796000002</v>
      </c>
      <c r="G123" s="160">
        <f t="shared" si="86"/>
        <v>49910.741796000002</v>
      </c>
      <c r="H123" s="160">
        <f t="shared" si="86"/>
        <v>49910.741796000002</v>
      </c>
      <c r="I123" s="160">
        <f t="shared" si="86"/>
        <v>49910.741796000002</v>
      </c>
      <c r="J123" s="160">
        <f t="shared" si="86"/>
        <v>49910.741796000002</v>
      </c>
      <c r="K123" s="160">
        <f t="shared" si="86"/>
        <v>49910.741796000002</v>
      </c>
      <c r="L123" s="160">
        <f t="shared" si="86"/>
        <v>49910.741796000002</v>
      </c>
      <c r="M123" s="160">
        <f t="shared" si="86"/>
        <v>49910.741796000002</v>
      </c>
      <c r="N123" s="160">
        <f t="shared" si="86"/>
        <v>49910.741796000002</v>
      </c>
      <c r="O123" s="160">
        <f t="shared" si="86"/>
        <v>49910.741796000002</v>
      </c>
      <c r="P123" s="160">
        <f t="shared" si="86"/>
        <v>49910.741796000002</v>
      </c>
    </row>
    <row r="124" spans="1:19" x14ac:dyDescent="0.2">
      <c r="A124" s="2"/>
      <c r="B124" s="44" t="s">
        <v>200</v>
      </c>
      <c r="C124" s="194">
        <f>+'[4]5.3.Нк'!$C$29</f>
        <v>418.69100000000003</v>
      </c>
      <c r="D124" s="159">
        <f>+'[4]5.3.Нк'!$D$29</f>
        <v>221.124</v>
      </c>
      <c r="E124" s="160">
        <f>+D124</f>
        <v>221.124</v>
      </c>
      <c r="F124" s="160">
        <f t="shared" ref="F124:P124" si="87">+E124</f>
        <v>221.124</v>
      </c>
      <c r="G124" s="160">
        <f t="shared" si="87"/>
        <v>221.124</v>
      </c>
      <c r="H124" s="160">
        <f t="shared" si="87"/>
        <v>221.124</v>
      </c>
      <c r="I124" s="160">
        <f t="shared" si="87"/>
        <v>221.124</v>
      </c>
      <c r="J124" s="160">
        <f t="shared" si="87"/>
        <v>221.124</v>
      </c>
      <c r="K124" s="160">
        <f t="shared" si="87"/>
        <v>221.124</v>
      </c>
      <c r="L124" s="160">
        <f t="shared" si="87"/>
        <v>221.124</v>
      </c>
      <c r="M124" s="160">
        <f t="shared" si="87"/>
        <v>221.124</v>
      </c>
      <c r="N124" s="160">
        <f t="shared" si="87"/>
        <v>221.124</v>
      </c>
      <c r="O124" s="160">
        <f t="shared" si="87"/>
        <v>221.124</v>
      </c>
      <c r="P124" s="160">
        <f t="shared" si="87"/>
        <v>221.124</v>
      </c>
    </row>
    <row r="125" spans="1:19" x14ac:dyDescent="0.2">
      <c r="A125" s="2"/>
      <c r="B125" s="44" t="s">
        <v>34</v>
      </c>
      <c r="C125" s="192">
        <f t="shared" ref="C125:P125" si="88">+C99</f>
        <v>15308.025010000001</v>
      </c>
      <c r="D125" s="192">
        <f t="shared" si="88"/>
        <v>24171.39917930822</v>
      </c>
      <c r="E125" s="192">
        <f t="shared" si="88"/>
        <v>40803.263240509485</v>
      </c>
      <c r="F125" s="192">
        <f t="shared" si="88"/>
        <v>52854.175705775575</v>
      </c>
      <c r="G125" s="192">
        <f t="shared" si="88"/>
        <v>63047.136630608904</v>
      </c>
      <c r="H125" s="192">
        <f t="shared" si="88"/>
        <v>71689.62214717672</v>
      </c>
      <c r="I125" s="192">
        <f t="shared" si="88"/>
        <v>79190.516706766255</v>
      </c>
      <c r="J125" s="192">
        <f t="shared" si="88"/>
        <v>69143.612644855632</v>
      </c>
      <c r="K125" s="192">
        <f t="shared" si="88"/>
        <v>59359.239892530641</v>
      </c>
      <c r="L125" s="192">
        <f t="shared" si="88"/>
        <v>49223.225498038788</v>
      </c>
      <c r="M125" s="192">
        <f t="shared" si="88"/>
        <v>38744.758057215542</v>
      </c>
      <c r="N125" s="192">
        <f t="shared" si="88"/>
        <v>27911.5301125851</v>
      </c>
      <c r="O125" s="192">
        <f t="shared" si="88"/>
        <v>16711.55580752583</v>
      </c>
      <c r="P125" s="192">
        <f t="shared" si="88"/>
        <v>5926.2628663593996</v>
      </c>
    </row>
    <row r="126" spans="1:19" x14ac:dyDescent="0.2">
      <c r="A126" s="2"/>
      <c r="B126" s="44" t="s">
        <v>38</v>
      </c>
      <c r="C126" s="599">
        <f>+C116*$R126</f>
        <v>75391.701939855528</v>
      </c>
      <c r="D126" s="472">
        <f t="shared" ref="D126:P126" si="89">+D116*$R126</f>
        <v>84399.402782742109</v>
      </c>
      <c r="E126" s="472">
        <f t="shared" si="89"/>
        <v>88768.012097600484</v>
      </c>
      <c r="F126" s="472">
        <f t="shared" si="89"/>
        <v>92318.732581504504</v>
      </c>
      <c r="G126" s="472">
        <f t="shared" si="89"/>
        <v>96011.481884764682</v>
      </c>
      <c r="H126" s="472">
        <f t="shared" si="89"/>
        <v>99851.941160155286</v>
      </c>
      <c r="I126" s="472">
        <f t="shared" si="89"/>
        <v>103846.01880656149</v>
      </c>
      <c r="J126" s="472">
        <f t="shared" si="89"/>
        <v>107999.85955882396</v>
      </c>
      <c r="K126" s="472">
        <f t="shared" si="89"/>
        <v>112319.85394117693</v>
      </c>
      <c r="L126" s="472">
        <f t="shared" si="89"/>
        <v>116812.64809882401</v>
      </c>
      <c r="M126" s="472">
        <f t="shared" si="89"/>
        <v>121485.15402277697</v>
      </c>
      <c r="N126" s="472">
        <f t="shared" si="89"/>
        <v>126344.56018368805</v>
      </c>
      <c r="O126" s="472">
        <f t="shared" si="89"/>
        <v>131398.34259103559</v>
      </c>
      <c r="P126" s="472">
        <f t="shared" si="89"/>
        <v>136654.27629467702</v>
      </c>
      <c r="R126" s="45">
        <f>+'[4]5.3.Нк'!$C$38/C116</f>
        <v>0.31303597352129425</v>
      </c>
    </row>
    <row r="127" spans="1:19" x14ac:dyDescent="0.2">
      <c r="A127" s="2"/>
      <c r="B127" s="44" t="s">
        <v>203</v>
      </c>
      <c r="C127" s="194">
        <f>+'[4]5.3.Нк'!$C$33+'[4]5.3.Нк'!$C$34+'[4]5.3.Нк'!$C$37</f>
        <v>491.80095</v>
      </c>
      <c r="D127" s="159">
        <f>+'[4]5.3.Нк'!$D$33+'[4]5.3.Нк'!$D$34+'[4]5.3.Нк'!$D$37</f>
        <v>181.89277385426925</v>
      </c>
      <c r="E127" s="160">
        <f>+D127</f>
        <v>181.89277385426925</v>
      </c>
      <c r="F127" s="160">
        <f t="shared" ref="F127:P127" si="90">+E127</f>
        <v>181.89277385426925</v>
      </c>
      <c r="G127" s="160">
        <f>+F127</f>
        <v>181.89277385426925</v>
      </c>
      <c r="H127" s="160">
        <f t="shared" si="90"/>
        <v>181.89277385426925</v>
      </c>
      <c r="I127" s="160">
        <f t="shared" si="90"/>
        <v>181.89277385426925</v>
      </c>
      <c r="J127" s="160">
        <f t="shared" si="90"/>
        <v>181.89277385426925</v>
      </c>
      <c r="K127" s="160">
        <f t="shared" si="90"/>
        <v>181.89277385426925</v>
      </c>
      <c r="L127" s="160">
        <f t="shared" si="90"/>
        <v>181.89277385426925</v>
      </c>
      <c r="M127" s="160">
        <f t="shared" si="90"/>
        <v>181.89277385426925</v>
      </c>
      <c r="N127" s="160">
        <f t="shared" si="90"/>
        <v>181.89277385426925</v>
      </c>
      <c r="O127" s="160">
        <f t="shared" si="90"/>
        <v>181.89277385426925</v>
      </c>
      <c r="P127" s="160">
        <f t="shared" si="90"/>
        <v>181.89277385426925</v>
      </c>
    </row>
    <row r="128" spans="1:19" x14ac:dyDescent="0.2">
      <c r="A128" s="2"/>
      <c r="B128" s="44" t="s">
        <v>25</v>
      </c>
      <c r="C128" s="875">
        <f t="shared" ref="C128:P128" si="91">+C93</f>
        <v>160964.9654228923</v>
      </c>
      <c r="D128" s="192">
        <f t="shared" si="91"/>
        <v>186925.54118086904</v>
      </c>
      <c r="E128" s="192">
        <f t="shared" si="91"/>
        <v>209201.34118086903</v>
      </c>
      <c r="F128" s="192">
        <f t="shared" si="91"/>
        <v>305720.85739532532</v>
      </c>
      <c r="G128" s="192">
        <f t="shared" si="91"/>
        <v>391069.8179769764</v>
      </c>
      <c r="H128" s="192">
        <f t="shared" si="91"/>
        <v>476508.4403420983</v>
      </c>
      <c r="I128" s="192">
        <f t="shared" si="91"/>
        <v>563443.30945161637</v>
      </c>
      <c r="J128" s="192">
        <f t="shared" si="91"/>
        <v>653882.61566763953</v>
      </c>
      <c r="K128" s="192">
        <f t="shared" si="91"/>
        <v>673603.13149844611</v>
      </c>
      <c r="L128" s="192">
        <f t="shared" si="91"/>
        <v>696489.02304681344</v>
      </c>
      <c r="M128" s="192">
        <f t="shared" si="91"/>
        <v>720065.13264925906</v>
      </c>
      <c r="N128" s="192">
        <f t="shared" si="91"/>
        <v>744442.24845589756</v>
      </c>
      <c r="O128" s="192">
        <f t="shared" si="91"/>
        <v>769644.52809862164</v>
      </c>
      <c r="P128" s="192">
        <f t="shared" si="91"/>
        <v>759616.17306935578</v>
      </c>
    </row>
    <row r="129" spans="1:20" x14ac:dyDescent="0.2">
      <c r="A129" s="2"/>
      <c r="B129" s="44" t="s">
        <v>201</v>
      </c>
      <c r="C129" s="192">
        <f t="shared" ref="C129:P129" si="92">+C103</f>
        <v>0</v>
      </c>
      <c r="D129" s="192">
        <f t="shared" si="92"/>
        <v>0</v>
      </c>
      <c r="E129" s="192">
        <f t="shared" si="92"/>
        <v>0</v>
      </c>
      <c r="F129" s="192">
        <f t="shared" si="92"/>
        <v>0</v>
      </c>
      <c r="G129" s="192">
        <f t="shared" si="92"/>
        <v>0</v>
      </c>
      <c r="H129" s="192">
        <f t="shared" si="92"/>
        <v>0</v>
      </c>
      <c r="I129" s="192">
        <f t="shared" si="92"/>
        <v>0</v>
      </c>
      <c r="J129" s="192">
        <f t="shared" si="92"/>
        <v>0</v>
      </c>
      <c r="K129" s="192">
        <f t="shared" si="92"/>
        <v>0</v>
      </c>
      <c r="L129" s="192">
        <f t="shared" si="92"/>
        <v>0</v>
      </c>
      <c r="M129" s="192">
        <f t="shared" si="92"/>
        <v>0</v>
      </c>
      <c r="N129" s="192">
        <f t="shared" si="92"/>
        <v>0</v>
      </c>
      <c r="O129" s="192">
        <f t="shared" si="92"/>
        <v>0</v>
      </c>
      <c r="P129" s="192">
        <f t="shared" si="92"/>
        <v>0</v>
      </c>
    </row>
    <row r="130" spans="1:20" s="18" customFormat="1" x14ac:dyDescent="0.2">
      <c r="A130" s="56" t="s">
        <v>160</v>
      </c>
      <c r="B130" s="6" t="s">
        <v>234</v>
      </c>
      <c r="C130" s="193">
        <f>SUM(C131:C135)</f>
        <v>280370.71561919659</v>
      </c>
      <c r="D130" s="193">
        <f t="shared" ref="D130:P130" si="93">SUM(D131:D135)</f>
        <v>290081.35637996061</v>
      </c>
      <c r="E130" s="193">
        <f t="shared" si="93"/>
        <v>301272.89649700525</v>
      </c>
      <c r="F130" s="193">
        <f t="shared" si="93"/>
        <v>288574.33887275454</v>
      </c>
      <c r="G130" s="193">
        <f t="shared" si="93"/>
        <v>264724.80830267083</v>
      </c>
      <c r="H130" s="193">
        <f t="shared" si="93"/>
        <v>239174.01758328808</v>
      </c>
      <c r="I130" s="193">
        <f t="shared" si="93"/>
        <v>219952.73897233082</v>
      </c>
      <c r="J130" s="193">
        <f t="shared" si="93"/>
        <v>192859.39711014385</v>
      </c>
      <c r="K130" s="193">
        <f t="shared" si="93"/>
        <v>199774.22088926943</v>
      </c>
      <c r="L130" s="193">
        <f t="shared" si="93"/>
        <v>206947.64442960019</v>
      </c>
      <c r="M130" s="193">
        <f t="shared" si="93"/>
        <v>214388.56048250996</v>
      </c>
      <c r="N130" s="193">
        <f t="shared" si="93"/>
        <v>222107.08541563083</v>
      </c>
      <c r="O130" s="193">
        <f t="shared" si="93"/>
        <v>230156.07216650568</v>
      </c>
      <c r="P130" s="193">
        <f t="shared" si="93"/>
        <v>238547.27336169794</v>
      </c>
      <c r="Q130" s="17"/>
      <c r="R130" s="17"/>
      <c r="S130" s="17"/>
    </row>
    <row r="131" spans="1:20" x14ac:dyDescent="0.2">
      <c r="A131" s="2"/>
      <c r="B131" s="44" t="s">
        <v>161</v>
      </c>
      <c r="C131" s="197"/>
      <c r="D131" s="197"/>
      <c r="E131" s="197"/>
      <c r="F131" s="197"/>
      <c r="G131" s="197"/>
      <c r="H131" s="197"/>
      <c r="I131" s="197"/>
      <c r="J131" s="197"/>
      <c r="K131" s="197"/>
      <c r="L131" s="197"/>
      <c r="M131" s="197"/>
      <c r="N131" s="197"/>
      <c r="O131" s="197"/>
      <c r="P131" s="197"/>
    </row>
    <row r="132" spans="1:20" x14ac:dyDescent="0.2">
      <c r="A132" s="2"/>
      <c r="B132" s="44" t="s">
        <v>162</v>
      </c>
      <c r="C132" s="875">
        <f>+C34*C57</f>
        <v>46758.106890000003</v>
      </c>
      <c r="D132" s="192">
        <f t="shared" ref="D132:P132" si="94">+D34*D57</f>
        <v>52700.33396880512</v>
      </c>
      <c r="E132" s="192">
        <f t="shared" si="94"/>
        <v>54281.343987869273</v>
      </c>
      <c r="F132" s="192">
        <f t="shared" si="94"/>
        <v>55909.784307505353</v>
      </c>
      <c r="G132" s="192">
        <f t="shared" si="94"/>
        <v>57587.077836730517</v>
      </c>
      <c r="H132" s="192">
        <f t="shared" si="94"/>
        <v>59314.69017183243</v>
      </c>
      <c r="I132" s="192">
        <f t="shared" si="94"/>
        <v>61094.130876987401</v>
      </c>
      <c r="J132" s="192">
        <f t="shared" si="94"/>
        <v>62926.954803297027</v>
      </c>
      <c r="K132" s="192">
        <f t="shared" si="94"/>
        <v>64814.763447395941</v>
      </c>
      <c r="L132" s="192">
        <f t="shared" si="94"/>
        <v>66759.206350817825</v>
      </c>
      <c r="M132" s="192">
        <f t="shared" si="94"/>
        <v>68761.982541342353</v>
      </c>
      <c r="N132" s="192">
        <f t="shared" si="94"/>
        <v>70824.842017582632</v>
      </c>
      <c r="O132" s="192">
        <f t="shared" si="94"/>
        <v>72949.587278110106</v>
      </c>
      <c r="P132" s="192">
        <f t="shared" si="94"/>
        <v>75138.074896453414</v>
      </c>
    </row>
    <row r="133" spans="1:20" x14ac:dyDescent="0.2">
      <c r="A133" s="2"/>
      <c r="B133" s="44" t="s">
        <v>163</v>
      </c>
      <c r="C133" s="874">
        <f>+[22]ГОД!$DE$29</f>
        <v>49337.733279999993</v>
      </c>
      <c r="D133" s="614">
        <f>+C133</f>
        <v>49337.733279999993</v>
      </c>
      <c r="E133" s="160">
        <f t="shared" ref="E133:P133" si="95">+D133*E65</f>
        <v>51311.242611199996</v>
      </c>
      <c r="F133" s="160">
        <f t="shared" si="95"/>
        <v>53363.692315647997</v>
      </c>
      <c r="G133" s="160">
        <f t="shared" si="95"/>
        <v>55498.240008273919</v>
      </c>
      <c r="H133" s="160">
        <f t="shared" si="95"/>
        <v>57718.169608604876</v>
      </c>
      <c r="I133" s="160">
        <f t="shared" si="95"/>
        <v>60026.896392949071</v>
      </c>
      <c r="J133" s="160">
        <f t="shared" si="95"/>
        <v>62427.972248667036</v>
      </c>
      <c r="K133" s="160">
        <f t="shared" si="95"/>
        <v>64925.091138613723</v>
      </c>
      <c r="L133" s="160">
        <f t="shared" si="95"/>
        <v>67522.094784158267</v>
      </c>
      <c r="M133" s="160">
        <f t="shared" si="95"/>
        <v>70222.978575524598</v>
      </c>
      <c r="N133" s="160">
        <f t="shared" si="95"/>
        <v>73031.897718545588</v>
      </c>
      <c r="O133" s="160">
        <f t="shared" si="95"/>
        <v>75953.173627287411</v>
      </c>
      <c r="P133" s="160">
        <f t="shared" si="95"/>
        <v>78991.30057237891</v>
      </c>
    </row>
    <row r="134" spans="1:20" x14ac:dyDescent="0.2">
      <c r="A134" s="2"/>
      <c r="B134" s="44" t="s">
        <v>498</v>
      </c>
      <c r="C134" s="192">
        <f>+'ТЭЦ-3'!C139+'ТЭЦ-4'!C145+Кот.!C263</f>
        <v>184274.87544919661</v>
      </c>
      <c r="D134" s="192">
        <f>+'ТЭЦ-3'!D139+'ТЭЦ-4'!D145+Кот.!D263</f>
        <v>188043.2891311555</v>
      </c>
      <c r="E134" s="192">
        <f>+'ТЭЦ-3'!E139+'ТЭЦ-4'!E145+Кот.!E263</f>
        <v>195680.30989793595</v>
      </c>
      <c r="F134" s="192">
        <f>+'ТЭЦ-3'!F139+'ТЭЦ-4'!F145+Кот.!F263</f>
        <v>179300.8622496012</v>
      </c>
      <c r="G134" s="192">
        <f>+'ТЭЦ-3'!G139+'ТЭЦ-4'!G145+Кот.!G263</f>
        <v>151639.49045766643</v>
      </c>
      <c r="H134" s="192">
        <f>+'ТЭЦ-3'!H139+'ТЭЦ-4'!H145+Кот.!H263</f>
        <v>122141.15780285078</v>
      </c>
      <c r="I134" s="192">
        <f>+'ТЭЦ-3'!I139+'ТЭЦ-4'!I145+Кот.!I263</f>
        <v>98831.711702394328</v>
      </c>
      <c r="J134" s="192">
        <f>+'ТЭЦ-3'!J139+'ТЭЦ-4'!J145+Кот.!J263</f>
        <v>67504.470058179781</v>
      </c>
      <c r="K134" s="192">
        <f>+'ТЭЦ-3'!K139+'ТЭЦ-4'!K145+Кот.!K263</f>
        <v>70034.366303259783</v>
      </c>
      <c r="L134" s="192">
        <f>+'ТЭЦ-3'!L139+'ТЭЦ-4'!L145+Кот.!L263</f>
        <v>72666.343294624094</v>
      </c>
      <c r="M134" s="192">
        <f>+'ТЭЦ-3'!M139+'ТЭЦ-4'!M145+Кот.!M263</f>
        <v>75403.599365642978</v>
      </c>
      <c r="N134" s="192">
        <f>+'ТЭЦ-3'!N139+'ТЭЦ-4'!N145+Кот.!N263</f>
        <v>78250.345679502614</v>
      </c>
      <c r="O134" s="192">
        <f>+'ТЭЦ-3'!O139+'ТЭЦ-4'!O145+Кот.!O263</f>
        <v>81253.31126110816</v>
      </c>
      <c r="P134" s="192">
        <f>+'ТЭЦ-3'!P139+'ТЭЦ-4'!P145+Кот.!P263</f>
        <v>84417.897892865614</v>
      </c>
    </row>
    <row r="135" spans="1:20" ht="12" thickBot="1" x14ac:dyDescent="0.25">
      <c r="A135" s="2"/>
      <c r="B135" s="6"/>
      <c r="C135" s="18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</row>
    <row r="136" spans="1:20" s="216" customFormat="1" ht="22.5" x14ac:dyDescent="0.2">
      <c r="A136" s="56">
        <v>52</v>
      </c>
      <c r="B136" s="6" t="s">
        <v>224</v>
      </c>
      <c r="C136" s="189">
        <f t="shared" ref="C136:P136" si="96">C108-C112</f>
        <v>-640311.56293020281</v>
      </c>
      <c r="D136" s="189">
        <f t="shared" si="96"/>
        <v>-726011.81406319584</v>
      </c>
      <c r="E136" s="189">
        <f t="shared" si="96"/>
        <v>-647968.19325275347</v>
      </c>
      <c r="F136" s="189">
        <f t="shared" si="96"/>
        <v>-531709.34408021229</v>
      </c>
      <c r="G136" s="189">
        <f t="shared" si="96"/>
        <v>-315230.43873955542</v>
      </c>
      <c r="H136" s="189">
        <f t="shared" si="96"/>
        <v>-126882.79180407245</v>
      </c>
      <c r="I136" s="189">
        <f t="shared" si="96"/>
        <v>83418.776165064424</v>
      </c>
      <c r="J136" s="189">
        <f t="shared" si="96"/>
        <v>216589.8573658166</v>
      </c>
      <c r="K136" s="189">
        <f t="shared" si="96"/>
        <v>237004.75982586108</v>
      </c>
      <c r="L136" s="189">
        <f t="shared" si="96"/>
        <v>254487.65596829331</v>
      </c>
      <c r="M136" s="189">
        <f t="shared" si="96"/>
        <v>238928.3620049723</v>
      </c>
      <c r="N136" s="189">
        <f t="shared" si="96"/>
        <v>221827.23638420319</v>
      </c>
      <c r="O136" s="189">
        <f t="shared" si="96"/>
        <v>221401.67363714753</v>
      </c>
      <c r="P136" s="189">
        <f t="shared" si="96"/>
        <v>273999.50395582011</v>
      </c>
      <c r="Q136" s="17"/>
      <c r="R136" s="17"/>
      <c r="S136" s="17"/>
    </row>
    <row r="137" spans="1:20" s="11" customFormat="1" x14ac:dyDescent="0.2">
      <c r="A137" s="2">
        <v>53</v>
      </c>
      <c r="B137" s="44" t="s">
        <v>225</v>
      </c>
      <c r="C137" s="160">
        <f t="shared" ref="C137:P137" si="97">+C69</f>
        <v>0</v>
      </c>
      <c r="D137" s="160">
        <f t="shared" si="97"/>
        <v>0</v>
      </c>
      <c r="E137" s="160">
        <f t="shared" si="97"/>
        <v>980682.70960218983</v>
      </c>
      <c r="F137" s="160">
        <f t="shared" si="97"/>
        <v>859256.55967074819</v>
      </c>
      <c r="G137" s="160">
        <f t="shared" si="97"/>
        <v>860372.32175191736</v>
      </c>
      <c r="H137" s="160">
        <f t="shared" si="97"/>
        <v>875562.260923706</v>
      </c>
      <c r="I137" s="160">
        <f t="shared" si="97"/>
        <v>904393.06216023141</v>
      </c>
      <c r="J137" s="160">
        <f t="shared" si="97"/>
        <v>197205.15830806573</v>
      </c>
      <c r="K137" s="160">
        <f t="shared" si="97"/>
        <v>228858.91548367383</v>
      </c>
      <c r="L137" s="160">
        <f t="shared" si="97"/>
        <v>235761.09602445611</v>
      </c>
      <c r="M137" s="160">
        <f t="shared" si="97"/>
        <v>243771.1580663847</v>
      </c>
      <c r="N137" s="160">
        <f t="shared" si="97"/>
        <v>252022.79642724065</v>
      </c>
      <c r="O137" s="160">
        <f t="shared" si="97"/>
        <v>260554.78695956414</v>
      </c>
      <c r="P137" s="160">
        <f t="shared" si="97"/>
        <v>269375.58483451756</v>
      </c>
    </row>
    <row r="138" spans="1:20" s="11" customFormat="1" x14ac:dyDescent="0.2">
      <c r="A138" s="2">
        <v>54</v>
      </c>
      <c r="B138" s="44" t="s">
        <v>226</v>
      </c>
      <c r="C138" s="160">
        <f>IF(C137=0,0,C136-C137)</f>
        <v>0</v>
      </c>
      <c r="D138" s="160">
        <f>IF(D137=0,C138,C137+D136-D137)</f>
        <v>0</v>
      </c>
      <c r="E138" s="160">
        <f>IF(E137=0,D138,D137+E136-E137)</f>
        <v>-1628650.9028549432</v>
      </c>
      <c r="F138" s="160">
        <f>IF(F137=0,E138,E138+F136-F137)</f>
        <v>-3019616.8066059034</v>
      </c>
      <c r="G138" s="160">
        <f>IF(G137=0,F138,F138+G136-G137)</f>
        <v>-4195219.5670973761</v>
      </c>
      <c r="H138" s="160">
        <f t="shared" ref="H138:P138" si="98">IF(H137=0,G138,G138+H136-H137)</f>
        <v>-5197664.6198251545</v>
      </c>
      <c r="I138" s="160">
        <f t="shared" si="98"/>
        <v>-6018638.9058203213</v>
      </c>
      <c r="J138" s="160">
        <f t="shared" si="98"/>
        <v>-5999254.20676257</v>
      </c>
      <c r="K138" s="160">
        <f t="shared" si="98"/>
        <v>-5991108.3624203829</v>
      </c>
      <c r="L138" s="160">
        <f t="shared" si="98"/>
        <v>-5972381.8024765458</v>
      </c>
      <c r="M138" s="160">
        <f t="shared" si="98"/>
        <v>-5977224.5985379582</v>
      </c>
      <c r="N138" s="160">
        <f t="shared" si="98"/>
        <v>-6007420.1585809961</v>
      </c>
      <c r="O138" s="160">
        <f t="shared" si="98"/>
        <v>-6046573.2719034124</v>
      </c>
      <c r="P138" s="160">
        <f t="shared" si="98"/>
        <v>-6041949.3527821098</v>
      </c>
    </row>
    <row r="139" spans="1:20" s="11" customFormat="1" x14ac:dyDescent="0.2">
      <c r="A139" s="2">
        <v>55</v>
      </c>
      <c r="B139" s="44" t="s">
        <v>227</v>
      </c>
      <c r="C139" s="160">
        <f>IF(C136&gt;0,IF(C136&lt;C137,C136,C137),0)</f>
        <v>0</v>
      </c>
      <c r="D139" s="160">
        <f t="shared" ref="D139:P139" si="99">IF(D136&gt;0,IF(D136&lt;D137,D136,D137),0)</f>
        <v>0</v>
      </c>
      <c r="E139" s="160">
        <f t="shared" si="99"/>
        <v>0</v>
      </c>
      <c r="F139" s="160">
        <f t="shared" si="99"/>
        <v>0</v>
      </c>
      <c r="G139" s="160">
        <f t="shared" si="99"/>
        <v>0</v>
      </c>
      <c r="H139" s="160">
        <f t="shared" si="99"/>
        <v>0</v>
      </c>
      <c r="I139" s="160">
        <f t="shared" si="99"/>
        <v>83418.776165064424</v>
      </c>
      <c r="J139" s="160">
        <f t="shared" si="99"/>
        <v>197205.15830806573</v>
      </c>
      <c r="K139" s="160">
        <f t="shared" si="99"/>
        <v>228858.91548367383</v>
      </c>
      <c r="L139" s="160">
        <f t="shared" si="99"/>
        <v>235761.09602445611</v>
      </c>
      <c r="M139" s="160">
        <f t="shared" si="99"/>
        <v>238928.3620049723</v>
      </c>
      <c r="N139" s="160">
        <f t="shared" si="99"/>
        <v>221827.23638420319</v>
      </c>
      <c r="O139" s="160">
        <f t="shared" si="99"/>
        <v>221401.67363714753</v>
      </c>
      <c r="P139" s="160">
        <f t="shared" si="99"/>
        <v>269375.58483451756</v>
      </c>
    </row>
    <row r="140" spans="1:20" s="11" customFormat="1" x14ac:dyDescent="0.2">
      <c r="A140" s="2">
        <v>56</v>
      </c>
      <c r="B140" s="44" t="s">
        <v>228</v>
      </c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</row>
    <row r="141" spans="1:20" s="23" customFormat="1" x14ac:dyDescent="0.2">
      <c r="A141" s="2">
        <v>57</v>
      </c>
      <c r="B141" s="184" t="s">
        <v>229</v>
      </c>
      <c r="C141" s="160">
        <f>+C138</f>
        <v>0</v>
      </c>
      <c r="D141" s="160">
        <f t="shared" ref="D141:P141" si="100">+D138</f>
        <v>0</v>
      </c>
      <c r="E141" s="160">
        <f t="shared" si="100"/>
        <v>-1628650.9028549432</v>
      </c>
      <c r="F141" s="160">
        <f t="shared" si="100"/>
        <v>-3019616.8066059034</v>
      </c>
      <c r="G141" s="160">
        <f t="shared" si="100"/>
        <v>-4195219.5670973761</v>
      </c>
      <c r="H141" s="160">
        <f t="shared" si="100"/>
        <v>-5197664.6198251545</v>
      </c>
      <c r="I141" s="160">
        <f t="shared" si="100"/>
        <v>-6018638.9058203213</v>
      </c>
      <c r="J141" s="160">
        <f t="shared" si="100"/>
        <v>-5999254.20676257</v>
      </c>
      <c r="K141" s="160">
        <f t="shared" si="100"/>
        <v>-5991108.3624203829</v>
      </c>
      <c r="L141" s="160">
        <f t="shared" si="100"/>
        <v>-5972381.8024765458</v>
      </c>
      <c r="M141" s="160">
        <f t="shared" si="100"/>
        <v>-5977224.5985379582</v>
      </c>
      <c r="N141" s="160">
        <f t="shared" si="100"/>
        <v>-6007420.1585809961</v>
      </c>
      <c r="O141" s="160">
        <f t="shared" si="100"/>
        <v>-6046573.2719034124</v>
      </c>
      <c r="P141" s="160">
        <f t="shared" si="100"/>
        <v>-6041949.3527821098</v>
      </c>
      <c r="Q141" s="11"/>
      <c r="R141" s="11"/>
      <c r="S141" s="11"/>
      <c r="T141" s="22"/>
    </row>
    <row r="142" spans="1:20" s="23" customFormat="1" x14ac:dyDescent="0.2">
      <c r="A142" s="2">
        <v>58</v>
      </c>
      <c r="B142" s="184" t="s">
        <v>23</v>
      </c>
      <c r="C142" s="160">
        <f t="shared" ref="C142:P142" si="101">IF(C141&lt;0,0,C141*20%)</f>
        <v>0</v>
      </c>
      <c r="D142" s="160">
        <f t="shared" si="101"/>
        <v>0</v>
      </c>
      <c r="E142" s="160">
        <f t="shared" si="101"/>
        <v>0</v>
      </c>
      <c r="F142" s="160">
        <f t="shared" si="101"/>
        <v>0</v>
      </c>
      <c r="G142" s="160">
        <f t="shared" si="101"/>
        <v>0</v>
      </c>
      <c r="H142" s="160">
        <f t="shared" si="101"/>
        <v>0</v>
      </c>
      <c r="I142" s="160">
        <f t="shared" si="101"/>
        <v>0</v>
      </c>
      <c r="J142" s="160">
        <f t="shared" si="101"/>
        <v>0</v>
      </c>
      <c r="K142" s="160">
        <f t="shared" si="101"/>
        <v>0</v>
      </c>
      <c r="L142" s="160">
        <f t="shared" si="101"/>
        <v>0</v>
      </c>
      <c r="M142" s="160">
        <f t="shared" si="101"/>
        <v>0</v>
      </c>
      <c r="N142" s="160">
        <f t="shared" si="101"/>
        <v>0</v>
      </c>
      <c r="O142" s="160">
        <f t="shared" si="101"/>
        <v>0</v>
      </c>
      <c r="P142" s="160">
        <f t="shared" si="101"/>
        <v>0</v>
      </c>
      <c r="Q142" s="11"/>
      <c r="R142" s="11"/>
      <c r="S142" s="11"/>
      <c r="T142" s="22"/>
    </row>
    <row r="143" spans="1:20" s="54" customFormat="1" ht="12" thickBot="1" x14ac:dyDescent="0.25">
      <c r="A143" s="2">
        <v>59</v>
      </c>
      <c r="B143" s="185" t="s">
        <v>230</v>
      </c>
      <c r="C143" s="160">
        <f t="shared" ref="C143:P143" si="102">C136-C139-C140-C142</f>
        <v>-640311.56293020281</v>
      </c>
      <c r="D143" s="160">
        <f t="shared" si="102"/>
        <v>-726011.81406319584</v>
      </c>
      <c r="E143" s="160">
        <f t="shared" si="102"/>
        <v>-647968.19325275347</v>
      </c>
      <c r="F143" s="160">
        <f t="shared" si="102"/>
        <v>-531709.34408021229</v>
      </c>
      <c r="G143" s="160">
        <f t="shared" si="102"/>
        <v>-315230.43873955542</v>
      </c>
      <c r="H143" s="160">
        <f t="shared" si="102"/>
        <v>-126882.79180407245</v>
      </c>
      <c r="I143" s="160">
        <f t="shared" si="102"/>
        <v>0</v>
      </c>
      <c r="J143" s="160">
        <f t="shared" si="102"/>
        <v>19384.69905775087</v>
      </c>
      <c r="K143" s="160">
        <f t="shared" si="102"/>
        <v>8145.8443421872507</v>
      </c>
      <c r="L143" s="160">
        <f t="shared" si="102"/>
        <v>18726.559943837201</v>
      </c>
      <c r="M143" s="160">
        <f t="shared" si="102"/>
        <v>0</v>
      </c>
      <c r="N143" s="160">
        <f t="shared" si="102"/>
        <v>0</v>
      </c>
      <c r="O143" s="160">
        <f t="shared" si="102"/>
        <v>0</v>
      </c>
      <c r="P143" s="160">
        <f t="shared" si="102"/>
        <v>4623.9191213025479</v>
      </c>
      <c r="Q143" s="11"/>
      <c r="R143" s="11"/>
      <c r="S143" s="11"/>
      <c r="T143" s="53"/>
    </row>
    <row r="144" spans="1:20" s="11" customFormat="1" x14ac:dyDescent="0.2">
      <c r="A144" s="2"/>
      <c r="B144" s="185"/>
      <c r="C144" s="55"/>
      <c r="D144" s="55"/>
      <c r="E144" s="55"/>
      <c r="F144" s="55"/>
      <c r="G144" s="50"/>
      <c r="H144" s="50"/>
      <c r="I144" s="55"/>
      <c r="J144" s="55"/>
      <c r="K144" s="55"/>
      <c r="L144" s="55"/>
      <c r="M144" s="55"/>
      <c r="N144" s="55"/>
      <c r="O144" s="55"/>
      <c r="P144" s="55"/>
    </row>
    <row r="145" spans="1:27" s="139" customFormat="1" x14ac:dyDescent="0.2">
      <c r="A145" s="64"/>
      <c r="B145" s="221" t="s">
        <v>398</v>
      </c>
      <c r="C145" s="203">
        <f t="shared" ref="C145:P145" si="103">+C108-C112</f>
        <v>-640311.56293020281</v>
      </c>
      <c r="D145" s="203">
        <f t="shared" si="103"/>
        <v>-726011.81406319584</v>
      </c>
      <c r="E145" s="203">
        <f t="shared" si="103"/>
        <v>-647968.19325275347</v>
      </c>
      <c r="F145" s="203">
        <f t="shared" si="103"/>
        <v>-531709.34408021229</v>
      </c>
      <c r="G145" s="203">
        <f t="shared" si="103"/>
        <v>-315230.43873955542</v>
      </c>
      <c r="H145" s="203">
        <f t="shared" si="103"/>
        <v>-126882.79180407245</v>
      </c>
      <c r="I145" s="203">
        <f t="shared" si="103"/>
        <v>83418.776165064424</v>
      </c>
      <c r="J145" s="203">
        <f t="shared" si="103"/>
        <v>216589.8573658166</v>
      </c>
      <c r="K145" s="203">
        <f t="shared" si="103"/>
        <v>237004.75982586108</v>
      </c>
      <c r="L145" s="203">
        <f t="shared" si="103"/>
        <v>254487.65596829331</v>
      </c>
      <c r="M145" s="203">
        <f t="shared" si="103"/>
        <v>238928.3620049723</v>
      </c>
      <c r="N145" s="203">
        <f t="shared" si="103"/>
        <v>221827.23638420319</v>
      </c>
      <c r="O145" s="203">
        <f t="shared" si="103"/>
        <v>221401.67363714753</v>
      </c>
      <c r="P145" s="203">
        <f t="shared" si="103"/>
        <v>273999.50395582011</v>
      </c>
      <c r="Q145" s="96"/>
      <c r="R145" s="268"/>
      <c r="S145" s="96"/>
    </row>
    <row r="146" spans="1:27" s="11" customFormat="1" x14ac:dyDescent="0.2">
      <c r="A146" s="7"/>
      <c r="B146" s="478" t="s">
        <v>463</v>
      </c>
      <c r="C146" s="511">
        <f>+C145+C93</f>
        <v>-479346.59750731051</v>
      </c>
      <c r="D146" s="511">
        <f t="shared" ref="D146:P146" si="104">+D145+D93</f>
        <v>-539086.27288232674</v>
      </c>
      <c r="E146" s="511">
        <f t="shared" si="104"/>
        <v>-438766.85207188444</v>
      </c>
      <c r="F146" s="511">
        <f t="shared" si="104"/>
        <v>-225988.48668488697</v>
      </c>
      <c r="G146" s="511">
        <f t="shared" si="104"/>
        <v>75839.379237420973</v>
      </c>
      <c r="H146" s="511">
        <f t="shared" si="104"/>
        <v>349625.64853802585</v>
      </c>
      <c r="I146" s="511">
        <f t="shared" si="104"/>
        <v>646862.08561668079</v>
      </c>
      <c r="J146" s="511">
        <f t="shared" si="104"/>
        <v>870472.47303345613</v>
      </c>
      <c r="K146" s="511">
        <f t="shared" si="104"/>
        <v>910607.89132430719</v>
      </c>
      <c r="L146" s="511">
        <f t="shared" si="104"/>
        <v>950976.67901510675</v>
      </c>
      <c r="M146" s="511">
        <f t="shared" si="104"/>
        <v>958993.49465423136</v>
      </c>
      <c r="N146" s="511">
        <f t="shared" si="104"/>
        <v>966269.48484010075</v>
      </c>
      <c r="O146" s="511">
        <f t="shared" si="104"/>
        <v>991046.20173576917</v>
      </c>
      <c r="P146" s="511">
        <f t="shared" si="104"/>
        <v>1033615.6770251759</v>
      </c>
      <c r="R146" s="528">
        <v>-820120.39992206823</v>
      </c>
      <c r="T146" s="231"/>
      <c r="U146" s="231"/>
      <c r="V146" s="231"/>
      <c r="W146" s="231"/>
      <c r="X146" s="231"/>
      <c r="Y146" s="231"/>
      <c r="Z146" s="231"/>
      <c r="AA146" s="231"/>
    </row>
    <row r="147" spans="1:27" s="21" customFormat="1" x14ac:dyDescent="0.2">
      <c r="A147" s="19"/>
      <c r="B147" s="20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T147" s="12"/>
      <c r="U147" s="12"/>
      <c r="V147" s="12"/>
      <c r="W147" s="12"/>
      <c r="X147" s="12"/>
      <c r="Y147" s="12"/>
      <c r="Z147" s="12"/>
      <c r="AA147" s="12"/>
    </row>
    <row r="148" spans="1:27" s="59" customFormat="1" x14ac:dyDescent="0.2">
      <c r="A148" s="58"/>
      <c r="B148" s="86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T148" s="60"/>
      <c r="U148" s="60"/>
      <c r="V148" s="60"/>
      <c r="W148" s="60"/>
      <c r="X148" s="60"/>
      <c r="Y148" s="60"/>
      <c r="Z148" s="60"/>
      <c r="AA148" s="60"/>
    </row>
    <row r="149" spans="1:27" s="12" customFormat="1" x14ac:dyDescent="0.2">
      <c r="A149" s="19"/>
      <c r="B149" s="20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21"/>
      <c r="R149" s="21"/>
      <c r="S149" s="21"/>
    </row>
    <row r="150" spans="1:27" s="60" customFormat="1" x14ac:dyDescent="0.2">
      <c r="A150" s="58"/>
      <c r="B150" s="86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59"/>
      <c r="R150" s="59"/>
      <c r="S150" s="59"/>
    </row>
    <row r="151" spans="1:27" s="11" customFormat="1" x14ac:dyDescent="0.2">
      <c r="A151" s="7"/>
      <c r="B151" s="10"/>
      <c r="C151" s="231"/>
      <c r="D151" s="51"/>
      <c r="E151" s="232"/>
      <c r="F151" s="231"/>
      <c r="G151" s="52"/>
      <c r="H151" s="57"/>
      <c r="I151" s="231"/>
      <c r="J151" s="231"/>
      <c r="K151" s="231"/>
      <c r="L151" s="231"/>
      <c r="M151" s="231"/>
      <c r="T151" s="231"/>
      <c r="U151" s="231"/>
      <c r="V151" s="231"/>
      <c r="W151" s="231"/>
      <c r="X151" s="231"/>
      <c r="Y151" s="231"/>
      <c r="Z151" s="231"/>
      <c r="AA151" s="231"/>
    </row>
  </sheetData>
  <sheetProtection formatCells="0" formatColumns="0" formatRows="0" insertColumns="0" insertRows="0" insertHyperlinks="0" deleteColumns="0" deleteRows="0" sort="0" autoFilter="0" pivotTables="0"/>
  <mergeCells count="6">
    <mergeCell ref="A4:B4"/>
    <mergeCell ref="A36:B36"/>
    <mergeCell ref="A68:B68"/>
    <mergeCell ref="A91:B91"/>
    <mergeCell ref="A107:B107"/>
    <mergeCell ref="B70:B73"/>
  </mergeCells>
  <printOptions horizontalCentered="1"/>
  <pageMargins left="0.27559055118110237" right="0.27559055118110237" top="0.59055118110236227" bottom="0.39370078740157483" header="0.70866141732283472" footer="0.51181102362204722"/>
  <pageSetup paperSize="9" fitToHeight="0" pageOrder="overThenDown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2"/>
  <sheetViews>
    <sheetView view="pageBreakPreview" zoomScaleNormal="100" zoomScaleSheetLayoutView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287" sqref="H287"/>
    </sheetView>
  </sheetViews>
  <sheetFormatPr defaultRowHeight="11.25" x14ac:dyDescent="0.2"/>
  <cols>
    <col min="1" max="1" width="3.5703125" style="634" customWidth="1"/>
    <col min="2" max="2" width="37" style="10" customWidth="1"/>
    <col min="3" max="9" width="9.5703125" style="634" customWidth="1"/>
    <col min="10" max="10" width="12" style="634" customWidth="1"/>
    <col min="11" max="14" width="10.140625" style="634" customWidth="1"/>
    <col min="15" max="16384" width="9.140625" style="634"/>
  </cols>
  <sheetData>
    <row r="1" spans="1:16" ht="24.75" customHeight="1" x14ac:dyDescent="0.2">
      <c r="A1" s="948" t="s">
        <v>604</v>
      </c>
      <c r="B1" s="948"/>
    </row>
    <row r="2" spans="1:16" s="633" customFormat="1" x14ac:dyDescent="0.2">
      <c r="A2" s="631"/>
      <c r="B2" s="148"/>
      <c r="C2" s="631">
        <v>2019</v>
      </c>
      <c r="D2" s="631">
        <v>2020</v>
      </c>
      <c r="E2" s="631">
        <v>2021</v>
      </c>
      <c r="F2" s="631">
        <v>2022</v>
      </c>
      <c r="G2" s="631">
        <v>2023</v>
      </c>
      <c r="H2" s="631">
        <v>2024</v>
      </c>
      <c r="I2" s="631">
        <v>2025</v>
      </c>
      <c r="J2" s="631">
        <v>2026</v>
      </c>
      <c r="K2" s="631">
        <v>2027</v>
      </c>
      <c r="L2" s="631">
        <v>2028</v>
      </c>
      <c r="M2" s="631">
        <v>2029</v>
      </c>
      <c r="N2" s="631">
        <v>2030</v>
      </c>
      <c r="O2" s="632"/>
    </row>
    <row r="3" spans="1:16" x14ac:dyDescent="0.2">
      <c r="A3" s="644"/>
      <c r="B3" s="694" t="s">
        <v>390</v>
      </c>
      <c r="C3" s="644"/>
      <c r="D3" s="644"/>
      <c r="E3" s="644"/>
      <c r="F3" s="644"/>
      <c r="G3" s="644"/>
      <c r="H3" s="644"/>
      <c r="I3" s="644"/>
      <c r="J3" s="644"/>
      <c r="K3" s="644"/>
      <c r="L3" s="644"/>
      <c r="M3" s="644"/>
      <c r="N3" s="644"/>
    </row>
    <row r="4" spans="1:16" ht="22.5" x14ac:dyDescent="0.2">
      <c r="A4" s="646">
        <f>+'ТЭЦ-1'!A113</f>
        <v>1</v>
      </c>
      <c r="B4" s="648" t="str">
        <f>+'ТЭЦ-1'!B113</f>
        <v>Техническое перевооружение склада кислотохранилища ТЭЦ-1</v>
      </c>
      <c r="C4" s="644"/>
      <c r="D4" s="644"/>
      <c r="E4" s="644"/>
      <c r="F4" s="644"/>
      <c r="G4" s="644"/>
      <c r="H4" s="644"/>
      <c r="I4" s="644"/>
      <c r="J4" s="644"/>
      <c r="K4" s="644"/>
      <c r="L4" s="644"/>
      <c r="M4" s="644"/>
      <c r="N4" s="644"/>
    </row>
    <row r="5" spans="1:16" x14ac:dyDescent="0.2">
      <c r="A5" s="646"/>
      <c r="B5" s="684" t="s">
        <v>637</v>
      </c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</row>
    <row r="6" spans="1:16" ht="78.75" x14ac:dyDescent="0.2">
      <c r="A6" s="696">
        <f>+'ТЭЦ-1'!A114</f>
        <v>2</v>
      </c>
      <c r="B6" s="648" t="str">
        <f>+'ТЭЦ-1'!B114</f>
        <v>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</v>
      </c>
      <c r="C6" s="644"/>
      <c r="D6" s="644"/>
      <c r="E6" s="644"/>
      <c r="F6" s="644"/>
      <c r="G6" s="644"/>
      <c r="H6" s="644"/>
      <c r="I6" s="644"/>
      <c r="J6" s="644"/>
      <c r="K6" s="644"/>
      <c r="L6" s="644"/>
      <c r="M6" s="644"/>
      <c r="N6" s="644"/>
    </row>
    <row r="7" spans="1:16" ht="45" x14ac:dyDescent="0.2">
      <c r="A7" s="646"/>
      <c r="B7" s="684" t="s">
        <v>635</v>
      </c>
      <c r="C7" s="644"/>
      <c r="D7" s="644"/>
      <c r="E7" s="644"/>
      <c r="F7" s="644"/>
      <c r="G7" s="644"/>
      <c r="H7" s="644"/>
      <c r="I7" s="644"/>
      <c r="J7" s="644"/>
      <c r="K7" s="644"/>
      <c r="L7" s="644"/>
      <c r="M7" s="644"/>
      <c r="N7" s="644"/>
    </row>
    <row r="8" spans="1:16" ht="45" x14ac:dyDescent="0.2">
      <c r="A8" s="696">
        <f>+'ТЭЦ-1'!A115</f>
        <v>3</v>
      </c>
      <c r="B8" s="648" t="str">
        <f>+'ТЭЦ-1'!B115</f>
        <v>Техническое перевооружение водогрейного котла №1 с заменой конвективной части на водогрейной котельной №2 (ВК-2) ТЭЦ-1</v>
      </c>
      <c r="C8" s="644"/>
      <c r="D8" s="644"/>
      <c r="E8" s="644"/>
      <c r="F8" s="644"/>
      <c r="G8" s="644"/>
      <c r="H8" s="644"/>
      <c r="I8" s="644"/>
      <c r="J8" s="644"/>
      <c r="K8" s="644"/>
      <c r="L8" s="644"/>
      <c r="M8" s="644"/>
      <c r="N8" s="644"/>
    </row>
    <row r="9" spans="1:16" x14ac:dyDescent="0.2">
      <c r="A9" s="646"/>
      <c r="B9" s="110" t="s">
        <v>608</v>
      </c>
      <c r="C9" s="676">
        <f>+'ТЭЦ-1'!E115</f>
        <v>4553</v>
      </c>
      <c r="D9" s="676">
        <f>+'ТЭЦ-1'!F115</f>
        <v>0</v>
      </c>
      <c r="E9" s="676">
        <f>+'ТЭЦ-1'!G115</f>
        <v>0</v>
      </c>
      <c r="F9" s="676">
        <f>+'ТЭЦ-1'!H115</f>
        <v>0</v>
      </c>
      <c r="G9" s="676">
        <f>+'ТЭЦ-1'!I115</f>
        <v>0</v>
      </c>
      <c r="H9" s="647"/>
      <c r="I9" s="647"/>
      <c r="J9" s="647"/>
      <c r="K9" s="647"/>
      <c r="L9" s="647"/>
      <c r="M9" s="647"/>
      <c r="N9" s="647"/>
      <c r="O9" s="635"/>
      <c r="P9" s="635"/>
    </row>
    <row r="10" spans="1:16" ht="21" x14ac:dyDescent="0.2">
      <c r="A10" s="646"/>
      <c r="B10" s="650" t="s">
        <v>617</v>
      </c>
      <c r="C10" s="647"/>
      <c r="D10" s="651">
        <f>-($D12-$C12)*D13/1000</f>
        <v>58.196108079715181</v>
      </c>
      <c r="E10" s="651">
        <f t="shared" ref="E10:N10" si="0">-($D12-$C12)*E13/1000</f>
        <v>59.941991322106631</v>
      </c>
      <c r="F10" s="651">
        <f t="shared" si="0"/>
        <v>61.740251061769825</v>
      </c>
      <c r="G10" s="651">
        <f t="shared" si="0"/>
        <v>63.592458593622929</v>
      </c>
      <c r="H10" s="651">
        <f t="shared" si="0"/>
        <v>65.50023235143162</v>
      </c>
      <c r="I10" s="651">
        <f t="shared" si="0"/>
        <v>67.465239321974565</v>
      </c>
      <c r="J10" s="651">
        <f t="shared" si="0"/>
        <v>69.489196501633799</v>
      </c>
      <c r="K10" s="651">
        <f t="shared" si="0"/>
        <v>71.573872396682816</v>
      </c>
      <c r="L10" s="651">
        <f t="shared" si="0"/>
        <v>73.721088568583298</v>
      </c>
      <c r="M10" s="651">
        <f t="shared" si="0"/>
        <v>75.93272122564079</v>
      </c>
      <c r="N10" s="651">
        <f t="shared" si="0"/>
        <v>78.210702862410017</v>
      </c>
      <c r="O10" s="635"/>
      <c r="P10" s="635"/>
    </row>
    <row r="11" spans="1:16" ht="22.5" x14ac:dyDescent="0.2">
      <c r="A11" s="646"/>
      <c r="B11" s="280" t="s">
        <v>379</v>
      </c>
      <c r="C11" s="649">
        <f>+'ТЭЦ-1'!E79</f>
        <v>155.19999999999999</v>
      </c>
      <c r="D11" s="649">
        <f>+'ТЭЦ-1'!F79</f>
        <v>155.1</v>
      </c>
      <c r="E11" s="647"/>
      <c r="F11" s="644"/>
      <c r="G11" s="647"/>
      <c r="H11" s="647"/>
      <c r="I11" s="647"/>
      <c r="J11" s="647"/>
      <c r="K11" s="647"/>
      <c r="L11" s="644"/>
      <c r="M11" s="644"/>
      <c r="N11" s="644"/>
      <c r="O11" s="635"/>
      <c r="P11" s="635"/>
    </row>
    <row r="12" spans="1:16" ht="22.5" x14ac:dyDescent="0.2">
      <c r="A12" s="646"/>
      <c r="B12" s="46" t="s">
        <v>623</v>
      </c>
      <c r="C12" s="676">
        <f>+C11*'ТЭЦ-1'!C56</f>
        <v>15760.954207999999</v>
      </c>
      <c r="D12" s="676">
        <f>+D11*'ТЭЦ-1'!D56</f>
        <v>15750.798954</v>
      </c>
      <c r="E12" s="647"/>
      <c r="F12" s="680"/>
      <c r="G12" s="647"/>
      <c r="H12" s="647"/>
      <c r="I12" s="647"/>
      <c r="J12" s="647"/>
      <c r="K12" s="647"/>
      <c r="L12" s="644"/>
      <c r="M12" s="644"/>
      <c r="N12" s="644"/>
      <c r="O12" s="635"/>
      <c r="P12" s="635"/>
    </row>
    <row r="13" spans="1:16" ht="12" thickBot="1" x14ac:dyDescent="0.25">
      <c r="A13" s="646"/>
      <c r="B13" s="46" t="s">
        <v>620</v>
      </c>
      <c r="C13" s="647"/>
      <c r="D13" s="690">
        <f>+'ТЭЦ-1'!F104</f>
        <v>5730.6403246751888</v>
      </c>
      <c r="E13" s="690">
        <f>+'ТЭЦ-1'!G104</f>
        <v>5902.5595344154444</v>
      </c>
      <c r="F13" s="690">
        <f>+'ТЭЦ-1'!H104</f>
        <v>6079.6363204479076</v>
      </c>
      <c r="G13" s="690">
        <f>+'ТЭЦ-1'!I104</f>
        <v>6262.0254100613447</v>
      </c>
      <c r="H13" s="690">
        <f>+'ТЭЦ-1'!J104</f>
        <v>6449.8861723631853</v>
      </c>
      <c r="I13" s="690">
        <f>+'ТЭЦ-1'!K104</f>
        <v>6643.3827575340811</v>
      </c>
      <c r="J13" s="690">
        <f>+'ТЭЦ-1'!L104</f>
        <v>6842.6842402601033</v>
      </c>
      <c r="K13" s="690">
        <f>+'ТЭЦ-1'!M104</f>
        <v>7047.9647674679063</v>
      </c>
      <c r="L13" s="690">
        <f>+'ТЭЦ-1'!N104</f>
        <v>7259.4037104919435</v>
      </c>
      <c r="M13" s="690">
        <f>+'ТЭЦ-1'!O104</f>
        <v>7477.1858218067018</v>
      </c>
      <c r="N13" s="690">
        <f>+'ТЭЦ-1'!P104</f>
        <v>7701.5013964609034</v>
      </c>
      <c r="O13" s="635"/>
      <c r="P13" s="635"/>
    </row>
    <row r="14" spans="1:16" ht="12" thickBot="1" x14ac:dyDescent="0.25">
      <c r="A14" s="646"/>
      <c r="B14" s="650" t="s">
        <v>612</v>
      </c>
      <c r="C14" s="647"/>
      <c r="D14" s="691">
        <f>+C9/D10</f>
        <v>78.235472271847541</v>
      </c>
      <c r="E14" s="644"/>
      <c r="F14" s="680"/>
      <c r="G14" s="647"/>
      <c r="H14" s="647"/>
      <c r="I14" s="647"/>
      <c r="J14" s="647"/>
      <c r="K14" s="647"/>
      <c r="L14" s="647"/>
      <c r="M14" s="647"/>
      <c r="N14" s="647"/>
      <c r="O14" s="635"/>
      <c r="P14" s="635"/>
    </row>
    <row r="15" spans="1:16" x14ac:dyDescent="0.2">
      <c r="A15" s="646"/>
      <c r="B15" s="46"/>
      <c r="C15" s="647"/>
      <c r="D15" s="688"/>
      <c r="E15" s="688"/>
      <c r="F15" s="688"/>
      <c r="G15" s="688"/>
      <c r="H15" s="688"/>
      <c r="I15" s="656"/>
      <c r="J15" s="656"/>
      <c r="K15" s="656"/>
      <c r="L15" s="656"/>
      <c r="M15" s="656"/>
      <c r="N15" s="656"/>
      <c r="O15" s="635"/>
      <c r="P15" s="635"/>
    </row>
    <row r="16" spans="1:16" ht="90" x14ac:dyDescent="0.2">
      <c r="A16" s="646">
        <f>+'ТЭЦ-1'!A116</f>
        <v>4</v>
      </c>
      <c r="B16" s="648" t="str">
        <f>+'ТЭЦ-1'!B116</f>
        <v>Реконструкция кабельных связей  ВК-2 – БНС (водогрейная котельная №2 – береговая насосная станция): 2-й эт. - реконструкция РУ-0,4 кВ и РУ-6 кВ БНС, замена насосного оборудования БНС; 3-й эт. - реконструкция РУ-0,4 кВ и РУ-6 кВ ВК-2, прокладка воздушно-кабельных линий от ВК-2 до БНС.</v>
      </c>
      <c r="C16" s="644"/>
      <c r="D16" s="644"/>
      <c r="E16" s="644"/>
      <c r="F16" s="644"/>
      <c r="G16" s="644"/>
      <c r="H16" s="644"/>
      <c r="I16" s="644"/>
      <c r="J16" s="644"/>
      <c r="K16" s="644"/>
      <c r="L16" s="644"/>
      <c r="M16" s="644"/>
      <c r="N16" s="644"/>
    </row>
    <row r="17" spans="1:16" x14ac:dyDescent="0.2">
      <c r="A17" s="646"/>
      <c r="B17" s="110" t="s">
        <v>608</v>
      </c>
      <c r="C17" s="676">
        <f>+'ТЭЦ-1'!E116</f>
        <v>0</v>
      </c>
      <c r="D17" s="676">
        <f>+'ТЭЦ-1'!F116</f>
        <v>0</v>
      </c>
      <c r="E17" s="676">
        <f>+'ТЭЦ-1'!G116</f>
        <v>18982</v>
      </c>
      <c r="F17" s="676">
        <f>+'ТЭЦ-1'!H116</f>
        <v>27532</v>
      </c>
      <c r="G17" s="676">
        <f>+'ТЭЦ-1'!I116</f>
        <v>0</v>
      </c>
      <c r="H17" s="647"/>
      <c r="I17" s="647"/>
      <c r="J17" s="647"/>
      <c r="K17" s="647"/>
      <c r="L17" s="647"/>
      <c r="M17" s="647"/>
      <c r="N17" s="647"/>
      <c r="O17" s="635"/>
      <c r="P17" s="635"/>
    </row>
    <row r="18" spans="1:16" ht="21" x14ac:dyDescent="0.2">
      <c r="A18" s="646"/>
      <c r="B18" s="650" t="s">
        <v>636</v>
      </c>
      <c r="C18" s="647"/>
      <c r="D18" s="647"/>
      <c r="E18" s="647"/>
      <c r="F18" s="644"/>
      <c r="G18" s="651">
        <f>+G21*($G20-$F20)</f>
        <v>2473.8212384699737</v>
      </c>
      <c r="H18" s="651">
        <f t="shared" ref="H18:N18" si="1">+H21*($G20-$F20)</f>
        <v>2505.264056796681</v>
      </c>
      <c r="I18" s="651">
        <f t="shared" si="1"/>
        <v>2537.1065203398462</v>
      </c>
      <c r="J18" s="651">
        <f t="shared" si="1"/>
        <v>2569.3537086790852</v>
      </c>
      <c r="K18" s="651">
        <f t="shared" si="1"/>
        <v>2602.0107659566006</v>
      </c>
      <c r="L18" s="651">
        <f t="shared" si="1"/>
        <v>2635.0829016977873</v>
      </c>
      <c r="M18" s="651">
        <f t="shared" si="1"/>
        <v>2668.5753916422673</v>
      </c>
      <c r="N18" s="651">
        <f t="shared" si="1"/>
        <v>2702.4935785854864</v>
      </c>
      <c r="O18" s="635"/>
      <c r="P18" s="635"/>
    </row>
    <row r="19" spans="1:16" x14ac:dyDescent="0.2">
      <c r="A19" s="646"/>
      <c r="B19" s="110" t="s">
        <v>168</v>
      </c>
      <c r="C19" s="647"/>
      <c r="D19" s="647"/>
      <c r="E19" s="647"/>
      <c r="F19" s="649">
        <f>+'ТЭЦ-1'!H17</f>
        <v>7.191336999999999</v>
      </c>
      <c r="G19" s="649">
        <f>+'ТЭЦ-1'!I17</f>
        <v>5.264136999999999</v>
      </c>
      <c r="H19" s="651"/>
      <c r="I19" s="651"/>
      <c r="J19" s="651"/>
      <c r="K19" s="651"/>
      <c r="L19" s="651"/>
      <c r="M19" s="651"/>
      <c r="N19" s="651"/>
      <c r="O19" s="635"/>
      <c r="P19" s="635"/>
    </row>
    <row r="20" spans="1:16" ht="22.5" x14ac:dyDescent="0.2">
      <c r="A20" s="646"/>
      <c r="B20" s="280" t="s">
        <v>170</v>
      </c>
      <c r="C20" s="647"/>
      <c r="D20" s="647"/>
      <c r="E20" s="647"/>
      <c r="F20" s="649">
        <f>+'ТЭЦ-1'!H24</f>
        <v>14.096780000000001</v>
      </c>
      <c r="G20" s="649">
        <f>+'ТЭЦ-1'!I24</f>
        <v>16.023980000000002</v>
      </c>
      <c r="H20" s="644"/>
      <c r="I20" s="647"/>
      <c r="J20" s="647"/>
      <c r="K20" s="647"/>
      <c r="L20" s="647"/>
      <c r="M20" s="647"/>
      <c r="N20" s="647"/>
      <c r="O20" s="635"/>
      <c r="P20" s="635"/>
    </row>
    <row r="21" spans="1:16" ht="12" thickBot="1" x14ac:dyDescent="0.25">
      <c r="A21" s="646"/>
      <c r="B21" s="46" t="s">
        <v>461</v>
      </c>
      <c r="C21" s="647"/>
      <c r="D21" s="647"/>
      <c r="E21" s="647"/>
      <c r="F21" s="647"/>
      <c r="G21" s="660">
        <f>+'ТЭЦ-1'!I93</f>
        <v>1283.6349307129371</v>
      </c>
      <c r="H21" s="649">
        <f>+'ТЭЦ-1'!J93</f>
        <v>1299.9502162705894</v>
      </c>
      <c r="I21" s="649">
        <f>+'ТЭЦ-1'!K93</f>
        <v>1316.47287273757</v>
      </c>
      <c r="J21" s="649">
        <f>+'ТЭЦ-1'!L93</f>
        <v>1333.2055358442735</v>
      </c>
      <c r="K21" s="649">
        <f>+'ТЭЦ-1'!M93</f>
        <v>1350.1508748218137</v>
      </c>
      <c r="L21" s="649">
        <f>+'ТЭЦ-1'!N93</f>
        <v>1367.311592827826</v>
      </c>
      <c r="M21" s="649">
        <f>+'ТЭЦ-1'!O93</f>
        <v>1384.6904273776806</v>
      </c>
      <c r="N21" s="649">
        <f>+'ТЭЦ-1'!P93</f>
        <v>1402.2901507811773</v>
      </c>
      <c r="O21" s="635"/>
      <c r="P21" s="635"/>
    </row>
    <row r="22" spans="1:16" ht="12" thickBot="1" x14ac:dyDescent="0.25">
      <c r="A22" s="646"/>
      <c r="B22" s="650" t="s">
        <v>612</v>
      </c>
      <c r="C22" s="647"/>
      <c r="D22" s="647"/>
      <c r="E22" s="647"/>
      <c r="F22" s="658"/>
      <c r="G22" s="686">
        <f>SUM(C17:G17)/G18</f>
        <v>18.802490364569877</v>
      </c>
      <c r="H22" s="659"/>
      <c r="I22" s="647"/>
      <c r="J22" s="647"/>
      <c r="K22" s="647"/>
      <c r="L22" s="647"/>
      <c r="M22" s="647"/>
      <c r="N22" s="647"/>
      <c r="O22" s="635"/>
      <c r="P22" s="635"/>
    </row>
    <row r="23" spans="1:16" x14ac:dyDescent="0.2">
      <c r="A23" s="646"/>
      <c r="B23" s="44"/>
      <c r="C23" s="644"/>
      <c r="D23" s="644"/>
      <c r="E23" s="644"/>
      <c r="F23" s="644"/>
      <c r="G23" s="685"/>
      <c r="H23" s="644"/>
      <c r="I23" s="644"/>
      <c r="J23" s="644"/>
      <c r="K23" s="644"/>
      <c r="L23" s="644"/>
      <c r="M23" s="644"/>
      <c r="N23" s="644"/>
    </row>
    <row r="24" spans="1:16" ht="45" x14ac:dyDescent="0.2">
      <c r="A24" s="646">
        <f>+'ТЭЦ-1'!A117</f>
        <v>5</v>
      </c>
      <c r="B24" s="648" t="str">
        <f>+'ТЭЦ-1'!B117</f>
        <v>Техническое перевооружение главных станционных паропроводов ТЭЦ-1: 2-й этап - в пределах машинного зала и к РОУ-1 и РОУ-2</v>
      </c>
      <c r="C24" s="644"/>
      <c r="D24" s="644"/>
      <c r="E24" s="644"/>
      <c r="F24" s="644"/>
      <c r="G24" s="644"/>
      <c r="H24" s="644"/>
      <c r="I24" s="644"/>
      <c r="J24" s="644"/>
      <c r="K24" s="644"/>
      <c r="L24" s="644"/>
      <c r="M24" s="644"/>
      <c r="N24" s="644"/>
    </row>
    <row r="25" spans="1:16" x14ac:dyDescent="0.2">
      <c r="A25" s="646"/>
      <c r="B25" s="110" t="s">
        <v>608</v>
      </c>
      <c r="C25" s="649">
        <f>+'ТЭЦ-1'!E117</f>
        <v>0</v>
      </c>
      <c r="D25" s="649">
        <f>+'ТЭЦ-1'!F117</f>
        <v>14924</v>
      </c>
      <c r="E25" s="649">
        <f>+'ТЭЦ-1'!G117</f>
        <v>0</v>
      </c>
      <c r="F25" s="649">
        <f>+'ТЭЦ-1'!H117</f>
        <v>0</v>
      </c>
      <c r="G25" s="649">
        <f>+'ТЭЦ-1'!I117</f>
        <v>0</v>
      </c>
      <c r="H25" s="647"/>
      <c r="I25" s="647"/>
      <c r="J25" s="647"/>
      <c r="K25" s="647"/>
      <c r="L25" s="647"/>
      <c r="M25" s="647"/>
      <c r="N25" s="647"/>
      <c r="O25" s="635"/>
      <c r="P25" s="635"/>
    </row>
    <row r="26" spans="1:16" ht="21" x14ac:dyDescent="0.2">
      <c r="A26" s="646"/>
      <c r="B26" s="650" t="s">
        <v>617</v>
      </c>
      <c r="C26" s="647"/>
      <c r="D26" s="647"/>
      <c r="E26" s="651">
        <f>-($E28-$D28)*E29/1000</f>
        <v>1112.8775991413456</v>
      </c>
      <c r="F26" s="651">
        <f t="shared" ref="F26:N26" si="2">-($E28-$D28)*F29/1000</f>
        <v>1146.2639271155858</v>
      </c>
      <c r="G26" s="651">
        <f t="shared" si="2"/>
        <v>1180.6518449290534</v>
      </c>
      <c r="H26" s="651">
        <f t="shared" si="2"/>
        <v>1216.0714002769253</v>
      </c>
      <c r="I26" s="651">
        <f t="shared" si="2"/>
        <v>1252.5535422852331</v>
      </c>
      <c r="J26" s="651">
        <f t="shared" si="2"/>
        <v>1290.1301485537899</v>
      </c>
      <c r="K26" s="651">
        <f t="shared" si="2"/>
        <v>1328.8340530104037</v>
      </c>
      <c r="L26" s="651">
        <f t="shared" si="2"/>
        <v>1368.6990746007157</v>
      </c>
      <c r="M26" s="651">
        <f t="shared" si="2"/>
        <v>1409.760046838737</v>
      </c>
      <c r="N26" s="651">
        <f t="shared" si="2"/>
        <v>1452.0528482438995</v>
      </c>
      <c r="O26" s="635"/>
      <c r="P26" s="635"/>
    </row>
    <row r="27" spans="1:16" ht="22.5" x14ac:dyDescent="0.2">
      <c r="A27" s="646"/>
      <c r="B27" s="280" t="s">
        <v>379</v>
      </c>
      <c r="C27" s="647"/>
      <c r="D27" s="649">
        <f>+'ТЭЦ-1'!F71</f>
        <v>172.6</v>
      </c>
      <c r="E27" s="649">
        <f>+'ТЭЦ-1'!G71</f>
        <v>171.78326699930074</v>
      </c>
      <c r="F27" s="647"/>
      <c r="G27" s="647"/>
      <c r="H27" s="647"/>
      <c r="I27" s="647"/>
      <c r="J27" s="647"/>
      <c r="K27" s="647"/>
      <c r="L27" s="644"/>
      <c r="M27" s="644"/>
      <c r="N27" s="644"/>
      <c r="O27" s="635"/>
      <c r="P27" s="635"/>
    </row>
    <row r="28" spans="1:16" ht="22.5" x14ac:dyDescent="0.2">
      <c r="A28" s="646"/>
      <c r="B28" s="46" t="s">
        <v>623</v>
      </c>
      <c r="C28" s="647"/>
      <c r="D28" s="676">
        <f>+D27*'ТЭЦ-1'!$F52</f>
        <v>39844.438590316051</v>
      </c>
      <c r="E28" s="676">
        <f>+E27*'ТЭЦ-1'!$F52</f>
        <v>39655.897061399213</v>
      </c>
      <c r="F28" s="647"/>
      <c r="G28" s="647"/>
      <c r="H28" s="647"/>
      <c r="I28" s="647"/>
      <c r="J28" s="647"/>
      <c r="K28" s="647"/>
      <c r="L28" s="644"/>
      <c r="M28" s="644"/>
      <c r="N28" s="644"/>
      <c r="O28" s="635"/>
      <c r="P28" s="635"/>
    </row>
    <row r="29" spans="1:16" ht="12" thickBot="1" x14ac:dyDescent="0.25">
      <c r="A29" s="646"/>
      <c r="B29" s="46" t="s">
        <v>620</v>
      </c>
      <c r="C29" s="647"/>
      <c r="D29" s="647"/>
      <c r="E29" s="660">
        <f>+'ТЭЦ-1'!G104</f>
        <v>5902.5595344154444</v>
      </c>
      <c r="F29" s="649">
        <f>+'ТЭЦ-1'!H104</f>
        <v>6079.6363204479076</v>
      </c>
      <c r="G29" s="649">
        <f>+'ТЭЦ-1'!I104</f>
        <v>6262.0254100613447</v>
      </c>
      <c r="H29" s="649">
        <f>+'ТЭЦ-1'!J104</f>
        <v>6449.8861723631853</v>
      </c>
      <c r="I29" s="649">
        <f>+'ТЭЦ-1'!K104</f>
        <v>6643.3827575340811</v>
      </c>
      <c r="J29" s="649">
        <f>+'ТЭЦ-1'!L104</f>
        <v>6842.6842402601033</v>
      </c>
      <c r="K29" s="649">
        <f>+'ТЭЦ-1'!M104</f>
        <v>7047.9647674679063</v>
      </c>
      <c r="L29" s="649">
        <f>+'ТЭЦ-1'!N104</f>
        <v>7259.4037104919435</v>
      </c>
      <c r="M29" s="649">
        <f>+'ТЭЦ-1'!O104</f>
        <v>7477.1858218067018</v>
      </c>
      <c r="N29" s="649">
        <f>+'ТЭЦ-1'!P104</f>
        <v>7701.5013964609034</v>
      </c>
      <c r="O29" s="635"/>
      <c r="P29" s="635"/>
    </row>
    <row r="30" spans="1:16" ht="12" thickBot="1" x14ac:dyDescent="0.25">
      <c r="A30" s="646"/>
      <c r="B30" s="650" t="s">
        <v>612</v>
      </c>
      <c r="C30" s="647"/>
      <c r="D30" s="658"/>
      <c r="E30" s="687">
        <f>+D25/E26</f>
        <v>13.410279811108424</v>
      </c>
      <c r="F30" s="680"/>
      <c r="G30" s="647"/>
      <c r="H30" s="647"/>
      <c r="I30" s="647"/>
      <c r="J30" s="647"/>
      <c r="K30" s="647"/>
      <c r="L30" s="647"/>
      <c r="M30" s="647"/>
      <c r="N30" s="647"/>
      <c r="O30" s="635"/>
      <c r="P30" s="635"/>
    </row>
    <row r="31" spans="1:16" x14ac:dyDescent="0.2">
      <c r="A31" s="646"/>
      <c r="B31" s="46"/>
      <c r="C31" s="647"/>
      <c r="D31" s="688"/>
      <c r="E31" s="688"/>
      <c r="F31" s="688"/>
      <c r="G31" s="688"/>
      <c r="H31" s="688"/>
      <c r="I31" s="656"/>
      <c r="J31" s="656"/>
      <c r="K31" s="656"/>
      <c r="L31" s="656"/>
      <c r="M31" s="656"/>
      <c r="N31" s="656"/>
      <c r="O31" s="635"/>
      <c r="P31" s="635"/>
    </row>
    <row r="32" spans="1:16" x14ac:dyDescent="0.2">
      <c r="A32" s="644"/>
      <c r="B32" s="694" t="s">
        <v>303</v>
      </c>
      <c r="C32" s="644"/>
      <c r="D32" s="644"/>
      <c r="E32" s="685"/>
      <c r="F32" s="644"/>
      <c r="G32" s="644"/>
      <c r="H32" s="644"/>
      <c r="I32" s="644"/>
      <c r="J32" s="644"/>
      <c r="K32" s="644"/>
      <c r="L32" s="644"/>
      <c r="M32" s="644"/>
      <c r="N32" s="644"/>
    </row>
    <row r="33" spans="1:16" ht="22.5" x14ac:dyDescent="0.2">
      <c r="A33" s="262">
        <f>+'ТЭЦ-3'!A109</f>
        <v>6</v>
      </c>
      <c r="B33" s="648" t="str">
        <f>+'ТЭЦ-3'!B109</f>
        <v>Реконструкция (замена) паропровода турбоагрегата Т-100-120/130</v>
      </c>
      <c r="C33" s="644"/>
      <c r="D33" s="644"/>
      <c r="E33" s="644"/>
      <c r="F33" s="644"/>
      <c r="G33" s="644"/>
      <c r="H33" s="644"/>
      <c r="I33" s="644"/>
      <c r="J33" s="644"/>
      <c r="K33" s="644"/>
      <c r="L33" s="644"/>
      <c r="M33" s="644"/>
      <c r="N33" s="644"/>
    </row>
    <row r="34" spans="1:16" x14ac:dyDescent="0.2">
      <c r="A34" s="646"/>
      <c r="B34" s="684" t="s">
        <v>637</v>
      </c>
      <c r="C34" s="644"/>
      <c r="D34" s="644"/>
      <c r="E34" s="644"/>
      <c r="F34" s="644"/>
      <c r="G34" s="644"/>
      <c r="H34" s="644"/>
      <c r="I34" s="644"/>
      <c r="J34" s="644"/>
      <c r="K34" s="644"/>
      <c r="L34" s="644"/>
      <c r="M34" s="644"/>
      <c r="N34" s="644"/>
    </row>
    <row r="35" spans="1:16" ht="56.25" x14ac:dyDescent="0.2">
      <c r="A35" s="262">
        <f>+'ТЭЦ-3'!A110</f>
        <v>7</v>
      </c>
      <c r="B35" s="648" t="str">
        <f>+'ТЭЦ-3'!B110</f>
        <v>Техническое перевооружение выхлопной части пароперегревателей котлоагрегатов №3-4 с установкой шумогасящих устройств (проектирование и монтаж шумогасящих устройств продувки) ТЭЦ-3</v>
      </c>
      <c r="C35" s="644"/>
      <c r="D35" s="644"/>
      <c r="E35" s="644"/>
      <c r="F35" s="644"/>
      <c r="G35" s="644"/>
      <c r="H35" s="644"/>
      <c r="I35" s="644"/>
      <c r="J35" s="644"/>
      <c r="K35" s="644"/>
      <c r="L35" s="644"/>
      <c r="M35" s="644"/>
      <c r="N35" s="644"/>
    </row>
    <row r="36" spans="1:16" x14ac:dyDescent="0.2">
      <c r="A36" s="646"/>
      <c r="B36" s="684" t="s">
        <v>637</v>
      </c>
      <c r="C36" s="644"/>
      <c r="D36" s="644"/>
      <c r="E36" s="644"/>
      <c r="F36" s="644"/>
      <c r="G36" s="644"/>
      <c r="H36" s="644"/>
      <c r="I36" s="644"/>
      <c r="J36" s="644"/>
      <c r="K36" s="644"/>
      <c r="L36" s="644"/>
      <c r="M36" s="644"/>
      <c r="N36" s="644"/>
    </row>
    <row r="37" spans="1:16" ht="33.75" x14ac:dyDescent="0.2">
      <c r="A37" s="262">
        <f>+'ТЭЦ-3'!A111</f>
        <v>8</v>
      </c>
      <c r="B37" s="648" t="str">
        <f>+'ТЭЦ-3'!B111</f>
        <v>Переврезка пикового бойлера по конденсату с установкой дополнительного конденсатного насоса ТЭЦ-3</v>
      </c>
      <c r="C37" s="644"/>
      <c r="D37" s="644"/>
      <c r="E37" s="644"/>
      <c r="F37" s="644"/>
      <c r="G37" s="644"/>
      <c r="H37" s="644"/>
      <c r="I37" s="644"/>
      <c r="J37" s="644"/>
      <c r="K37" s="644"/>
      <c r="L37" s="644"/>
      <c r="M37" s="644"/>
      <c r="N37" s="644"/>
    </row>
    <row r="38" spans="1:16" x14ac:dyDescent="0.2">
      <c r="A38" s="646"/>
      <c r="B38" s="110" t="s">
        <v>608</v>
      </c>
      <c r="C38" s="649">
        <f>+'ТЭЦ-3'!E111</f>
        <v>5006</v>
      </c>
      <c r="D38" s="649">
        <f>+'ТЭЦ-3'!F111</f>
        <v>0</v>
      </c>
      <c r="E38" s="649">
        <f>+'ТЭЦ-3'!G111</f>
        <v>0</v>
      </c>
      <c r="F38" s="649">
        <f>+'ТЭЦ-3'!H111</f>
        <v>0</v>
      </c>
      <c r="G38" s="649">
        <f>+'ТЭЦ-3'!I111</f>
        <v>0</v>
      </c>
      <c r="H38" s="647"/>
      <c r="I38" s="647"/>
      <c r="J38" s="647"/>
      <c r="K38" s="647"/>
      <c r="L38" s="647"/>
      <c r="M38" s="647"/>
      <c r="N38" s="647"/>
      <c r="O38" s="635"/>
      <c r="P38" s="635"/>
    </row>
    <row r="39" spans="1:16" ht="21" x14ac:dyDescent="0.2">
      <c r="A39" s="646"/>
      <c r="B39" s="650" t="s">
        <v>617</v>
      </c>
      <c r="C39" s="647"/>
      <c r="D39" s="651">
        <f>-($D41-$C41)*D42/1000</f>
        <v>1529.2510085286519</v>
      </c>
      <c r="E39" s="651">
        <f t="shared" ref="E39:N39" si="3">-($D41-$C41)*E42/1000</f>
        <v>1575.1285387845114</v>
      </c>
      <c r="F39" s="651">
        <f t="shared" si="3"/>
        <v>1622.3823949480468</v>
      </c>
      <c r="G39" s="651">
        <f t="shared" si="3"/>
        <v>1671.0538667964881</v>
      </c>
      <c r="H39" s="651">
        <f t="shared" si="3"/>
        <v>1721.1854828003832</v>
      </c>
      <c r="I39" s="651">
        <f t="shared" si="3"/>
        <v>1772.8210472843948</v>
      </c>
      <c r="J39" s="651">
        <f t="shared" si="3"/>
        <v>1826.0056787029264</v>
      </c>
      <c r="K39" s="651">
        <f t="shared" si="3"/>
        <v>1880.7858490640144</v>
      </c>
      <c r="L39" s="651">
        <f t="shared" si="3"/>
        <v>1937.2094245359349</v>
      </c>
      <c r="M39" s="651">
        <f t="shared" si="3"/>
        <v>1995.325707272013</v>
      </c>
      <c r="N39" s="651">
        <f t="shared" si="3"/>
        <v>2055.1854784901734</v>
      </c>
      <c r="O39" s="635"/>
      <c r="P39" s="635"/>
    </row>
    <row r="40" spans="1:16" ht="22.5" x14ac:dyDescent="0.2">
      <c r="A40" s="646"/>
      <c r="B40" s="280" t="s">
        <v>379</v>
      </c>
      <c r="C40" s="649">
        <f>+'ТЭЦ-3'!E64</f>
        <v>135.49</v>
      </c>
      <c r="D40" s="649">
        <f>+'ТЭЦ-3'!F64</f>
        <v>135.27888166786261</v>
      </c>
      <c r="E40" s="647"/>
      <c r="F40" s="644"/>
      <c r="G40" s="647"/>
      <c r="H40" s="647"/>
      <c r="I40" s="647"/>
      <c r="J40" s="647"/>
      <c r="K40" s="647"/>
      <c r="L40" s="644"/>
      <c r="M40" s="644"/>
      <c r="N40" s="644"/>
      <c r="O40" s="635"/>
      <c r="P40" s="635"/>
    </row>
    <row r="41" spans="1:16" ht="22.5" x14ac:dyDescent="0.2">
      <c r="A41" s="646"/>
      <c r="B41" s="46" t="s">
        <v>623</v>
      </c>
      <c r="C41" s="676">
        <f>+C40*'ТЭЦ-3'!$E49</f>
        <v>179696.37982603503</v>
      </c>
      <c r="D41" s="689">
        <f>+D40*'ТЭЦ-3'!$E49</f>
        <v>179416.37982603503</v>
      </c>
      <c r="E41" s="647"/>
      <c r="F41" s="680"/>
      <c r="G41" s="647"/>
      <c r="H41" s="647"/>
      <c r="I41" s="647"/>
      <c r="J41" s="647"/>
      <c r="K41" s="647"/>
      <c r="L41" s="644"/>
      <c r="M41" s="644"/>
      <c r="N41" s="644"/>
      <c r="O41" s="635"/>
      <c r="P41" s="635"/>
    </row>
    <row r="42" spans="1:16" ht="12" thickBot="1" x14ac:dyDescent="0.25">
      <c r="A42" s="646"/>
      <c r="B42" s="46" t="s">
        <v>620</v>
      </c>
      <c r="C42" s="647"/>
      <c r="D42" s="690">
        <f>+'ТЭЦ-3'!F102</f>
        <v>5461.610744745185</v>
      </c>
      <c r="E42" s="649">
        <f>+'ТЭЦ-3'!G102</f>
        <v>5625.4590670875405</v>
      </c>
      <c r="F42" s="692">
        <f>+'ТЭЦ-3'!H102</f>
        <v>5794.2228391001672</v>
      </c>
      <c r="G42" s="660">
        <f>+'ТЭЦ-3'!I102</f>
        <v>5968.0495242731722</v>
      </c>
      <c r="H42" s="660">
        <f>+'ТЭЦ-3'!J102</f>
        <v>6147.091010001368</v>
      </c>
      <c r="I42" s="660">
        <f>+'ТЭЦ-3'!K102</f>
        <v>6331.5037403014094</v>
      </c>
      <c r="J42" s="660">
        <f>+'ТЭЦ-3'!L102</f>
        <v>6521.4488525104516</v>
      </c>
      <c r="K42" s="660">
        <f>+'ТЭЦ-3'!M102</f>
        <v>6717.0923180857653</v>
      </c>
      <c r="L42" s="660">
        <f>+'ТЭЦ-3'!N102</f>
        <v>6918.6050876283389</v>
      </c>
      <c r="M42" s="660">
        <f>+'ТЭЦ-3'!O102</f>
        <v>7126.1632402571895</v>
      </c>
      <c r="N42" s="660">
        <f>+'ТЭЦ-3'!P102</f>
        <v>7339.9481374649058</v>
      </c>
      <c r="O42" s="635"/>
      <c r="P42" s="635"/>
    </row>
    <row r="43" spans="1:16" ht="12" thickBot="1" x14ac:dyDescent="0.25">
      <c r="A43" s="646"/>
      <c r="B43" s="650" t="s">
        <v>612</v>
      </c>
      <c r="C43" s="647"/>
      <c r="D43" s="691">
        <f>+C38/D39</f>
        <v>3.2734979228926289</v>
      </c>
      <c r="E43" s="644"/>
      <c r="F43" s="680"/>
      <c r="G43" s="647"/>
      <c r="H43" s="647"/>
      <c r="I43" s="647"/>
      <c r="J43" s="647"/>
      <c r="K43" s="647"/>
      <c r="L43" s="647"/>
      <c r="M43" s="647"/>
      <c r="N43" s="647"/>
      <c r="O43" s="635"/>
      <c r="P43" s="635"/>
    </row>
    <row r="44" spans="1:16" x14ac:dyDescent="0.2">
      <c r="A44" s="646"/>
      <c r="B44" s="46"/>
      <c r="C44" s="647"/>
      <c r="D44" s="688"/>
      <c r="E44" s="688"/>
      <c r="F44" s="688"/>
      <c r="G44" s="688"/>
      <c r="H44" s="688"/>
      <c r="I44" s="656"/>
      <c r="J44" s="656"/>
      <c r="K44" s="656"/>
      <c r="L44" s="656"/>
      <c r="M44" s="656"/>
      <c r="N44" s="656"/>
      <c r="O44" s="635"/>
      <c r="P44" s="635"/>
    </row>
    <row r="45" spans="1:16" ht="22.5" x14ac:dyDescent="0.2">
      <c r="A45" s="262">
        <f>+'ТЭЦ-3'!A112</f>
        <v>9</v>
      </c>
      <c r="B45" s="648" t="str">
        <f>+'ТЭЦ-3'!B112</f>
        <v>Реконструкция (перемотка) изоляции турбогенератора ТВФ-63</v>
      </c>
      <c r="C45" s="644"/>
      <c r="D45" s="644"/>
      <c r="E45" s="644"/>
      <c r="F45" s="644"/>
      <c r="G45" s="644"/>
      <c r="H45" s="644"/>
      <c r="I45" s="644"/>
      <c r="J45" s="644"/>
      <c r="K45" s="644"/>
      <c r="L45" s="644"/>
      <c r="M45" s="644"/>
      <c r="N45" s="644"/>
    </row>
    <row r="46" spans="1:16" x14ac:dyDescent="0.2">
      <c r="A46" s="646"/>
      <c r="B46" s="684" t="s">
        <v>637</v>
      </c>
      <c r="C46" s="644"/>
      <c r="D46" s="644"/>
      <c r="E46" s="644"/>
      <c r="F46" s="644"/>
      <c r="G46" s="644"/>
      <c r="H46" s="644"/>
      <c r="I46" s="644"/>
      <c r="J46" s="644"/>
      <c r="K46" s="644"/>
      <c r="L46" s="644"/>
      <c r="M46" s="644"/>
      <c r="N46" s="644"/>
    </row>
    <row r="47" spans="1:16" ht="45" x14ac:dyDescent="0.2">
      <c r="A47" s="262">
        <f>+'ТЭЦ-3'!A113</f>
        <v>10</v>
      </c>
      <c r="B47" s="648" t="str">
        <f>+'ТЭЦ-3'!B113</f>
        <v>Реконструкция двух насосов хозяйственной воды на насосы меньшего напряжения с установкой отдельного трансформатора и частотного привода.</v>
      </c>
      <c r="C47" s="644"/>
      <c r="D47" s="644"/>
      <c r="E47" s="644"/>
      <c r="F47" s="644"/>
      <c r="G47" s="644"/>
      <c r="H47" s="644"/>
      <c r="I47" s="644"/>
      <c r="J47" s="644"/>
      <c r="K47" s="644"/>
      <c r="L47" s="644"/>
      <c r="M47" s="644"/>
      <c r="N47" s="644"/>
    </row>
    <row r="48" spans="1:16" x14ac:dyDescent="0.2">
      <c r="A48" s="646"/>
      <c r="B48" s="110" t="s">
        <v>608</v>
      </c>
      <c r="C48" s="649">
        <f>+'ТЭЦ-3'!E122</f>
        <v>21099</v>
      </c>
      <c r="D48" s="649">
        <f>+'ТЭЦ-3'!F122</f>
        <v>47657</v>
      </c>
      <c r="E48" s="649">
        <f>+'ТЭЦ-3'!G122</f>
        <v>8589</v>
      </c>
      <c r="F48" s="649">
        <f>+'ТЭЦ-3'!H122</f>
        <v>2000</v>
      </c>
      <c r="G48" s="649">
        <f>+'ТЭЦ-3'!I122</f>
        <v>0</v>
      </c>
      <c r="H48" s="647"/>
      <c r="I48" s="647"/>
      <c r="J48" s="647"/>
      <c r="K48" s="647"/>
      <c r="L48" s="647"/>
      <c r="M48" s="647"/>
      <c r="N48" s="647"/>
      <c r="O48" s="635"/>
      <c r="P48" s="635"/>
    </row>
    <row r="49" spans="1:16" ht="21" x14ac:dyDescent="0.2">
      <c r="A49" s="646"/>
      <c r="B49" s="650" t="s">
        <v>636</v>
      </c>
      <c r="C49" s="647"/>
      <c r="D49" s="647"/>
      <c r="E49" s="644"/>
      <c r="F49" s="651">
        <f>+F52*($F51-$E51)</f>
        <v>6605.4184252971108</v>
      </c>
      <c r="G49" s="651">
        <f t="shared" ref="G49:N49" si="4">+G52*($F51-$E51)</f>
        <v>6655.7360657364015</v>
      </c>
      <c r="H49" s="651">
        <f t="shared" si="4"/>
        <v>6706.4370073954433</v>
      </c>
      <c r="I49" s="651">
        <f t="shared" si="4"/>
        <v>6757.5241701215054</v>
      </c>
      <c r="J49" s="651">
        <f t="shared" si="4"/>
        <v>6809.000496004177</v>
      </c>
      <c r="K49" s="651">
        <f t="shared" si="4"/>
        <v>6860.8689495447998</v>
      </c>
      <c r="L49" s="651">
        <f t="shared" si="4"/>
        <v>6913.1325178271927</v>
      </c>
      <c r="M49" s="651">
        <f t="shared" si="4"/>
        <v>6965.7942106896799</v>
      </c>
      <c r="N49" s="651">
        <f t="shared" si="4"/>
        <v>7018.8570608984182</v>
      </c>
      <c r="O49" s="635"/>
      <c r="P49" s="635"/>
    </row>
    <row r="50" spans="1:16" x14ac:dyDescent="0.2">
      <c r="A50" s="646"/>
      <c r="B50" s="110" t="s">
        <v>168</v>
      </c>
      <c r="C50" s="647"/>
      <c r="D50" s="647"/>
      <c r="E50" s="649">
        <f>+'ТЭЦ-3'!G17</f>
        <v>112.64360309234155</v>
      </c>
      <c r="F50" s="649">
        <f>+'ТЭЦ-3'!H17</f>
        <v>107.32617355380144</v>
      </c>
      <c r="G50" s="644"/>
      <c r="H50" s="651"/>
      <c r="I50" s="651"/>
      <c r="J50" s="651"/>
      <c r="K50" s="651"/>
      <c r="L50" s="651"/>
      <c r="M50" s="651"/>
      <c r="N50" s="651"/>
      <c r="O50" s="635"/>
      <c r="P50" s="635"/>
    </row>
    <row r="51" spans="1:16" ht="22.5" x14ac:dyDescent="0.2">
      <c r="A51" s="646"/>
      <c r="B51" s="280" t="s">
        <v>170</v>
      </c>
      <c r="C51" s="647"/>
      <c r="D51" s="647"/>
      <c r="E51" s="649">
        <f>+'ТЭЦ-3'!G26</f>
        <v>659.73517920765846</v>
      </c>
      <c r="F51" s="649">
        <f>+'ТЭЦ-3'!H26</f>
        <v>665.05260874619853</v>
      </c>
      <c r="G51" s="644"/>
      <c r="H51" s="644"/>
      <c r="I51" s="647"/>
      <c r="J51" s="647"/>
      <c r="K51" s="647"/>
      <c r="L51" s="647"/>
      <c r="M51" s="647"/>
      <c r="N51" s="647"/>
      <c r="O51" s="635"/>
      <c r="P51" s="635"/>
    </row>
    <row r="52" spans="1:16" ht="12" thickBot="1" x14ac:dyDescent="0.25">
      <c r="A52" s="646"/>
      <c r="B52" s="46" t="s">
        <v>461</v>
      </c>
      <c r="C52" s="647"/>
      <c r="D52" s="647"/>
      <c r="E52" s="647"/>
      <c r="F52" s="690">
        <f>+'ТЭЦ-3'!H90</f>
        <v>1242.220207606299</v>
      </c>
      <c r="G52" s="649">
        <f>+'ТЭЦ-3'!I90</f>
        <v>1251.6829828202619</v>
      </c>
      <c r="H52" s="692">
        <f>+'ТЭЦ-3'!J90</f>
        <v>1261.2178419644345</v>
      </c>
      <c r="I52" s="660">
        <f>+'ТЭЦ-3'!K90</f>
        <v>1270.8253341476009</v>
      </c>
      <c r="J52" s="660">
        <f>+'ТЭЦ-3'!L90</f>
        <v>1280.5060126614537</v>
      </c>
      <c r="K52" s="660">
        <f>+'ТЭЦ-3'!M90</f>
        <v>1290.2604350124575</v>
      </c>
      <c r="L52" s="660">
        <f>+'ТЭЦ-3'!N90</f>
        <v>1300.0891629539551</v>
      </c>
      <c r="M52" s="660">
        <f>+'ТЭЦ-3'!O90</f>
        <v>1309.9927625185194</v>
      </c>
      <c r="N52" s="660">
        <f>+'ТЭЦ-3'!P90</f>
        <v>1319.9718040505502</v>
      </c>
      <c r="O52" s="635"/>
      <c r="P52" s="635"/>
    </row>
    <row r="53" spans="1:16" ht="12" thickBot="1" x14ac:dyDescent="0.25">
      <c r="A53" s="646"/>
      <c r="B53" s="650" t="s">
        <v>612</v>
      </c>
      <c r="C53" s="647"/>
      <c r="D53" s="647"/>
      <c r="E53" s="658"/>
      <c r="F53" s="693">
        <f>SUM(C48:G48)/F49</f>
        <v>12.012108074202896</v>
      </c>
      <c r="G53" s="644"/>
      <c r="H53" s="659"/>
      <c r="I53" s="647"/>
      <c r="J53" s="647"/>
      <c r="K53" s="647"/>
      <c r="L53" s="647"/>
      <c r="M53" s="647"/>
      <c r="N53" s="647"/>
      <c r="O53" s="635"/>
      <c r="P53" s="635"/>
    </row>
    <row r="54" spans="1:16" x14ac:dyDescent="0.2">
      <c r="A54" s="646"/>
      <c r="B54" s="650"/>
      <c r="C54" s="647"/>
      <c r="D54" s="647"/>
      <c r="E54" s="644"/>
      <c r="F54" s="680"/>
      <c r="G54" s="647"/>
      <c r="H54" s="647"/>
      <c r="I54" s="647"/>
      <c r="J54" s="647"/>
      <c r="K54" s="647"/>
      <c r="L54" s="647"/>
      <c r="M54" s="647"/>
      <c r="N54" s="647"/>
      <c r="O54" s="635"/>
      <c r="P54" s="635"/>
    </row>
    <row r="55" spans="1:16" ht="33.75" x14ac:dyDescent="0.2">
      <c r="A55" s="262">
        <f>+'ТЭЦ-3'!A114</f>
        <v>11</v>
      </c>
      <c r="B55" s="648" t="str">
        <f>+'ТЭЦ-3'!B114</f>
        <v>Установка багерного насоса малой производительности для режимов с малым поступлением смывных вод.</v>
      </c>
      <c r="C55" s="644"/>
      <c r="D55" s="644"/>
      <c r="E55" s="644"/>
      <c r="F55" s="644"/>
      <c r="G55" s="644"/>
      <c r="H55" s="644"/>
      <c r="I55" s="644"/>
      <c r="J55" s="644"/>
      <c r="K55" s="644"/>
      <c r="L55" s="644"/>
      <c r="M55" s="644"/>
      <c r="N55" s="644"/>
    </row>
    <row r="56" spans="1:16" x14ac:dyDescent="0.2">
      <c r="A56" s="646"/>
      <c r="B56" s="110" t="s">
        <v>608</v>
      </c>
      <c r="C56" s="649">
        <f>+'ТЭЦ-3'!E114</f>
        <v>2009</v>
      </c>
      <c r="D56" s="649">
        <f>+'ТЭЦ-3'!F114</f>
        <v>0</v>
      </c>
      <c r="E56" s="649">
        <f>+'ТЭЦ-3'!G114</f>
        <v>0</v>
      </c>
      <c r="F56" s="649">
        <f>+'ТЭЦ-3'!H114</f>
        <v>0</v>
      </c>
      <c r="G56" s="649">
        <f>+'ТЭЦ-3'!I114</f>
        <v>0</v>
      </c>
      <c r="H56" s="647"/>
      <c r="I56" s="647"/>
      <c r="J56" s="647"/>
      <c r="K56" s="647"/>
      <c r="L56" s="647"/>
      <c r="M56" s="647"/>
      <c r="N56" s="647"/>
      <c r="O56" s="635"/>
      <c r="P56" s="635"/>
    </row>
    <row r="57" spans="1:16" ht="21" x14ac:dyDescent="0.2">
      <c r="A57" s="646"/>
      <c r="B57" s="650" t="s">
        <v>636</v>
      </c>
      <c r="C57" s="644"/>
      <c r="D57" s="651">
        <f t="shared" ref="D57:L57" si="5">+D60*($D59-$C59)</f>
        <v>1468.2104799107431</v>
      </c>
      <c r="E57" s="651">
        <f t="shared" si="5"/>
        <v>1479.3947656381117</v>
      </c>
      <c r="F57" s="651">
        <f t="shared" si="5"/>
        <v>1490.6642491276152</v>
      </c>
      <c r="G57" s="651">
        <f t="shared" si="5"/>
        <v>1502.0195793843714</v>
      </c>
      <c r="H57" s="651">
        <f t="shared" si="5"/>
        <v>1513.4614103573788</v>
      </c>
      <c r="I57" s="651">
        <f t="shared" si="5"/>
        <v>1524.9904009771788</v>
      </c>
      <c r="J57" s="651">
        <f t="shared" si="5"/>
        <v>1536.6072151938026</v>
      </c>
      <c r="K57" s="651">
        <f t="shared" si="5"/>
        <v>1548.3125220150077</v>
      </c>
      <c r="L57" s="651">
        <f t="shared" si="5"/>
        <v>1560.1069955448052</v>
      </c>
      <c r="M57" s="651">
        <f t="shared" ref="M57:N57" si="6">+M60*($D59-$C59)</f>
        <v>1571.9913150222828</v>
      </c>
      <c r="N57" s="651">
        <f t="shared" si="6"/>
        <v>1583.9661648607203</v>
      </c>
      <c r="O57" s="635"/>
      <c r="P57" s="635"/>
    </row>
    <row r="58" spans="1:16" x14ac:dyDescent="0.2">
      <c r="A58" s="646"/>
      <c r="B58" s="110" t="s">
        <v>168</v>
      </c>
      <c r="C58" s="649">
        <f>+'ТЭЦ-3'!E17</f>
        <v>115.81699999999999</v>
      </c>
      <c r="D58" s="649">
        <f>+C58+'ТЭЦ-3'!F20</f>
        <v>114.61699999999999</v>
      </c>
      <c r="E58" s="644"/>
      <c r="F58" s="644"/>
      <c r="G58" s="644"/>
      <c r="H58" s="644"/>
      <c r="I58" s="644"/>
      <c r="J58" s="644"/>
      <c r="K58" s="644"/>
      <c r="L58" s="644"/>
      <c r="M58" s="644"/>
      <c r="N58" s="644"/>
      <c r="O58" s="635"/>
      <c r="P58" s="635"/>
    </row>
    <row r="59" spans="1:16" ht="22.5" x14ac:dyDescent="0.2">
      <c r="A59" s="646"/>
      <c r="B59" s="280" t="s">
        <v>170</v>
      </c>
      <c r="C59" s="649">
        <f>+'ТЭЦ-3'!E26</f>
        <v>656.5617823</v>
      </c>
      <c r="D59" s="649">
        <f>+C59-D58+C58</f>
        <v>657.76178230000005</v>
      </c>
      <c r="E59" s="644"/>
      <c r="F59" s="644"/>
      <c r="G59" s="647"/>
      <c r="H59" s="647"/>
      <c r="I59" s="647"/>
      <c r="J59" s="647"/>
      <c r="K59" s="647"/>
      <c r="L59" s="647"/>
      <c r="M59" s="647"/>
      <c r="N59" s="647"/>
      <c r="O59" s="635"/>
      <c r="P59" s="635"/>
    </row>
    <row r="60" spans="1:16" ht="12" thickBot="1" x14ac:dyDescent="0.25">
      <c r="A60" s="646"/>
      <c r="B60" s="46" t="s">
        <v>461</v>
      </c>
      <c r="C60" s="647"/>
      <c r="D60" s="690">
        <f>+'ТЭЦ-3'!F90</f>
        <v>1223.5087332589062</v>
      </c>
      <c r="E60" s="690">
        <f>+'ТЭЦ-3'!G90</f>
        <v>1232.8289713650463</v>
      </c>
      <c r="F60" s="690">
        <f>+'ТЭЦ-3'!H90</f>
        <v>1242.220207606299</v>
      </c>
      <c r="G60" s="690">
        <f>+'ТЭЦ-3'!I90</f>
        <v>1251.6829828202619</v>
      </c>
      <c r="H60" s="690">
        <f>+'ТЭЦ-3'!J90</f>
        <v>1261.2178419644345</v>
      </c>
      <c r="I60" s="690">
        <f>+'ТЭЦ-3'!K90</f>
        <v>1270.8253341476009</v>
      </c>
      <c r="J60" s="690">
        <f>+'ТЭЦ-3'!L90</f>
        <v>1280.5060126614537</v>
      </c>
      <c r="K60" s="690">
        <f>+'ТЭЦ-3'!M90</f>
        <v>1290.2604350124575</v>
      </c>
      <c r="L60" s="690">
        <f>+'ТЭЦ-3'!N90</f>
        <v>1300.0891629539551</v>
      </c>
      <c r="M60" s="690">
        <f>+'ТЭЦ-3'!O90</f>
        <v>1309.9927625185194</v>
      </c>
      <c r="N60" s="690">
        <f>+'ТЭЦ-3'!P90</f>
        <v>1319.9718040505502</v>
      </c>
      <c r="O60" s="635"/>
      <c r="P60" s="635"/>
    </row>
    <row r="61" spans="1:16" ht="12" thickBot="1" x14ac:dyDescent="0.25">
      <c r="A61" s="646"/>
      <c r="B61" s="650" t="s">
        <v>612</v>
      </c>
      <c r="C61" s="658"/>
      <c r="D61" s="693">
        <f>SUM(C56:G56)/D57</f>
        <v>1.3683324206500236</v>
      </c>
      <c r="E61" s="644"/>
      <c r="F61" s="659"/>
      <c r="G61" s="647"/>
      <c r="H61" s="647"/>
      <c r="I61" s="647"/>
      <c r="J61" s="647"/>
      <c r="K61" s="647"/>
      <c r="L61" s="647"/>
      <c r="M61" s="647"/>
      <c r="N61" s="647"/>
      <c r="O61" s="635"/>
      <c r="P61" s="635"/>
    </row>
    <row r="62" spans="1:16" x14ac:dyDescent="0.2">
      <c r="A62" s="646"/>
      <c r="B62" s="650"/>
      <c r="C62" s="647"/>
      <c r="D62" s="647"/>
      <c r="E62" s="644"/>
      <c r="F62" s="680"/>
      <c r="G62" s="647"/>
      <c r="H62" s="647"/>
      <c r="I62" s="647"/>
      <c r="J62" s="647"/>
      <c r="K62" s="647"/>
      <c r="L62" s="647"/>
      <c r="M62" s="647"/>
      <c r="N62" s="647"/>
      <c r="O62" s="635"/>
      <c r="P62" s="635"/>
    </row>
    <row r="63" spans="1:16" ht="33.75" x14ac:dyDescent="0.2">
      <c r="A63" s="262">
        <f>+'ТЭЦ-3'!A115</f>
        <v>12</v>
      </c>
      <c r="B63" s="648" t="str">
        <f>+'ТЭЦ-3'!B115</f>
        <v>Переобвязка Нг фильтров в связи с переходом на новый фильтрующий материал</v>
      </c>
      <c r="C63" s="644"/>
      <c r="D63" s="644"/>
      <c r="E63" s="644"/>
      <c r="F63" s="644"/>
      <c r="G63" s="644"/>
      <c r="H63" s="644"/>
      <c r="I63" s="644"/>
      <c r="J63" s="644"/>
      <c r="K63" s="644"/>
      <c r="L63" s="644"/>
      <c r="M63" s="644"/>
      <c r="N63" s="644"/>
    </row>
    <row r="64" spans="1:16" x14ac:dyDescent="0.2">
      <c r="A64" s="646"/>
      <c r="B64" s="684" t="s">
        <v>637</v>
      </c>
      <c r="C64" s="644"/>
      <c r="D64" s="644"/>
      <c r="E64" s="644"/>
      <c r="F64" s="644"/>
      <c r="G64" s="644"/>
      <c r="H64" s="644"/>
      <c r="I64" s="644"/>
      <c r="J64" s="644"/>
      <c r="K64" s="644"/>
      <c r="L64" s="644"/>
      <c r="M64" s="644"/>
      <c r="N64" s="644"/>
    </row>
    <row r="65" spans="1:16" x14ac:dyDescent="0.2">
      <c r="A65" s="44"/>
      <c r="B65" s="694" t="s">
        <v>304</v>
      </c>
      <c r="C65" s="644"/>
      <c r="D65" s="644"/>
      <c r="E65" s="644"/>
      <c r="F65" s="644"/>
      <c r="G65" s="644"/>
      <c r="H65" s="644"/>
      <c r="I65" s="644"/>
      <c r="J65" s="644"/>
      <c r="K65" s="644"/>
      <c r="L65" s="644"/>
      <c r="M65" s="644"/>
      <c r="N65" s="644"/>
    </row>
    <row r="66" spans="1:16" ht="22.5" x14ac:dyDescent="0.2">
      <c r="A66" s="262">
        <f>+'ТЭЦ-4'!A111</f>
        <v>13</v>
      </c>
      <c r="B66" s="648" t="str">
        <f>+'ТЭЦ-4'!B111</f>
        <v xml:space="preserve">Техническое перевооружение химводоочистки ТЭЦ-4 </v>
      </c>
      <c r="C66" s="644"/>
      <c r="D66" s="644"/>
      <c r="E66" s="644"/>
      <c r="F66" s="644"/>
      <c r="G66" s="644"/>
      <c r="H66" s="644"/>
      <c r="I66" s="644"/>
      <c r="J66" s="644"/>
      <c r="K66" s="644"/>
      <c r="L66" s="644"/>
      <c r="M66" s="644"/>
      <c r="N66" s="644"/>
    </row>
    <row r="67" spans="1:16" x14ac:dyDescent="0.2">
      <c r="A67" s="44"/>
      <c r="B67" s="110" t="s">
        <v>608</v>
      </c>
      <c r="C67" s="697">
        <f>+'ТЭЦ-4'!E111</f>
        <v>40177</v>
      </c>
      <c r="D67" s="697">
        <f>+'ТЭЦ-4'!F111</f>
        <v>30000</v>
      </c>
      <c r="E67" s="697">
        <f>+'ТЭЦ-4'!G111</f>
        <v>13500</v>
      </c>
      <c r="F67" s="697">
        <f>+'ТЭЦ-4'!H111</f>
        <v>0</v>
      </c>
      <c r="G67" s="697">
        <f>+'ТЭЦ-4'!I111</f>
        <v>0</v>
      </c>
      <c r="H67" s="644"/>
      <c r="I67" s="644"/>
      <c r="J67" s="644"/>
      <c r="K67" s="644"/>
      <c r="L67" s="644"/>
      <c r="M67" s="644"/>
      <c r="N67" s="644"/>
    </row>
    <row r="68" spans="1:16" ht="21" x14ac:dyDescent="0.2">
      <c r="A68" s="44"/>
      <c r="B68" s="650" t="s">
        <v>639</v>
      </c>
      <c r="C68" s="644"/>
      <c r="D68" s="644"/>
      <c r="E68" s="644"/>
      <c r="F68" s="651">
        <f>+$F69*(F70-F71)</f>
        <v>9211.6304635775286</v>
      </c>
      <c r="G68" s="651">
        <f t="shared" ref="G68:N68" si="7">+$F69*(G70-G71)</f>
        <v>9580.095682120631</v>
      </c>
      <c r="H68" s="651">
        <f t="shared" si="7"/>
        <v>9963.299509405455</v>
      </c>
      <c r="I68" s="651">
        <f t="shared" si="7"/>
        <v>10361.831489781673</v>
      </c>
      <c r="J68" s="651">
        <f t="shared" si="7"/>
        <v>10776.304749372939</v>
      </c>
      <c r="K68" s="651">
        <f t="shared" si="7"/>
        <v>11207.356939347857</v>
      </c>
      <c r="L68" s="651">
        <f t="shared" si="7"/>
        <v>11655.651216921773</v>
      </c>
      <c r="M68" s="651">
        <f t="shared" si="7"/>
        <v>12121.877265598643</v>
      </c>
      <c r="N68" s="651">
        <f t="shared" si="7"/>
        <v>12606.752356222591</v>
      </c>
    </row>
    <row r="69" spans="1:16" x14ac:dyDescent="0.2">
      <c r="A69" s="44"/>
      <c r="B69" s="262" t="s">
        <v>641</v>
      </c>
      <c r="C69" s="647"/>
      <c r="D69" s="647"/>
      <c r="E69" s="647"/>
      <c r="F69" s="698">
        <v>346.1</v>
      </c>
      <c r="G69" s="647"/>
      <c r="H69" s="647"/>
      <c r="I69" s="647"/>
      <c r="J69" s="647"/>
      <c r="K69" s="647"/>
      <c r="L69" s="647"/>
      <c r="M69" s="647"/>
      <c r="N69" s="647"/>
      <c r="O69" s="635"/>
      <c r="P69" s="635"/>
    </row>
    <row r="70" spans="1:16" ht="22.5" x14ac:dyDescent="0.2">
      <c r="A70" s="44"/>
      <c r="B70" s="262" t="s">
        <v>640</v>
      </c>
      <c r="C70" s="647"/>
      <c r="D70" s="647"/>
      <c r="E70" s="647"/>
      <c r="F70" s="699">
        <v>31.81</v>
      </c>
      <c r="G70" s="674">
        <f>+F70*'ТЭЦ-4'!I106</f>
        <v>33.0824</v>
      </c>
      <c r="H70" s="674">
        <f>+G70*'ТЭЦ-4'!J106</f>
        <v>34.405695999999999</v>
      </c>
      <c r="I70" s="674">
        <f>+H70*'ТЭЦ-4'!K106</f>
        <v>35.781923839999997</v>
      </c>
      <c r="J70" s="674">
        <f>+I70*'ТЭЦ-4'!L106</f>
        <v>37.213200793599995</v>
      </c>
      <c r="K70" s="674">
        <f>+J70*'ТЭЦ-4'!M106</f>
        <v>38.701728825343999</v>
      </c>
      <c r="L70" s="674">
        <f>+K70*'ТЭЦ-4'!N106</f>
        <v>40.249797978357762</v>
      </c>
      <c r="M70" s="674">
        <f>+L70*'ТЭЦ-4'!O106</f>
        <v>41.859789897492071</v>
      </c>
      <c r="N70" s="674">
        <f>+M70*'ТЭЦ-4'!P106</f>
        <v>43.534181493391756</v>
      </c>
      <c r="O70" s="635"/>
      <c r="P70" s="635"/>
    </row>
    <row r="71" spans="1:16" ht="12" thickBot="1" x14ac:dyDescent="0.25">
      <c r="A71" s="44"/>
      <c r="B71" s="262" t="s">
        <v>627</v>
      </c>
      <c r="C71" s="647"/>
      <c r="D71" s="647"/>
      <c r="E71" s="647"/>
      <c r="F71" s="699">
        <f>+('ТЭЦ-4'!H200-'ТЭЦ-4'!H146)/'ТЭЦ-4'!H83</f>
        <v>5.1944829136737098</v>
      </c>
      <c r="G71" s="674">
        <f>+F71*'ТЭЦ-4'!I106</f>
        <v>5.402262230220658</v>
      </c>
      <c r="H71" s="674">
        <f>+G71*'ТЭЦ-4'!J106</f>
        <v>5.6183527194294847</v>
      </c>
      <c r="I71" s="674">
        <f>+H71*'ТЭЦ-4'!K106</f>
        <v>5.8430868282066646</v>
      </c>
      <c r="J71" s="674">
        <f>+I71*'ТЭЦ-4'!L106</f>
        <v>6.0768103013349313</v>
      </c>
      <c r="K71" s="674">
        <f>+J71*'ТЭЦ-4'!M106</f>
        <v>6.3198827133883286</v>
      </c>
      <c r="L71" s="674">
        <f>+K71*'ТЭЦ-4'!N106</f>
        <v>6.5726780219238616</v>
      </c>
      <c r="M71" s="674">
        <f>+L71*'ТЭЦ-4'!O106</f>
        <v>6.8355851428008165</v>
      </c>
      <c r="N71" s="674">
        <f>+M71*'ТЭЦ-4'!P106</f>
        <v>7.1090085485128496</v>
      </c>
      <c r="O71" s="635"/>
      <c r="P71" s="635"/>
    </row>
    <row r="72" spans="1:16" s="669" customFormat="1" ht="12" thickBot="1" x14ac:dyDescent="0.25">
      <c r="A72" s="645"/>
      <c r="B72" s="650" t="s">
        <v>612</v>
      </c>
      <c r="C72" s="664"/>
      <c r="D72" s="664"/>
      <c r="E72" s="664"/>
      <c r="F72" s="672">
        <f>SUM(C67:G67)/F68</f>
        <v>9.0838424675040965</v>
      </c>
      <c r="G72" s="673"/>
      <c r="H72" s="673"/>
      <c r="I72" s="673"/>
      <c r="J72" s="673"/>
      <c r="K72" s="673"/>
      <c r="L72" s="673"/>
      <c r="M72" s="673"/>
      <c r="N72" s="673"/>
      <c r="O72" s="668"/>
      <c r="P72" s="668"/>
    </row>
    <row r="73" spans="1:16" x14ac:dyDescent="0.2">
      <c r="A73" s="44"/>
      <c r="B73" s="44"/>
      <c r="C73" s="644"/>
      <c r="D73" s="644"/>
      <c r="E73" s="644"/>
      <c r="F73" s="644"/>
      <c r="G73" s="644"/>
      <c r="H73" s="644"/>
      <c r="I73" s="644"/>
      <c r="J73" s="644"/>
      <c r="K73" s="644"/>
      <c r="L73" s="644"/>
      <c r="M73" s="644"/>
      <c r="N73" s="644"/>
    </row>
    <row r="74" spans="1:16" ht="45" x14ac:dyDescent="0.2">
      <c r="A74" s="262">
        <f>+'ТЭЦ-4'!A112</f>
        <v>14</v>
      </c>
      <c r="B74" s="648" t="str">
        <f>+'ТЭЦ-4'!B112</f>
        <v>Техническое перевооружение внутристанционной схемы теплосети ТЭЦ-4 с установкой аккумуляторного бака ёмкостью 5000 м3</v>
      </c>
      <c r="C74" s="647"/>
      <c r="D74" s="647"/>
      <c r="E74" s="647"/>
      <c r="F74" s="647"/>
      <c r="G74" s="647"/>
      <c r="H74" s="647"/>
      <c r="I74" s="647"/>
      <c r="J74" s="647"/>
      <c r="K74" s="647"/>
      <c r="L74" s="647"/>
      <c r="M74" s="647"/>
      <c r="N74" s="647"/>
      <c r="O74" s="635"/>
      <c r="P74" s="635"/>
    </row>
    <row r="75" spans="1:16" x14ac:dyDescent="0.2">
      <c r="A75" s="646"/>
      <c r="B75" s="110" t="s">
        <v>608</v>
      </c>
      <c r="C75" s="649">
        <f>+'ТЭЦ-4'!E112</f>
        <v>0</v>
      </c>
      <c r="D75" s="649">
        <f>+'ТЭЦ-4'!F112</f>
        <v>0</v>
      </c>
      <c r="E75" s="649">
        <f>+'ТЭЦ-4'!G112</f>
        <v>0</v>
      </c>
      <c r="F75" s="649">
        <f>+'ТЭЦ-4'!H112</f>
        <v>9388</v>
      </c>
      <c r="G75" s="649">
        <f>+'ТЭЦ-4'!I112</f>
        <v>23836</v>
      </c>
      <c r="H75" s="647"/>
      <c r="I75" s="647"/>
      <c r="J75" s="647"/>
      <c r="K75" s="647"/>
      <c r="L75" s="647"/>
      <c r="M75" s="647"/>
      <c r="N75" s="647"/>
      <c r="O75" s="635"/>
      <c r="P75" s="635"/>
    </row>
    <row r="76" spans="1:16" ht="31.5" x14ac:dyDescent="0.2">
      <c r="A76" s="646"/>
      <c r="B76" s="650" t="s">
        <v>624</v>
      </c>
      <c r="C76" s="647"/>
      <c r="D76" s="647"/>
      <c r="E76" s="647"/>
      <c r="F76" s="644"/>
      <c r="G76" s="647"/>
      <c r="H76" s="651">
        <f t="shared" ref="H76:I76" si="8">+(H78-H79)*H77</f>
        <v>17006.718721952115</v>
      </c>
      <c r="I76" s="651">
        <f t="shared" si="8"/>
        <v>17565.455858121961</v>
      </c>
      <c r="J76" s="651">
        <f t="shared" ref="J76" si="9">+(J78-J79)*J77</f>
        <v>18281.4302727994</v>
      </c>
      <c r="K76" s="651">
        <f t="shared" ref="K76" si="10">+(K78-K79)*K77</f>
        <v>19026.089438582247</v>
      </c>
      <c r="L76" s="651">
        <f t="shared" ref="L76" si="11">+(L78-L79)*L77</f>
        <v>19800.580902393885</v>
      </c>
      <c r="M76" s="651">
        <f t="shared" ref="M76" si="12">+(M78-M79)*M77</f>
        <v>20606.098113572301</v>
      </c>
      <c r="N76" s="651">
        <f t="shared" ref="N76" si="13">+(N78-N79)*N77</f>
        <v>21443.882259968494</v>
      </c>
      <c r="O76" s="635"/>
      <c r="P76" s="635"/>
    </row>
    <row r="77" spans="1:16" x14ac:dyDescent="0.2">
      <c r="A77" s="44"/>
      <c r="B77" s="262" t="s">
        <v>625</v>
      </c>
      <c r="C77" s="647"/>
      <c r="D77" s="647"/>
      <c r="E77" s="647"/>
      <c r="F77" s="647"/>
      <c r="G77" s="647"/>
      <c r="H77" s="649">
        <f>+'ТЭЦ-4'!K86</f>
        <v>325.60000000000008</v>
      </c>
      <c r="I77" s="649">
        <f>+'ТЭЦ-4'!K86</f>
        <v>325.60000000000008</v>
      </c>
      <c r="J77" s="649">
        <f>+'ТЭЦ-4'!L86</f>
        <v>325.60000000000008</v>
      </c>
      <c r="K77" s="649">
        <f>+'ТЭЦ-4'!M86</f>
        <v>325.60000000000008</v>
      </c>
      <c r="L77" s="649">
        <f>+'ТЭЦ-4'!N86</f>
        <v>325.60000000000008</v>
      </c>
      <c r="M77" s="649">
        <f>+'ТЭЦ-4'!O86</f>
        <v>325.60000000000008</v>
      </c>
      <c r="N77" s="649">
        <f>+'ТЭЦ-4'!P86</f>
        <v>325.60000000000008</v>
      </c>
      <c r="O77" s="635"/>
      <c r="P77" s="635"/>
    </row>
    <row r="78" spans="1:16" x14ac:dyDescent="0.2">
      <c r="A78" s="44"/>
      <c r="B78" s="262" t="s">
        <v>626</v>
      </c>
      <c r="C78" s="647"/>
      <c r="D78" s="647"/>
      <c r="E78" s="647"/>
      <c r="F78" s="647"/>
      <c r="G78" s="647"/>
      <c r="H78" s="674">
        <f t="shared" ref="H78" si="14">+H91</f>
        <v>56.31348610853324</v>
      </c>
      <c r="I78" s="674">
        <f t="shared" ref="I78:N78" si="15">+I91</f>
        <v>58.566025552874571</v>
      </c>
      <c r="J78" s="674">
        <f t="shared" si="15"/>
        <v>60.908666574989553</v>
      </c>
      <c r="K78" s="674">
        <f t="shared" si="15"/>
        <v>63.345013237989136</v>
      </c>
      <c r="L78" s="674">
        <f t="shared" si="15"/>
        <v>65.878813767508703</v>
      </c>
      <c r="M78" s="674">
        <f t="shared" si="15"/>
        <v>68.513966318209057</v>
      </c>
      <c r="N78" s="674">
        <f t="shared" si="15"/>
        <v>71.254524970937425</v>
      </c>
      <c r="O78" s="635"/>
      <c r="P78" s="635"/>
    </row>
    <row r="79" spans="1:16" x14ac:dyDescent="0.2">
      <c r="A79" s="44"/>
      <c r="B79" s="262" t="s">
        <v>627</v>
      </c>
      <c r="C79" s="647"/>
      <c r="D79" s="647"/>
      <c r="E79" s="647"/>
      <c r="F79" s="647"/>
      <c r="G79" s="647"/>
      <c r="H79" s="674">
        <f t="shared" ref="H79" si="16">+H92</f>
        <v>4.0815490018007097</v>
      </c>
      <c r="I79" s="674">
        <f t="shared" ref="I79:N79" si="17">+I92</f>
        <v>4.6180653006572623</v>
      </c>
      <c r="J79" s="674">
        <f t="shared" si="17"/>
        <v>4.7617677027555381</v>
      </c>
      <c r="K79" s="674">
        <f t="shared" si="17"/>
        <v>4.9110776158078071</v>
      </c>
      <c r="L79" s="674">
        <f t="shared" si="17"/>
        <v>5.0662188584365948</v>
      </c>
      <c r="M79" s="674">
        <f t="shared" si="17"/>
        <v>5.2274242003580298</v>
      </c>
      <c r="N79" s="674">
        <f t="shared" si="17"/>
        <v>5.3949357204199453</v>
      </c>
      <c r="O79" s="635"/>
      <c r="P79" s="635"/>
    </row>
    <row r="80" spans="1:16" ht="21.75" thickBot="1" x14ac:dyDescent="0.25">
      <c r="A80" s="646"/>
      <c r="B80" s="650" t="s">
        <v>616</v>
      </c>
      <c r="C80" s="647"/>
      <c r="D80" s="647"/>
      <c r="E80" s="647"/>
      <c r="F80" s="647"/>
      <c r="G80" s="647"/>
      <c r="H80" s="655">
        <f t="shared" ref="H80:N80" si="18">+H63+H76</f>
        <v>17006.718721952115</v>
      </c>
      <c r="I80" s="655">
        <f t="shared" si="18"/>
        <v>17565.455858121961</v>
      </c>
      <c r="J80" s="655">
        <f t="shared" si="18"/>
        <v>18281.4302727994</v>
      </c>
      <c r="K80" s="655">
        <f t="shared" si="18"/>
        <v>19026.089438582247</v>
      </c>
      <c r="L80" s="655">
        <f t="shared" si="18"/>
        <v>19800.580902393885</v>
      </c>
      <c r="M80" s="655">
        <f t="shared" si="18"/>
        <v>20606.098113572301</v>
      </c>
      <c r="N80" s="655">
        <f t="shared" si="18"/>
        <v>21443.882259968494</v>
      </c>
      <c r="O80" s="635"/>
      <c r="P80" s="635"/>
    </row>
    <row r="81" spans="1:16" s="669" customFormat="1" ht="12" thickBot="1" x14ac:dyDescent="0.25">
      <c r="A81" s="645"/>
      <c r="B81" s="650" t="s">
        <v>612</v>
      </c>
      <c r="C81" s="664"/>
      <c r="D81" s="664"/>
      <c r="E81" s="664"/>
      <c r="F81" s="665"/>
      <c r="G81" s="673"/>
      <c r="H81" s="672">
        <f>SUM(C75:G75)/H80</f>
        <v>1.9535808490273181</v>
      </c>
      <c r="I81" s="647"/>
      <c r="J81" s="664"/>
      <c r="K81" s="664"/>
      <c r="L81" s="664"/>
      <c r="M81" s="664"/>
      <c r="N81" s="664"/>
      <c r="O81" s="668"/>
      <c r="P81" s="668"/>
    </row>
    <row r="82" spans="1:16" x14ac:dyDescent="0.2">
      <c r="A82" s="44"/>
      <c r="B82" s="262"/>
      <c r="C82" s="647"/>
      <c r="D82" s="647"/>
      <c r="E82" s="647"/>
      <c r="F82" s="647"/>
      <c r="G82" s="647"/>
      <c r="H82" s="647"/>
      <c r="I82" s="647"/>
      <c r="J82" s="647"/>
      <c r="K82" s="647"/>
      <c r="L82" s="647"/>
      <c r="M82" s="647"/>
      <c r="N82" s="647"/>
      <c r="O82" s="635"/>
      <c r="P82" s="635"/>
    </row>
    <row r="83" spans="1:16" ht="78.75" x14ac:dyDescent="0.2">
      <c r="A83" s="262">
        <f>+'ТЭЦ-4'!A113</f>
        <v>15</v>
      </c>
      <c r="B83" s="648" t="str">
        <f>+'ТЭЦ-4'!B113</f>
        <v>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</v>
      </c>
      <c r="C83" s="647"/>
      <c r="D83" s="647"/>
      <c r="E83" s="647"/>
      <c r="F83" s="647"/>
      <c r="G83" s="647"/>
      <c r="H83" s="647"/>
      <c r="I83" s="647"/>
      <c r="J83" s="647"/>
      <c r="K83" s="647"/>
      <c r="L83" s="647"/>
      <c r="M83" s="647"/>
      <c r="N83" s="647"/>
      <c r="O83" s="635"/>
      <c r="P83" s="635"/>
    </row>
    <row r="84" spans="1:16" x14ac:dyDescent="0.2">
      <c r="A84" s="646"/>
      <c r="B84" s="110" t="s">
        <v>608</v>
      </c>
      <c r="C84" s="649">
        <f>+'ТЭЦ-4'!E113</f>
        <v>3354.8698167791708</v>
      </c>
      <c r="D84" s="649">
        <f>+'ТЭЦ-4'!F113</f>
        <v>9739</v>
      </c>
      <c r="E84" s="649">
        <f>+'ТЭЦ-4'!G113</f>
        <v>0</v>
      </c>
      <c r="F84" s="649">
        <f>+'ТЭЦ-4'!H113</f>
        <v>0</v>
      </c>
      <c r="G84" s="649">
        <f>+'ТЭЦ-4'!I113</f>
        <v>25715</v>
      </c>
      <c r="H84" s="647"/>
      <c r="I84" s="647"/>
      <c r="J84" s="647"/>
      <c r="K84" s="647"/>
      <c r="L84" s="647"/>
      <c r="M84" s="647"/>
      <c r="N84" s="647"/>
      <c r="O84" s="635"/>
      <c r="P84" s="635"/>
    </row>
    <row r="85" spans="1:16" ht="21" x14ac:dyDescent="0.2">
      <c r="A85" s="646"/>
      <c r="B85" s="650" t="s">
        <v>617</v>
      </c>
      <c r="C85" s="647"/>
      <c r="D85" s="647"/>
      <c r="E85" s="647"/>
      <c r="F85" s="644"/>
      <c r="G85" s="647"/>
      <c r="H85" s="651">
        <f t="shared" ref="H85:N85" si="19">-($H87-$G87)*H88/1000</f>
        <v>187.56764021319398</v>
      </c>
      <c r="I85" s="651">
        <f t="shared" si="19"/>
        <v>193.19466941958981</v>
      </c>
      <c r="J85" s="651">
        <f t="shared" si="19"/>
        <v>198.9905095021775</v>
      </c>
      <c r="K85" s="651">
        <f t="shared" si="19"/>
        <v>204.96022478724282</v>
      </c>
      <c r="L85" s="651">
        <f t="shared" si="19"/>
        <v>211.10903153086014</v>
      </c>
      <c r="M85" s="651">
        <f t="shared" si="19"/>
        <v>217.44230247678595</v>
      </c>
      <c r="N85" s="651">
        <f t="shared" si="19"/>
        <v>223.96557155108951</v>
      </c>
      <c r="O85" s="635"/>
      <c r="P85" s="635"/>
    </row>
    <row r="86" spans="1:16" ht="22.5" x14ac:dyDescent="0.2">
      <c r="A86" s="646"/>
      <c r="B86" s="280" t="s">
        <v>379</v>
      </c>
      <c r="C86" s="647"/>
      <c r="D86" s="647"/>
      <c r="E86" s="647"/>
      <c r="F86" s="644"/>
      <c r="G86" s="649">
        <f>+'ТЭЦ-4'!I63</f>
        <v>269.0616500505551</v>
      </c>
      <c r="H86" s="649">
        <f>+'ТЭЦ-4'!J63</f>
        <v>268.9598003314768</v>
      </c>
      <c r="I86" s="647"/>
      <c r="J86" s="647"/>
      <c r="K86" s="647"/>
      <c r="L86" s="647"/>
      <c r="M86" s="647"/>
      <c r="N86" s="647"/>
      <c r="O86" s="635"/>
      <c r="P86" s="635"/>
    </row>
    <row r="87" spans="1:16" ht="22.5" x14ac:dyDescent="0.2">
      <c r="A87" s="646"/>
      <c r="B87" s="46" t="s">
        <v>623</v>
      </c>
      <c r="C87" s="647"/>
      <c r="D87" s="647"/>
      <c r="E87" s="647"/>
      <c r="F87" s="644"/>
      <c r="G87" s="649">
        <f>+'ТЭЦ-4'!I79</f>
        <v>80618.258047240291</v>
      </c>
      <c r="H87" s="649">
        <f>+G87*(1+'ТЭЦ-4'!J68)</f>
        <v>80587.741074891572</v>
      </c>
      <c r="I87" s="647"/>
      <c r="J87" s="647"/>
      <c r="K87" s="647"/>
      <c r="L87" s="647"/>
      <c r="M87" s="647"/>
      <c r="N87" s="647"/>
      <c r="O87" s="635"/>
      <c r="P87" s="635"/>
    </row>
    <row r="88" spans="1:16" x14ac:dyDescent="0.2">
      <c r="A88" s="646"/>
      <c r="B88" s="46" t="s">
        <v>620</v>
      </c>
      <c r="C88" s="647"/>
      <c r="D88" s="647"/>
      <c r="E88" s="647"/>
      <c r="F88" s="644"/>
      <c r="G88" s="647"/>
      <c r="H88" s="649">
        <f>+'ТЭЦ-4'!J104</f>
        <v>6146.3384397981745</v>
      </c>
      <c r="I88" s="649">
        <f>+'ТЭЦ-4'!K104</f>
        <v>6330.72859299212</v>
      </c>
      <c r="J88" s="649">
        <f>+'ТЭЦ-4'!L104</f>
        <v>6520.6504507818836</v>
      </c>
      <c r="K88" s="649">
        <f>+'ТЭЦ-4'!M104</f>
        <v>6716.2699643053402</v>
      </c>
      <c r="L88" s="649">
        <f>+'ТЭЦ-4'!N104</f>
        <v>6917.7580632345007</v>
      </c>
      <c r="M88" s="649">
        <f>+'ТЭЦ-4'!O104</f>
        <v>7125.2908051315362</v>
      </c>
      <c r="N88" s="649">
        <f>+'ТЭЦ-4'!P104</f>
        <v>7339.0495292854821</v>
      </c>
      <c r="O88" s="635"/>
      <c r="P88" s="635"/>
    </row>
    <row r="89" spans="1:16" ht="31.5" x14ac:dyDescent="0.2">
      <c r="A89" s="646"/>
      <c r="B89" s="650" t="s">
        <v>624</v>
      </c>
      <c r="C89" s="647"/>
      <c r="D89" s="647"/>
      <c r="E89" s="647"/>
      <c r="F89" s="644"/>
      <c r="G89" s="647"/>
      <c r="H89" s="651">
        <f>+(H91-H92)*H90</f>
        <v>13287.804799952757</v>
      </c>
      <c r="I89" s="651">
        <f t="shared" ref="I89:N89" si="20">+(I91-I92)*I90</f>
        <v>13724.361088164085</v>
      </c>
      <c r="J89" s="651">
        <f t="shared" si="20"/>
        <v>14283.771073096335</v>
      </c>
      <c r="K89" s="651">
        <f t="shared" si="20"/>
        <v>14865.593222282932</v>
      </c>
      <c r="L89" s="651">
        <f t="shared" si="20"/>
        <v>15470.724144867947</v>
      </c>
      <c r="M89" s="651">
        <f t="shared" si="20"/>
        <v>16100.096314781304</v>
      </c>
      <c r="N89" s="651">
        <f t="shared" si="20"/>
        <v>16754.679505331649</v>
      </c>
      <c r="O89" s="635"/>
      <c r="P89" s="635"/>
    </row>
    <row r="90" spans="1:16" x14ac:dyDescent="0.2">
      <c r="A90" s="44"/>
      <c r="B90" s="262" t="s">
        <v>625</v>
      </c>
      <c r="C90" s="647"/>
      <c r="D90" s="647"/>
      <c r="E90" s="647"/>
      <c r="F90" s="647"/>
      <c r="G90" s="647"/>
      <c r="H90" s="649">
        <f>+'ТЭЦ-4'!J85</f>
        <v>254.40000000000003</v>
      </c>
      <c r="I90" s="649">
        <f>+'ТЭЦ-4'!K85</f>
        <v>254.40000000000003</v>
      </c>
      <c r="J90" s="649">
        <f>+'ТЭЦ-4'!L85</f>
        <v>254.40000000000003</v>
      </c>
      <c r="K90" s="649">
        <f>+'ТЭЦ-4'!M85</f>
        <v>254.40000000000003</v>
      </c>
      <c r="L90" s="649">
        <f>+'ТЭЦ-4'!N85</f>
        <v>254.40000000000003</v>
      </c>
      <c r="M90" s="649">
        <f>+'ТЭЦ-4'!O85</f>
        <v>254.40000000000003</v>
      </c>
      <c r="N90" s="649">
        <f>+'ТЭЦ-4'!P85</f>
        <v>254.40000000000003</v>
      </c>
      <c r="O90" s="635"/>
      <c r="P90" s="635"/>
    </row>
    <row r="91" spans="1:16" x14ac:dyDescent="0.2">
      <c r="A91" s="44"/>
      <c r="B91" s="262" t="s">
        <v>626</v>
      </c>
      <c r="C91" s="647"/>
      <c r="D91" s="647"/>
      <c r="E91" s="647"/>
      <c r="F91" s="647"/>
      <c r="G91" s="647"/>
      <c r="H91" s="649">
        <f>+('ТЭЦ-3'!J194-'ТЭЦ-3'!J140)/'ТЭЦ-3'!J80</f>
        <v>56.31348610853324</v>
      </c>
      <c r="I91" s="671">
        <f>+H91*'ТЭЦ-3'!K104</f>
        <v>58.566025552874571</v>
      </c>
      <c r="J91" s="671">
        <f>+I91*'ТЭЦ-3'!L104</f>
        <v>60.908666574989553</v>
      </c>
      <c r="K91" s="671">
        <f>+J91*'ТЭЦ-3'!M104</f>
        <v>63.345013237989136</v>
      </c>
      <c r="L91" s="671">
        <f>+K91*'ТЭЦ-3'!N104</f>
        <v>65.878813767508703</v>
      </c>
      <c r="M91" s="671">
        <f>+L91*'ТЭЦ-3'!O104</f>
        <v>68.513966318209057</v>
      </c>
      <c r="N91" s="671">
        <f>+M91*'ТЭЦ-3'!P104</f>
        <v>71.254524970937425</v>
      </c>
      <c r="O91" s="635"/>
      <c r="P91" s="635"/>
    </row>
    <row r="92" spans="1:16" x14ac:dyDescent="0.2">
      <c r="A92" s="44"/>
      <c r="B92" s="262" t="s">
        <v>627</v>
      </c>
      <c r="C92" s="647"/>
      <c r="D92" s="647"/>
      <c r="E92" s="647"/>
      <c r="F92" s="647"/>
      <c r="G92" s="647"/>
      <c r="H92" s="649">
        <f>+('ТЭЦ-4'!J200-'ТЭЦ-4'!J146)/'ТЭЦ-4'!J83</f>
        <v>4.0815490018007097</v>
      </c>
      <c r="I92" s="649">
        <f>+('ТЭЦ-4'!K200-'ТЭЦ-4'!K146)/'ТЭЦ-4'!K83</f>
        <v>4.6180653006572623</v>
      </c>
      <c r="J92" s="649">
        <f>+('ТЭЦ-4'!L200-'ТЭЦ-4'!L146)/'ТЭЦ-4'!L83</f>
        <v>4.7617677027555381</v>
      </c>
      <c r="K92" s="649">
        <f>+('ТЭЦ-4'!M200-'ТЭЦ-4'!M146)/'ТЭЦ-4'!M83</f>
        <v>4.9110776158078071</v>
      </c>
      <c r="L92" s="649">
        <f>+('ТЭЦ-4'!N200-'ТЭЦ-4'!N146)/'ТЭЦ-4'!N83</f>
        <v>5.0662188584365948</v>
      </c>
      <c r="M92" s="649">
        <f>+('ТЭЦ-4'!O200-'ТЭЦ-4'!O146)/'ТЭЦ-4'!O83</f>
        <v>5.2274242003580298</v>
      </c>
      <c r="N92" s="649">
        <f>+('ТЭЦ-4'!P200-'ТЭЦ-4'!P146)/'ТЭЦ-4'!P83</f>
        <v>5.3949357204199453</v>
      </c>
      <c r="O92" s="635"/>
      <c r="P92" s="635"/>
    </row>
    <row r="93" spans="1:16" ht="21.75" thickBot="1" x14ac:dyDescent="0.25">
      <c r="A93" s="646"/>
      <c r="B93" s="650" t="s">
        <v>616</v>
      </c>
      <c r="C93" s="647"/>
      <c r="D93" s="647"/>
      <c r="E93" s="647"/>
      <c r="F93" s="647"/>
      <c r="G93" s="647"/>
      <c r="H93" s="655">
        <f>+H85+H89</f>
        <v>13475.372440165951</v>
      </c>
      <c r="I93" s="655">
        <f t="shared" ref="I93:N93" si="21">+I85+I89</f>
        <v>13917.555757583676</v>
      </c>
      <c r="J93" s="655">
        <f t="shared" si="21"/>
        <v>14482.761582598512</v>
      </c>
      <c r="K93" s="655">
        <f t="shared" si="21"/>
        <v>15070.553447070175</v>
      </c>
      <c r="L93" s="655">
        <f t="shared" si="21"/>
        <v>15681.833176398806</v>
      </c>
      <c r="M93" s="655">
        <f t="shared" si="21"/>
        <v>16317.538617258089</v>
      </c>
      <c r="N93" s="655">
        <f t="shared" si="21"/>
        <v>16978.645076882738</v>
      </c>
      <c r="O93" s="635"/>
      <c r="P93" s="635"/>
    </row>
    <row r="94" spans="1:16" s="669" customFormat="1" ht="12" thickBot="1" x14ac:dyDescent="0.25">
      <c r="A94" s="645"/>
      <c r="B94" s="650" t="s">
        <v>612</v>
      </c>
      <c r="C94" s="664"/>
      <c r="D94" s="664"/>
      <c r="E94" s="664"/>
      <c r="F94" s="665"/>
      <c r="G94" s="673"/>
      <c r="H94" s="672">
        <f>SUM(C84:G84)/H93</f>
        <v>2.8799849495144074</v>
      </c>
      <c r="I94" s="664"/>
      <c r="J94" s="664"/>
      <c r="K94" s="664"/>
      <c r="L94" s="664"/>
      <c r="M94" s="664"/>
      <c r="N94" s="664"/>
      <c r="O94" s="668"/>
      <c r="P94" s="668"/>
    </row>
    <row r="95" spans="1:16" x14ac:dyDescent="0.2">
      <c r="A95" s="44"/>
      <c r="B95" s="262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35"/>
      <c r="P95" s="635"/>
    </row>
    <row r="96" spans="1:16" ht="33.75" x14ac:dyDescent="0.2">
      <c r="A96" s="262">
        <f>+'ТЭЦ-4'!A114</f>
        <v>16</v>
      </c>
      <c r="B96" s="648" t="str">
        <f>+'ТЭЦ-4'!B114</f>
        <v>Техническое перевооружение конвективной части водогрейного котла №3 ТЭЦ-4</v>
      </c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35"/>
      <c r="P96" s="635"/>
    </row>
    <row r="97" spans="1:16" ht="22.5" x14ac:dyDescent="0.2">
      <c r="A97" s="646"/>
      <c r="B97" s="684" t="s">
        <v>642</v>
      </c>
      <c r="C97" s="644"/>
      <c r="D97" s="644"/>
      <c r="E97" s="644"/>
      <c r="F97" s="644"/>
      <c r="G97" s="644"/>
      <c r="H97" s="644"/>
      <c r="I97" s="644"/>
      <c r="J97" s="644"/>
      <c r="K97" s="644"/>
      <c r="L97" s="644"/>
      <c r="M97" s="644"/>
      <c r="N97" s="644"/>
    </row>
    <row r="98" spans="1:16" ht="22.5" x14ac:dyDescent="0.2">
      <c r="A98" s="262">
        <f>+'ТЭЦ-4'!A115</f>
        <v>17</v>
      </c>
      <c r="B98" s="648" t="str">
        <f>+'ТЭЦ-4'!B115</f>
        <v>Установка ЧРП на подпиточных насосах ТЭЦ-4 с заменой одного из насосов 350Д-90</v>
      </c>
      <c r="C98" s="647"/>
      <c r="D98" s="647"/>
      <c r="E98" s="647"/>
      <c r="F98" s="647"/>
      <c r="G98" s="647"/>
      <c r="H98" s="647"/>
      <c r="I98" s="647"/>
      <c r="J98" s="647"/>
      <c r="K98" s="647"/>
      <c r="L98" s="647"/>
      <c r="M98" s="647"/>
      <c r="N98" s="647"/>
      <c r="O98" s="635"/>
      <c r="P98" s="635"/>
    </row>
    <row r="99" spans="1:16" x14ac:dyDescent="0.2">
      <c r="A99" s="646"/>
      <c r="B99" s="110" t="s">
        <v>608</v>
      </c>
      <c r="C99" s="649">
        <f>+'ТЭЦ-4'!E115</f>
        <v>0</v>
      </c>
      <c r="D99" s="649">
        <f>+'ТЭЦ-4'!F115</f>
        <v>1091</v>
      </c>
      <c r="E99" s="649">
        <f>+'ТЭЦ-4'!G115</f>
        <v>0</v>
      </c>
      <c r="F99" s="649">
        <f>+'ТЭЦ-4'!H115</f>
        <v>0</v>
      </c>
      <c r="G99" s="649">
        <f>+'ТЭЦ-4'!I115</f>
        <v>0</v>
      </c>
      <c r="H99" s="647"/>
      <c r="I99" s="647"/>
      <c r="J99" s="647"/>
      <c r="K99" s="647"/>
      <c r="L99" s="647"/>
      <c r="M99" s="647"/>
      <c r="N99" s="647"/>
      <c r="O99" s="635"/>
      <c r="P99" s="635"/>
    </row>
    <row r="100" spans="1:16" ht="21" x14ac:dyDescent="0.2">
      <c r="A100" s="646"/>
      <c r="B100" s="650" t="s">
        <v>636</v>
      </c>
      <c r="C100" s="647"/>
      <c r="D100" s="644"/>
      <c r="E100" s="700">
        <f t="shared" ref="E100:N100" si="22">+E103*($E102-$D102)</f>
        <v>488.6249510255642</v>
      </c>
      <c r="F100" s="700">
        <f t="shared" si="22"/>
        <v>490.29957439656471</v>
      </c>
      <c r="G100" s="651">
        <f t="shared" si="22"/>
        <v>491.97993706399041</v>
      </c>
      <c r="H100" s="651">
        <f t="shared" si="22"/>
        <v>493.66605869765129</v>
      </c>
      <c r="I100" s="651">
        <f t="shared" si="22"/>
        <v>495.35795903477003</v>
      </c>
      <c r="J100" s="651">
        <f t="shared" si="22"/>
        <v>497.055657880213</v>
      </c>
      <c r="K100" s="651">
        <f t="shared" si="22"/>
        <v>498.75917510672213</v>
      </c>
      <c r="L100" s="651">
        <f t="shared" si="22"/>
        <v>500.46853065514756</v>
      </c>
      <c r="M100" s="651">
        <f t="shared" si="22"/>
        <v>502.18374453468101</v>
      </c>
      <c r="N100" s="651">
        <f t="shared" si="22"/>
        <v>503.90483682308997</v>
      </c>
      <c r="O100" s="635"/>
      <c r="P100" s="635"/>
    </row>
    <row r="101" spans="1:16" x14ac:dyDescent="0.2">
      <c r="A101" s="646"/>
      <c r="B101" s="110" t="s">
        <v>168</v>
      </c>
      <c r="C101" s="647"/>
      <c r="D101" s="649">
        <f>+'ТЭЦ-4'!F17</f>
        <v>75.946273966666666</v>
      </c>
      <c r="E101" s="649">
        <f>+'ТЭЦ-4'!G17</f>
        <v>75.559865086666662</v>
      </c>
      <c r="F101" s="644"/>
      <c r="G101" s="644"/>
      <c r="H101" s="644"/>
      <c r="I101" s="644"/>
      <c r="J101" s="644"/>
      <c r="K101" s="644"/>
      <c r="L101" s="644"/>
      <c r="M101" s="644"/>
      <c r="N101" s="644"/>
      <c r="O101" s="635"/>
      <c r="P101" s="635"/>
    </row>
    <row r="102" spans="1:16" ht="22.5" x14ac:dyDescent="0.2">
      <c r="A102" s="646"/>
      <c r="B102" s="280" t="s">
        <v>170</v>
      </c>
      <c r="C102" s="647"/>
      <c r="D102" s="649">
        <f>+'ТЭЦ-4'!F27</f>
        <v>286.9531713666666</v>
      </c>
      <c r="E102" s="649">
        <f>+'ТЭЦ-4'!G27</f>
        <v>287.33958024666663</v>
      </c>
      <c r="F102" s="644"/>
      <c r="G102" s="644"/>
      <c r="H102" s="644"/>
      <c r="I102" s="647"/>
      <c r="J102" s="647"/>
      <c r="K102" s="647"/>
      <c r="L102" s="647"/>
      <c r="M102" s="647"/>
      <c r="N102" s="647"/>
      <c r="O102" s="635"/>
      <c r="P102" s="635"/>
    </row>
    <row r="103" spans="1:16" ht="12" thickBot="1" x14ac:dyDescent="0.25">
      <c r="A103" s="646"/>
      <c r="B103" s="46" t="s">
        <v>461</v>
      </c>
      <c r="C103" s="647"/>
      <c r="D103" s="647"/>
      <c r="E103" s="690">
        <f>+'ТЭЦ-4'!G92</f>
        <v>1264.5282660831249</v>
      </c>
      <c r="F103" s="690">
        <f>+'ТЭЦ-4'!H92</f>
        <v>1268.8620779018397</v>
      </c>
      <c r="G103" s="690">
        <f>+'ТЭЦ-4'!I92</f>
        <v>1273.2107426308323</v>
      </c>
      <c r="H103" s="690">
        <f>+'ТЭЦ-4'!J92</f>
        <v>1277.5743111742383</v>
      </c>
      <c r="I103" s="690">
        <f>+'ТЭЦ-4'!K92</f>
        <v>1281.9528346106526</v>
      </c>
      <c r="J103" s="690">
        <f>+'ТЭЦ-4'!L92</f>
        <v>1286.3463641937276</v>
      </c>
      <c r="K103" s="690">
        <f>+'ТЭЦ-4'!M92</f>
        <v>1290.7549513527727</v>
      </c>
      <c r="L103" s="690">
        <f>+'ТЭЦ-4'!N92</f>
        <v>1295.1786476933569</v>
      </c>
      <c r="M103" s="690">
        <f>+'ТЭЦ-4'!O92</f>
        <v>1299.6175049979129</v>
      </c>
      <c r="N103" s="690">
        <f>+'ТЭЦ-4'!P92</f>
        <v>1304.0715752263425</v>
      </c>
      <c r="O103" s="635"/>
      <c r="P103" s="635"/>
    </row>
    <row r="104" spans="1:16" ht="12" thickBot="1" x14ac:dyDescent="0.25">
      <c r="A104" s="646"/>
      <c r="B104" s="650" t="s">
        <v>612</v>
      </c>
      <c r="C104" s="647"/>
      <c r="D104" s="658"/>
      <c r="E104" s="693">
        <f>SUM(C99:G99)/E100</f>
        <v>2.2327963353286076</v>
      </c>
      <c r="F104" s="644"/>
      <c r="G104" s="644"/>
      <c r="H104" s="659"/>
      <c r="I104" s="647"/>
      <c r="J104" s="647"/>
      <c r="K104" s="647"/>
      <c r="L104" s="647"/>
      <c r="M104" s="647"/>
      <c r="N104" s="647"/>
      <c r="O104" s="635"/>
      <c r="P104" s="635"/>
    </row>
    <row r="105" spans="1:16" x14ac:dyDescent="0.2">
      <c r="A105" s="646"/>
      <c r="B105" s="650"/>
      <c r="C105" s="647"/>
      <c r="D105" s="644"/>
      <c r="E105" s="680"/>
      <c r="G105" s="647"/>
      <c r="H105" s="647"/>
      <c r="I105" s="647"/>
      <c r="J105" s="647"/>
      <c r="K105" s="647"/>
      <c r="L105" s="647"/>
      <c r="M105" s="647"/>
      <c r="N105" s="647"/>
      <c r="O105" s="635"/>
      <c r="P105" s="635"/>
    </row>
    <row r="106" spans="1:16" ht="22.5" x14ac:dyDescent="0.2">
      <c r="A106" s="262">
        <f>+'ТЭЦ-4'!A116</f>
        <v>18</v>
      </c>
      <c r="B106" s="648" t="str">
        <f>+'ТЭЦ-4'!B116</f>
        <v>Техперевооружение мазутных баков ст.№№4,5 ТЭЦ-4</v>
      </c>
      <c r="C106" s="647"/>
      <c r="D106" s="647"/>
      <c r="E106" s="647"/>
      <c r="F106" s="647"/>
      <c r="G106" s="647"/>
      <c r="H106" s="647"/>
      <c r="I106" s="647"/>
      <c r="J106" s="647"/>
      <c r="K106" s="647"/>
      <c r="L106" s="647"/>
      <c r="M106" s="647"/>
      <c r="N106" s="647"/>
      <c r="O106" s="635"/>
      <c r="P106" s="635"/>
    </row>
    <row r="107" spans="1:16" x14ac:dyDescent="0.2">
      <c r="A107" s="646"/>
      <c r="B107" s="684" t="s">
        <v>637</v>
      </c>
      <c r="C107" s="644"/>
      <c r="D107" s="644"/>
      <c r="E107" s="644"/>
      <c r="F107" s="644"/>
      <c r="G107" s="644"/>
      <c r="H107" s="644"/>
      <c r="I107" s="644"/>
      <c r="J107" s="644"/>
      <c r="K107" s="644"/>
      <c r="L107" s="644"/>
      <c r="M107" s="644"/>
      <c r="N107" s="644"/>
    </row>
    <row r="108" spans="1:16" x14ac:dyDescent="0.2">
      <c r="A108" s="262">
        <f>+'ТЭЦ-4'!A117</f>
        <v>19</v>
      </c>
      <c r="B108" s="648" t="str">
        <f>+'ТЭЦ-4'!B117</f>
        <v>Реконструкция БРОУ 100/16  ТЭЦ-4</v>
      </c>
      <c r="C108" s="647"/>
      <c r="D108" s="647"/>
      <c r="E108" s="647"/>
      <c r="F108" s="647"/>
      <c r="G108" s="647"/>
      <c r="H108" s="647"/>
      <c r="I108" s="647"/>
      <c r="J108" s="647"/>
      <c r="K108" s="647"/>
      <c r="L108" s="647"/>
      <c r="M108" s="647"/>
      <c r="N108" s="647"/>
      <c r="O108" s="635"/>
      <c r="P108" s="635"/>
    </row>
    <row r="109" spans="1:16" x14ac:dyDescent="0.2">
      <c r="A109" s="646"/>
      <c r="B109" s="110" t="s">
        <v>608</v>
      </c>
      <c r="C109" s="649">
        <f>+'ТЭЦ-4'!E117</f>
        <v>0</v>
      </c>
      <c r="D109" s="649">
        <f>+'ТЭЦ-4'!F117</f>
        <v>0</v>
      </c>
      <c r="E109" s="649">
        <f>+'ТЭЦ-4'!G117</f>
        <v>0</v>
      </c>
      <c r="F109" s="649">
        <f>+'ТЭЦ-4'!H117</f>
        <v>14496</v>
      </c>
      <c r="G109" s="649">
        <f>+'ТЭЦ-4'!I117</f>
        <v>0</v>
      </c>
      <c r="H109" s="647"/>
      <c r="I109" s="647"/>
      <c r="J109" s="647"/>
      <c r="K109" s="647"/>
      <c r="L109" s="647"/>
      <c r="M109" s="647"/>
      <c r="N109" s="647"/>
      <c r="O109" s="635"/>
      <c r="P109" s="635"/>
    </row>
    <row r="110" spans="1:16" ht="21" x14ac:dyDescent="0.2">
      <c r="A110" s="646"/>
      <c r="B110" s="650" t="s">
        <v>617</v>
      </c>
      <c r="C110" s="647"/>
      <c r="D110" s="647"/>
      <c r="E110" s="647"/>
      <c r="F110" s="647"/>
      <c r="G110" s="651">
        <f>-($G112-$F112)*G113/1000</f>
        <v>2639.2598903765561</v>
      </c>
      <c r="H110" s="651">
        <f>-($G112-$F112)*H113/1000</f>
        <v>2718.4376870878532</v>
      </c>
      <c r="I110" s="651">
        <f t="shared" ref="I110:N110" si="23">-($G112-$F112)*I113/1000</f>
        <v>2799.9908177004886</v>
      </c>
      <c r="J110" s="651">
        <f t="shared" si="23"/>
        <v>2883.9905422315028</v>
      </c>
      <c r="K110" s="651">
        <f t="shared" si="23"/>
        <v>2970.5102584984484</v>
      </c>
      <c r="L110" s="651">
        <f t="shared" si="23"/>
        <v>3059.6255662534018</v>
      </c>
      <c r="M110" s="651">
        <f t="shared" si="23"/>
        <v>3151.414333241004</v>
      </c>
      <c r="N110" s="651">
        <f t="shared" si="23"/>
        <v>3245.9567632382341</v>
      </c>
      <c r="O110" s="635"/>
      <c r="P110" s="635"/>
    </row>
    <row r="111" spans="1:16" ht="22.5" x14ac:dyDescent="0.2">
      <c r="A111" s="646"/>
      <c r="B111" s="280" t="s">
        <v>379</v>
      </c>
      <c r="C111" s="647"/>
      <c r="D111" s="647"/>
      <c r="E111" s="647"/>
      <c r="F111" s="649">
        <f>+'ТЭЦ-4'!H65</f>
        <v>167.12054491239888</v>
      </c>
      <c r="G111" s="649">
        <f>+'ТЭЦ-4'!I65</f>
        <v>166.68604937259565</v>
      </c>
      <c r="H111" s="647"/>
      <c r="I111" s="644"/>
      <c r="J111" s="647"/>
      <c r="K111" s="647"/>
      <c r="L111" s="647"/>
      <c r="M111" s="647"/>
      <c r="N111" s="647"/>
      <c r="O111" s="635"/>
      <c r="P111" s="635"/>
    </row>
    <row r="112" spans="1:16" ht="22.5" x14ac:dyDescent="0.2">
      <c r="A112" s="646"/>
      <c r="B112" s="46" t="s">
        <v>623</v>
      </c>
      <c r="C112" s="647"/>
      <c r="D112" s="647"/>
      <c r="E112" s="647"/>
      <c r="F112" s="649">
        <f>+'ТЭЦ-4'!H80</f>
        <v>170116.88914429393</v>
      </c>
      <c r="G112" s="649">
        <f>+F112*(1+'ТЭЦ-4'!I75)</f>
        <v>169674.60343000822</v>
      </c>
      <c r="H112" s="647"/>
      <c r="I112" s="644"/>
      <c r="J112" s="647"/>
      <c r="K112" s="647"/>
      <c r="L112" s="647"/>
      <c r="M112" s="647"/>
      <c r="N112" s="647"/>
      <c r="O112" s="635"/>
      <c r="P112" s="635"/>
    </row>
    <row r="113" spans="1:16" ht="12" thickBot="1" x14ac:dyDescent="0.25">
      <c r="A113" s="646"/>
      <c r="B113" s="46" t="s">
        <v>620</v>
      </c>
      <c r="C113" s="647"/>
      <c r="D113" s="647"/>
      <c r="E113" s="647"/>
      <c r="F113" s="647"/>
      <c r="G113" s="660">
        <f>+'ТЭЦ-4'!I104</f>
        <v>5967.3188735904605</v>
      </c>
      <c r="H113" s="649">
        <f>+'ТЭЦ-4'!J104</f>
        <v>6146.3384397981745</v>
      </c>
      <c r="I113" s="649">
        <f>+'ТЭЦ-4'!K104</f>
        <v>6330.72859299212</v>
      </c>
      <c r="J113" s="649">
        <f>+'ТЭЦ-4'!L104</f>
        <v>6520.6504507818836</v>
      </c>
      <c r="K113" s="649">
        <f>+'ТЭЦ-4'!M104</f>
        <v>6716.2699643053402</v>
      </c>
      <c r="L113" s="649">
        <f>+'ТЭЦ-4'!N104</f>
        <v>6917.7580632345007</v>
      </c>
      <c r="M113" s="649">
        <f>+'ТЭЦ-4'!O104</f>
        <v>7125.2908051315362</v>
      </c>
      <c r="N113" s="649">
        <f>+'ТЭЦ-4'!P104</f>
        <v>7339.0495292854821</v>
      </c>
      <c r="O113" s="635"/>
      <c r="P113" s="635"/>
    </row>
    <row r="114" spans="1:16" ht="12" thickBot="1" x14ac:dyDescent="0.25">
      <c r="A114" s="646"/>
      <c r="B114" s="650" t="s">
        <v>612</v>
      </c>
      <c r="C114" s="647"/>
      <c r="D114" s="647"/>
      <c r="E114" s="647"/>
      <c r="F114" s="658"/>
      <c r="G114" s="695">
        <f>+F109/G110</f>
        <v>5.4924488690394888</v>
      </c>
      <c r="H114" s="659"/>
      <c r="I114" s="647"/>
      <c r="J114" s="647"/>
      <c r="K114" s="647"/>
      <c r="L114" s="647"/>
      <c r="M114" s="647"/>
      <c r="N114" s="647"/>
      <c r="O114" s="635"/>
      <c r="P114" s="635"/>
    </row>
    <row r="115" spans="1:16" x14ac:dyDescent="0.2">
      <c r="A115" s="646"/>
      <c r="B115" s="650"/>
      <c r="C115" s="647"/>
      <c r="D115" s="647"/>
      <c r="E115" s="647"/>
      <c r="F115" s="647"/>
      <c r="G115" s="647"/>
      <c r="H115" s="647"/>
      <c r="I115" s="647"/>
      <c r="J115" s="647"/>
      <c r="K115" s="647"/>
      <c r="L115" s="647"/>
      <c r="M115" s="647"/>
      <c r="N115" s="647"/>
      <c r="O115" s="635"/>
      <c r="P115" s="635"/>
    </row>
    <row r="116" spans="1:16" ht="22.5" x14ac:dyDescent="0.2">
      <c r="A116" s="262">
        <f>+'ТЭЦ-4'!A118</f>
        <v>20</v>
      </c>
      <c r="B116" s="648" t="str">
        <f>+'ТЭЦ-4'!B118</f>
        <v>Реконструкция внутристанционного парового коллектора 1.2-2.5 ата ТЭЦ-4</v>
      </c>
      <c r="C116" s="647"/>
      <c r="D116" s="647"/>
      <c r="E116" s="647"/>
      <c r="F116" s="647"/>
      <c r="G116" s="663"/>
      <c r="H116" s="647"/>
      <c r="I116" s="644"/>
      <c r="J116" s="647"/>
      <c r="K116" s="647"/>
      <c r="L116" s="647"/>
      <c r="M116" s="647"/>
      <c r="N116" s="647"/>
      <c r="O116" s="635"/>
      <c r="P116" s="635"/>
    </row>
    <row r="117" spans="1:16" x14ac:dyDescent="0.2">
      <c r="A117" s="646"/>
      <c r="B117" s="684" t="s">
        <v>637</v>
      </c>
      <c r="C117" s="644"/>
      <c r="D117" s="644"/>
      <c r="E117" s="644"/>
      <c r="F117" s="644"/>
      <c r="G117" s="644"/>
      <c r="H117" s="644"/>
      <c r="I117" s="644"/>
      <c r="J117" s="644"/>
      <c r="K117" s="644"/>
      <c r="L117" s="644"/>
      <c r="M117" s="644"/>
      <c r="N117" s="644"/>
    </row>
    <row r="118" spans="1:16" ht="22.5" x14ac:dyDescent="0.2">
      <c r="A118" s="262">
        <f>+'ТЭЦ-4'!A119</f>
        <v>21</v>
      </c>
      <c r="B118" s="648" t="str">
        <f>+'ТЭЦ-4'!B119</f>
        <v>Реконструкция осветлителя в схеме подготовки подпиточной воды ТЭЦ-4</v>
      </c>
      <c r="C118" s="647"/>
      <c r="D118" s="647"/>
      <c r="E118" s="647"/>
      <c r="F118" s="647"/>
      <c r="G118" s="647"/>
      <c r="H118" s="647"/>
      <c r="I118" s="644"/>
      <c r="J118" s="647"/>
      <c r="K118" s="647"/>
      <c r="L118" s="647"/>
      <c r="M118" s="647"/>
      <c r="N118" s="647"/>
      <c r="O118" s="635"/>
      <c r="P118" s="635"/>
    </row>
    <row r="119" spans="1:16" x14ac:dyDescent="0.2">
      <c r="A119" s="646"/>
      <c r="B119" s="684" t="s">
        <v>637</v>
      </c>
      <c r="C119" s="644"/>
      <c r="D119" s="644"/>
      <c r="E119" s="644"/>
      <c r="F119" s="644"/>
      <c r="G119" s="644"/>
      <c r="H119" s="644"/>
      <c r="I119" s="644"/>
      <c r="J119" s="644"/>
      <c r="K119" s="644"/>
      <c r="L119" s="644"/>
      <c r="M119" s="644"/>
      <c r="N119" s="644"/>
    </row>
    <row r="120" spans="1:16" ht="22.5" x14ac:dyDescent="0.2">
      <c r="A120" s="262">
        <f>+'ТЭЦ-4'!A120</f>
        <v>22</v>
      </c>
      <c r="B120" s="648" t="str">
        <f>+'ТЭЦ-4'!B120</f>
        <v>Техническое перевооружение кабельной связи РУ-6 кВ БНС на ТЭЦ-4</v>
      </c>
      <c r="C120" s="647"/>
      <c r="D120" s="647"/>
      <c r="E120" s="647"/>
      <c r="F120" s="647"/>
      <c r="G120" s="647"/>
      <c r="H120" s="647"/>
      <c r="I120" s="647"/>
      <c r="J120" s="647"/>
      <c r="K120" s="647"/>
      <c r="L120" s="647"/>
      <c r="M120" s="647"/>
      <c r="N120" s="647"/>
      <c r="O120" s="635"/>
      <c r="P120" s="635"/>
    </row>
    <row r="121" spans="1:16" x14ac:dyDescent="0.2">
      <c r="A121" s="646"/>
      <c r="B121" s="684" t="s">
        <v>637</v>
      </c>
      <c r="C121" s="644"/>
      <c r="D121" s="644"/>
      <c r="E121" s="644"/>
      <c r="F121" s="644"/>
      <c r="G121" s="644"/>
      <c r="H121" s="644"/>
      <c r="I121" s="644"/>
      <c r="J121" s="644"/>
      <c r="K121" s="644"/>
      <c r="L121" s="644"/>
      <c r="M121" s="644"/>
      <c r="N121" s="644"/>
    </row>
    <row r="122" spans="1:16" ht="22.5" x14ac:dyDescent="0.2">
      <c r="A122" s="262">
        <f>+'ТЭЦ-4'!A121</f>
        <v>23</v>
      </c>
      <c r="B122" s="648" t="str">
        <f>+'ТЭЦ-4'!B121</f>
        <v>Установка паровинтовой машины с ПЭН ТЭЦ-4</v>
      </c>
      <c r="C122" s="647"/>
      <c r="D122" s="647"/>
      <c r="E122" s="647"/>
      <c r="F122" s="647"/>
      <c r="G122" s="647"/>
      <c r="H122" s="647"/>
      <c r="I122" s="647"/>
      <c r="J122" s="647"/>
      <c r="K122" s="647"/>
      <c r="L122" s="647"/>
      <c r="M122" s="647"/>
      <c r="N122" s="647"/>
      <c r="O122" s="635"/>
      <c r="P122" s="635"/>
    </row>
    <row r="123" spans="1:16" x14ac:dyDescent="0.2">
      <c r="A123" s="646"/>
      <c r="B123" s="110" t="s">
        <v>608</v>
      </c>
      <c r="C123" s="649">
        <f>+'ТЭЦ-4'!E121</f>
        <v>0</v>
      </c>
      <c r="D123" s="649">
        <f>+'ТЭЦ-4'!F121</f>
        <v>0</v>
      </c>
      <c r="E123" s="649">
        <f>+'ТЭЦ-4'!G121</f>
        <v>28298</v>
      </c>
      <c r="F123" s="649">
        <f>+'ТЭЦ-4'!H121</f>
        <v>9931</v>
      </c>
      <c r="G123" s="649">
        <f>+'ТЭЦ-4'!I121</f>
        <v>0</v>
      </c>
      <c r="H123" s="647"/>
      <c r="I123" s="647"/>
      <c r="J123" s="647"/>
      <c r="K123" s="647"/>
      <c r="L123" s="647"/>
      <c r="M123" s="647"/>
      <c r="N123" s="647"/>
      <c r="O123" s="635"/>
      <c r="P123" s="635"/>
    </row>
    <row r="124" spans="1:16" ht="21" x14ac:dyDescent="0.2">
      <c r="A124" s="646"/>
      <c r="B124" s="650" t="s">
        <v>636</v>
      </c>
      <c r="C124" s="647"/>
      <c r="D124" s="647"/>
      <c r="E124" s="647"/>
      <c r="F124" s="644"/>
      <c r="G124" s="651">
        <f t="shared" ref="G124:N124" si="24">+G127*($G126-$F126)</f>
        <v>10185.685941046659</v>
      </c>
      <c r="H124" s="651">
        <f t="shared" si="24"/>
        <v>10220.594489393907</v>
      </c>
      <c r="I124" s="651">
        <f t="shared" si="24"/>
        <v>10255.622676885221</v>
      </c>
      <c r="J124" s="651">
        <f t="shared" si="24"/>
        <v>10290.770913549821</v>
      </c>
      <c r="K124" s="651">
        <f t="shared" si="24"/>
        <v>10326.039610822181</v>
      </c>
      <c r="L124" s="651">
        <f t="shared" si="24"/>
        <v>10361.429181546855</v>
      </c>
      <c r="M124" s="651">
        <f t="shared" si="24"/>
        <v>10396.940039983303</v>
      </c>
      <c r="N124" s="651">
        <f t="shared" si="24"/>
        <v>10432.57260181074</v>
      </c>
      <c r="O124" s="635"/>
      <c r="P124" s="635"/>
    </row>
    <row r="125" spans="1:16" x14ac:dyDescent="0.2">
      <c r="A125" s="646"/>
      <c r="B125" s="110" t="s">
        <v>168</v>
      </c>
      <c r="C125" s="647"/>
      <c r="D125" s="647"/>
      <c r="E125" s="647"/>
      <c r="F125" s="649">
        <f>+'ТЭЦ-4'!H17</f>
        <v>75.559865086666662</v>
      </c>
      <c r="G125" s="649">
        <f>+F125+'ТЭЦ-4'!I22</f>
        <v>67.559865086666662</v>
      </c>
      <c r="H125" s="644"/>
      <c r="I125" s="644"/>
      <c r="J125" s="644"/>
      <c r="K125" s="644"/>
      <c r="L125" s="644"/>
      <c r="M125" s="644"/>
      <c r="N125" s="644"/>
      <c r="O125" s="635"/>
      <c r="P125" s="635"/>
    </row>
    <row r="126" spans="1:16" ht="22.5" x14ac:dyDescent="0.2">
      <c r="A126" s="646"/>
      <c r="B126" s="280" t="s">
        <v>170</v>
      </c>
      <c r="C126" s="647"/>
      <c r="D126" s="647"/>
      <c r="E126" s="647"/>
      <c r="F126" s="649">
        <f>+'ТЭЦ-4'!H27</f>
        <v>287.33958024666663</v>
      </c>
      <c r="G126" s="649">
        <f>+F126+F125-G125</f>
        <v>295.33958024666663</v>
      </c>
      <c r="H126" s="647"/>
      <c r="I126" s="647"/>
      <c r="J126" s="647"/>
      <c r="K126" s="647"/>
      <c r="L126" s="647"/>
      <c r="M126" s="647"/>
      <c r="N126" s="647"/>
      <c r="O126" s="635"/>
      <c r="P126" s="635"/>
    </row>
    <row r="127" spans="1:16" x14ac:dyDescent="0.2">
      <c r="A127" s="646"/>
      <c r="B127" s="46" t="s">
        <v>461</v>
      </c>
      <c r="C127" s="647"/>
      <c r="D127" s="647"/>
      <c r="E127" s="647"/>
      <c r="F127" s="647"/>
      <c r="G127" s="690">
        <f>+'ТЭЦ-4'!I92</f>
        <v>1273.2107426308323</v>
      </c>
      <c r="H127" s="690">
        <f>+'ТЭЦ-4'!J92</f>
        <v>1277.5743111742383</v>
      </c>
      <c r="I127" s="690">
        <f>+'ТЭЦ-4'!K92</f>
        <v>1281.9528346106526</v>
      </c>
      <c r="J127" s="690">
        <f>+'ТЭЦ-4'!L92</f>
        <v>1286.3463641937276</v>
      </c>
      <c r="K127" s="690">
        <f>+'ТЭЦ-4'!M92</f>
        <v>1290.7549513527727</v>
      </c>
      <c r="L127" s="690">
        <f>+'ТЭЦ-4'!N92</f>
        <v>1295.1786476933569</v>
      </c>
      <c r="M127" s="690">
        <f>+'ТЭЦ-4'!O92</f>
        <v>1299.6175049979129</v>
      </c>
      <c r="N127" s="690">
        <f>+'ТЭЦ-4'!P92</f>
        <v>1304.0715752263425</v>
      </c>
      <c r="O127" s="635"/>
      <c r="P127" s="635"/>
    </row>
    <row r="128" spans="1:16" ht="21" x14ac:dyDescent="0.2">
      <c r="A128" s="646"/>
      <c r="B128" s="650" t="s">
        <v>643</v>
      </c>
      <c r="C128" s="647"/>
      <c r="D128" s="647"/>
      <c r="E128" s="647"/>
      <c r="F128" s="647"/>
      <c r="G128" s="651">
        <f>-($G130-$F130)*G131/1000</f>
        <v>-2702.1872861587785</v>
      </c>
      <c r="H128" s="651">
        <f>-($G130-$F130)*H131/1000</f>
        <v>-2783.2529047435419</v>
      </c>
      <c r="I128" s="651">
        <f t="shared" ref="I128:N128" si="25">-($G130-$F130)*I131/1000</f>
        <v>-2866.7504918858485</v>
      </c>
      <c r="J128" s="651">
        <f t="shared" si="25"/>
        <v>-2952.7530066424242</v>
      </c>
      <c r="K128" s="651">
        <f t="shared" si="25"/>
        <v>-3041.3355968416968</v>
      </c>
      <c r="L128" s="651">
        <f t="shared" si="25"/>
        <v>-3132.5756647469475</v>
      </c>
      <c r="M128" s="651">
        <f t="shared" si="25"/>
        <v>-3226.5529346893563</v>
      </c>
      <c r="N128" s="651">
        <f t="shared" si="25"/>
        <v>-3323.3495227300373</v>
      </c>
      <c r="O128" s="635"/>
      <c r="P128" s="635"/>
    </row>
    <row r="129" spans="1:16" ht="22.5" x14ac:dyDescent="0.2">
      <c r="A129" s="646"/>
      <c r="B129" s="280" t="s">
        <v>644</v>
      </c>
      <c r="C129" s="647"/>
      <c r="D129" s="647"/>
      <c r="E129" s="647"/>
      <c r="F129" s="649">
        <f>++'ТЭЦ-4'!H63</f>
        <v>275.58685790805822</v>
      </c>
      <c r="G129" s="649">
        <f>+F129*(1+'ТЭЦ-4'!I72)</f>
        <v>277.09817151284528</v>
      </c>
      <c r="H129" s="644"/>
      <c r="I129" s="647"/>
      <c r="J129" s="647"/>
      <c r="K129" s="647"/>
      <c r="L129" s="647"/>
      <c r="M129" s="647"/>
      <c r="N129" s="647"/>
      <c r="O129" s="635"/>
      <c r="P129" s="635"/>
    </row>
    <row r="130" spans="1:16" ht="22.5" x14ac:dyDescent="0.2">
      <c r="A130" s="646"/>
      <c r="B130" s="46" t="s">
        <v>645</v>
      </c>
      <c r="C130" s="647"/>
      <c r="D130" s="647"/>
      <c r="E130" s="647"/>
      <c r="F130" s="647"/>
      <c r="G130" s="649">
        <f>+('ТЭЦ-4'!I15-'ТЭЦ-4'!I17)*(ИНВЕСТ!G129-ИНВЕСТ!F129)</f>
        <v>452.83105250464126</v>
      </c>
      <c r="H130" s="644"/>
      <c r="I130" s="647"/>
      <c r="J130" s="647"/>
      <c r="K130" s="647"/>
      <c r="L130" s="647"/>
      <c r="M130" s="647"/>
      <c r="N130" s="647"/>
      <c r="O130" s="635"/>
      <c r="P130" s="635"/>
    </row>
    <row r="131" spans="1:16" x14ac:dyDescent="0.2">
      <c r="A131" s="646"/>
      <c r="B131" s="46" t="s">
        <v>620</v>
      </c>
      <c r="C131" s="647"/>
      <c r="D131" s="647"/>
      <c r="E131" s="647"/>
      <c r="F131" s="647"/>
      <c r="G131" s="649">
        <f>+'ТЭЦ-4'!I104</f>
        <v>5967.3188735904605</v>
      </c>
      <c r="H131" s="649">
        <f>+'ТЭЦ-4'!J104</f>
        <v>6146.3384397981745</v>
      </c>
      <c r="I131" s="649">
        <f>+'ТЭЦ-4'!K104</f>
        <v>6330.72859299212</v>
      </c>
      <c r="J131" s="649">
        <f>+'ТЭЦ-4'!L104</f>
        <v>6520.6504507818836</v>
      </c>
      <c r="K131" s="649">
        <f>+'ТЭЦ-4'!M104</f>
        <v>6716.2699643053402</v>
      </c>
      <c r="L131" s="649">
        <f>+'ТЭЦ-4'!N104</f>
        <v>6917.7580632345007</v>
      </c>
      <c r="M131" s="649">
        <f>+'ТЭЦ-4'!O104</f>
        <v>7125.2908051315362</v>
      </c>
      <c r="N131" s="649">
        <f>+'ТЭЦ-4'!P104</f>
        <v>7339.0495292854821</v>
      </c>
      <c r="O131" s="635"/>
      <c r="P131" s="635"/>
    </row>
    <row r="132" spans="1:16" ht="21.75" thickBot="1" x14ac:dyDescent="0.25">
      <c r="A132" s="646"/>
      <c r="B132" s="650" t="s">
        <v>616</v>
      </c>
      <c r="C132" s="647"/>
      <c r="D132" s="647"/>
      <c r="E132" s="647"/>
      <c r="F132" s="647"/>
      <c r="G132" s="662">
        <f>+G124+G128</f>
        <v>7483.4986548878805</v>
      </c>
      <c r="H132" s="662">
        <f>+H124+H128</f>
        <v>7437.3415846503649</v>
      </c>
      <c r="I132" s="662">
        <f t="shared" ref="I132:N132" si="26">+I124+I128</f>
        <v>7388.8721849993726</v>
      </c>
      <c r="J132" s="662">
        <f t="shared" si="26"/>
        <v>7338.0179069073965</v>
      </c>
      <c r="K132" s="662">
        <f t="shared" si="26"/>
        <v>7284.7040139804849</v>
      </c>
      <c r="L132" s="662">
        <f t="shared" si="26"/>
        <v>7228.8535167999071</v>
      </c>
      <c r="M132" s="662">
        <f t="shared" si="26"/>
        <v>7170.3871052939467</v>
      </c>
      <c r="N132" s="662">
        <f t="shared" si="26"/>
        <v>7109.2230790807025</v>
      </c>
      <c r="O132" s="635"/>
      <c r="P132" s="635"/>
    </row>
    <row r="133" spans="1:16" ht="12" thickBot="1" x14ac:dyDescent="0.25">
      <c r="A133" s="646"/>
      <c r="B133" s="650" t="s">
        <v>612</v>
      </c>
      <c r="C133" s="647"/>
      <c r="D133" s="647"/>
      <c r="E133" s="647"/>
      <c r="F133" s="658"/>
      <c r="G133" s="693">
        <f>SUM(C123:G123)/G124</f>
        <v>3.7532082003376273</v>
      </c>
      <c r="H133" s="647"/>
      <c r="I133" s="647"/>
      <c r="J133" s="647"/>
      <c r="K133" s="647"/>
      <c r="L133" s="647"/>
      <c r="M133" s="647"/>
      <c r="N133" s="647"/>
      <c r="O133" s="635"/>
      <c r="P133" s="635"/>
    </row>
    <row r="134" spans="1:16" x14ac:dyDescent="0.2">
      <c r="A134" s="646"/>
      <c r="B134" s="650"/>
      <c r="C134" s="647"/>
      <c r="D134" s="647"/>
      <c r="E134" s="644"/>
      <c r="F134" s="680"/>
      <c r="G134" s="647"/>
      <c r="H134" s="647"/>
      <c r="I134" s="647"/>
      <c r="J134" s="647"/>
      <c r="K134" s="647"/>
      <c r="L134" s="647"/>
      <c r="M134" s="647"/>
      <c r="N134" s="647"/>
      <c r="O134" s="635"/>
      <c r="P134" s="635"/>
    </row>
    <row r="135" spans="1:16" x14ac:dyDescent="0.2">
      <c r="A135" s="644"/>
      <c r="B135" s="645" t="s">
        <v>605</v>
      </c>
      <c r="C135" s="647"/>
      <c r="D135" s="647"/>
      <c r="E135" s="647"/>
      <c r="F135" s="647"/>
      <c r="G135" s="647"/>
      <c r="H135" s="647"/>
      <c r="I135" s="647"/>
      <c r="J135" s="647"/>
      <c r="K135" s="647"/>
      <c r="L135" s="647"/>
      <c r="M135" s="647"/>
      <c r="N135" s="647"/>
      <c r="O135" s="635"/>
      <c r="P135" s="635"/>
    </row>
    <row r="136" spans="1:16" ht="56.25" x14ac:dyDescent="0.2">
      <c r="A136" s="696">
        <f>+Кот.!A221</f>
        <v>24</v>
      </c>
      <c r="B136" s="648" t="s">
        <v>613</v>
      </c>
      <c r="C136" s="647"/>
      <c r="D136" s="647"/>
      <c r="E136" s="647"/>
      <c r="F136" s="647"/>
      <c r="G136" s="647"/>
      <c r="H136" s="647"/>
      <c r="I136" s="647"/>
      <c r="J136" s="647"/>
      <c r="K136" s="647"/>
      <c r="L136" s="647"/>
      <c r="M136" s="647"/>
      <c r="N136" s="647"/>
      <c r="O136" s="635"/>
      <c r="P136" s="635"/>
    </row>
    <row r="137" spans="1:16" x14ac:dyDescent="0.2">
      <c r="A137" s="646"/>
      <c r="B137" s="110" t="s">
        <v>608</v>
      </c>
      <c r="C137" s="649">
        <f>+Кот.!E221</f>
        <v>0</v>
      </c>
      <c r="D137" s="649">
        <f>+Кот.!F221</f>
        <v>6387</v>
      </c>
      <c r="E137" s="649">
        <f>+Кот.!G221</f>
        <v>13638</v>
      </c>
      <c r="F137" s="649">
        <f>+Кот.!H221</f>
        <v>43847</v>
      </c>
      <c r="G137" s="649">
        <f>+Кот.!I221</f>
        <v>0</v>
      </c>
      <c r="H137" s="647"/>
      <c r="I137" s="647"/>
      <c r="J137" s="647"/>
      <c r="K137" s="647"/>
      <c r="L137" s="647"/>
      <c r="M137" s="647"/>
      <c r="N137" s="647"/>
      <c r="O137" s="635"/>
      <c r="P137" s="635"/>
    </row>
    <row r="138" spans="1:16" ht="21" x14ac:dyDescent="0.2">
      <c r="A138" s="646"/>
      <c r="B138" s="650" t="s">
        <v>617</v>
      </c>
      <c r="C138" s="647"/>
      <c r="D138" s="647"/>
      <c r="E138" s="647"/>
      <c r="F138" s="647"/>
      <c r="G138" s="651">
        <f>-($G140-$F140)*G141/1000</f>
        <v>346.38903033512594</v>
      </c>
      <c r="H138" s="651">
        <f>-($G140-$F140)*H141/1000</f>
        <v>356.78070124517967</v>
      </c>
      <c r="I138" s="651">
        <f t="shared" ref="I138:N138" si="27">-($G140-$F140)*I141/1000</f>
        <v>367.48412228253505</v>
      </c>
      <c r="J138" s="651">
        <f t="shared" si="27"/>
        <v>378.50864595101115</v>
      </c>
      <c r="K138" s="651">
        <f t="shared" si="27"/>
        <v>389.86390532954152</v>
      </c>
      <c r="L138" s="651">
        <f t="shared" si="27"/>
        <v>401.55982248942775</v>
      </c>
      <c r="M138" s="651">
        <f t="shared" si="27"/>
        <v>413.60661716411062</v>
      </c>
      <c r="N138" s="651">
        <f t="shared" si="27"/>
        <v>426.01481567903392</v>
      </c>
      <c r="O138" s="635"/>
      <c r="P138" s="635"/>
    </row>
    <row r="139" spans="1:16" ht="22.5" x14ac:dyDescent="0.2">
      <c r="A139" s="646"/>
      <c r="B139" s="280" t="s">
        <v>379</v>
      </c>
      <c r="C139" s="647"/>
      <c r="D139" s="647"/>
      <c r="E139" s="647"/>
      <c r="F139" s="647">
        <f>+Кот.!H127</f>
        <v>154.1</v>
      </c>
      <c r="G139" s="647">
        <f>+Кот.!I127</f>
        <v>153.6</v>
      </c>
      <c r="H139" s="647"/>
      <c r="I139" s="647"/>
      <c r="J139" s="647"/>
      <c r="K139" s="647"/>
      <c r="L139" s="647"/>
      <c r="M139" s="647"/>
      <c r="N139" s="647"/>
      <c r="O139" s="635"/>
      <c r="P139" s="635"/>
    </row>
    <row r="140" spans="1:16" ht="22.5" x14ac:dyDescent="0.2">
      <c r="A140" s="646"/>
      <c r="B140" s="46" t="s">
        <v>614</v>
      </c>
      <c r="C140" s="647"/>
      <c r="D140" s="647"/>
      <c r="E140" s="647"/>
      <c r="F140" s="647">
        <f>+F139*Кот.!$I67</f>
        <v>16800.62659978848</v>
      </c>
      <c r="G140" s="647">
        <f>+G139*Кот.!$I67</f>
        <v>16746.114508290138</v>
      </c>
      <c r="H140" s="647"/>
      <c r="I140" s="647"/>
      <c r="J140" s="647"/>
      <c r="K140" s="647"/>
      <c r="L140" s="647"/>
      <c r="M140" s="647"/>
      <c r="N140" s="647"/>
      <c r="O140" s="635"/>
      <c r="P140" s="635"/>
    </row>
    <row r="141" spans="1:16" x14ac:dyDescent="0.2">
      <c r="A141" s="646"/>
      <c r="B141" s="46" t="s">
        <v>620</v>
      </c>
      <c r="C141" s="647"/>
      <c r="D141" s="647"/>
      <c r="E141" s="647"/>
      <c r="F141" s="647"/>
      <c r="G141" s="647">
        <f>+Кот.!I214</f>
        <v>6354.3522329474908</v>
      </c>
      <c r="H141" s="647">
        <f>+Кот.!J214</f>
        <v>6544.9827999359159</v>
      </c>
      <c r="I141" s="647">
        <f>+Кот.!K214</f>
        <v>6741.3322839339935</v>
      </c>
      <c r="J141" s="647">
        <f>+Кот.!L214</f>
        <v>6943.5722524520133</v>
      </c>
      <c r="K141" s="647">
        <f>+Кот.!M214</f>
        <v>7151.8794200255743</v>
      </c>
      <c r="L141" s="647">
        <f>+Кот.!N214</f>
        <v>7366.4358026263417</v>
      </c>
      <c r="M141" s="647">
        <f>+Кот.!O214</f>
        <v>7587.4288767051321</v>
      </c>
      <c r="N141" s="647">
        <f>+Кот.!P214</f>
        <v>7815.0517430062864</v>
      </c>
      <c r="O141" s="635"/>
      <c r="P141" s="635"/>
    </row>
    <row r="142" spans="1:16" ht="21" x14ac:dyDescent="0.2">
      <c r="A142" s="646"/>
      <c r="B142" s="650" t="s">
        <v>618</v>
      </c>
      <c r="C142" s="647"/>
      <c r="D142" s="647"/>
      <c r="E142" s="647"/>
      <c r="F142" s="647"/>
      <c r="G142" s="651">
        <f>-($G143-$F143)*G144</f>
        <v>3572.5361821385745</v>
      </c>
      <c r="H142" s="651">
        <f t="shared" ref="H142:I142" si="28">-($G143-$F143)*H144</f>
        <v>3679.7122676027316</v>
      </c>
      <c r="I142" s="651">
        <f t="shared" si="28"/>
        <v>3790.1036356308132</v>
      </c>
      <c r="J142" s="651">
        <f t="shared" ref="J142" si="29">-($G143-$F143)*J144</f>
        <v>3903.8067446997379</v>
      </c>
      <c r="K142" s="651">
        <f t="shared" ref="K142" si="30">-($G143-$F143)*K144</f>
        <v>4020.92094704073</v>
      </c>
      <c r="L142" s="651">
        <f t="shared" ref="L142" si="31">-($G143-$F143)*L144</f>
        <v>4141.5485754519523</v>
      </c>
      <c r="M142" s="651">
        <f t="shared" ref="M142" si="32">-($G143-$F143)*M144</f>
        <v>4265.7950327155113</v>
      </c>
      <c r="N142" s="651">
        <f t="shared" ref="N142" si="33">-($G143-$F143)*N144</f>
        <v>4393.7688836969764</v>
      </c>
      <c r="O142" s="635"/>
      <c r="P142" s="635"/>
    </row>
    <row r="143" spans="1:16" s="643" customFormat="1" ht="22.5" x14ac:dyDescent="0.2">
      <c r="A143" s="652"/>
      <c r="B143" s="559" t="s">
        <v>619</v>
      </c>
      <c r="C143" s="653"/>
      <c r="D143" s="653"/>
      <c r="E143" s="653"/>
      <c r="F143" s="654">
        <f>+Кот.!H172</f>
        <v>3.1632800000000003</v>
      </c>
      <c r="G143" s="654">
        <f>+Кот.!I172</f>
        <v>2.4692800000000004</v>
      </c>
      <c r="H143" s="653"/>
      <c r="I143" s="653"/>
      <c r="J143" s="653"/>
      <c r="K143" s="653"/>
      <c r="L143" s="653"/>
      <c r="M143" s="653"/>
      <c r="N143" s="653"/>
      <c r="O143" s="642"/>
      <c r="P143" s="642"/>
    </row>
    <row r="144" spans="1:16" s="643" customFormat="1" ht="22.5" x14ac:dyDescent="0.2">
      <c r="A144" s="652"/>
      <c r="B144" s="559" t="s">
        <v>490</v>
      </c>
      <c r="C144" s="653"/>
      <c r="D144" s="653"/>
      <c r="E144" s="653"/>
      <c r="F144" s="653"/>
      <c r="G144" s="653">
        <f>+Кот.!I202</f>
        <v>5147.7466601420383</v>
      </c>
      <c r="H144" s="653">
        <f>+Кот.!J202</f>
        <v>5302.1790599462993</v>
      </c>
      <c r="I144" s="653">
        <f>+Кот.!K202</f>
        <v>5461.244431744688</v>
      </c>
      <c r="J144" s="653">
        <f>+Кот.!L202</f>
        <v>5625.081764697029</v>
      </c>
      <c r="K144" s="653">
        <f>+Кот.!M202</f>
        <v>5793.8342176379401</v>
      </c>
      <c r="L144" s="653">
        <f>+Кот.!N202</f>
        <v>5967.6492441670789</v>
      </c>
      <c r="M144" s="653">
        <f>+Кот.!O202</f>
        <v>6146.6787214920914</v>
      </c>
      <c r="N144" s="653">
        <f>+Кот.!P202</f>
        <v>6331.079083136854</v>
      </c>
      <c r="O144" s="642"/>
      <c r="P144" s="642"/>
    </row>
    <row r="145" spans="1:16" ht="21.75" thickBot="1" x14ac:dyDescent="0.25">
      <c r="A145" s="646"/>
      <c r="B145" s="650" t="s">
        <v>616</v>
      </c>
      <c r="C145" s="647"/>
      <c r="D145" s="647"/>
      <c r="E145" s="647"/>
      <c r="F145" s="647"/>
      <c r="G145" s="662">
        <f>+G142+G138</f>
        <v>3918.9252124737004</v>
      </c>
      <c r="H145" s="655">
        <f t="shared" ref="H145:N145" si="34">+H142+H138</f>
        <v>4036.4929688479115</v>
      </c>
      <c r="I145" s="655">
        <f t="shared" si="34"/>
        <v>4157.5877579133485</v>
      </c>
      <c r="J145" s="655">
        <f t="shared" si="34"/>
        <v>4282.3153906507487</v>
      </c>
      <c r="K145" s="655">
        <f t="shared" si="34"/>
        <v>4410.7848523702714</v>
      </c>
      <c r="L145" s="655">
        <f t="shared" si="34"/>
        <v>4543.1083979413797</v>
      </c>
      <c r="M145" s="655">
        <f t="shared" si="34"/>
        <v>4679.4016498796218</v>
      </c>
      <c r="N145" s="655">
        <f t="shared" si="34"/>
        <v>4819.7836993760102</v>
      </c>
      <c r="O145" s="635"/>
      <c r="P145" s="635"/>
    </row>
    <row r="146" spans="1:16" s="669" customFormat="1" ht="12" thickBot="1" x14ac:dyDescent="0.25">
      <c r="A146" s="645"/>
      <c r="B146" s="650" t="s">
        <v>612</v>
      </c>
      <c r="C146" s="664"/>
      <c r="D146" s="664"/>
      <c r="E146" s="664"/>
      <c r="F146" s="665"/>
      <c r="G146" s="666">
        <f>+(D137+E137+F137)/G145</f>
        <v>16.298346239601436</v>
      </c>
      <c r="H146" s="667"/>
      <c r="I146" s="664"/>
      <c r="J146" s="664"/>
      <c r="K146" s="664"/>
      <c r="L146" s="664"/>
      <c r="M146" s="664"/>
      <c r="N146" s="664"/>
      <c r="O146" s="668"/>
      <c r="P146" s="668"/>
    </row>
    <row r="147" spans="1:16" x14ac:dyDescent="0.2">
      <c r="A147" s="646"/>
      <c r="B147" s="110"/>
      <c r="C147" s="647"/>
      <c r="D147" s="647"/>
      <c r="E147" s="647"/>
      <c r="F147" s="647"/>
      <c r="G147" s="663"/>
      <c r="H147" s="647"/>
      <c r="I147" s="647"/>
      <c r="J147" s="647"/>
      <c r="K147" s="647"/>
      <c r="L147" s="647"/>
      <c r="M147" s="647"/>
      <c r="N147" s="647"/>
      <c r="O147" s="635"/>
      <c r="P147" s="635"/>
    </row>
    <row r="148" spans="1:16" ht="22.5" x14ac:dyDescent="0.2">
      <c r="A148" s="696">
        <f>+Кот.!A222</f>
        <v>25</v>
      </c>
      <c r="B148" s="648" t="str">
        <f>+Кот.!B222</f>
        <v>Реконструкция топливного хозяйства  котельной п.Химинститута</v>
      </c>
      <c r="C148" s="647"/>
      <c r="D148" s="647"/>
      <c r="E148" s="647"/>
      <c r="F148" s="647"/>
      <c r="G148" s="647"/>
      <c r="H148" s="647"/>
      <c r="I148" s="647"/>
      <c r="J148" s="647"/>
      <c r="K148" s="647"/>
      <c r="L148" s="647"/>
      <c r="M148" s="647"/>
      <c r="N148" s="647"/>
      <c r="O148" s="635"/>
      <c r="P148" s="635"/>
    </row>
    <row r="149" spans="1:16" x14ac:dyDescent="0.2">
      <c r="A149" s="646"/>
      <c r="B149" s="684" t="s">
        <v>637</v>
      </c>
      <c r="C149" s="644"/>
      <c r="D149" s="644"/>
      <c r="E149" s="644"/>
      <c r="F149" s="644"/>
      <c r="G149" s="644"/>
      <c r="H149" s="644"/>
      <c r="I149" s="644"/>
      <c r="J149" s="644"/>
      <c r="K149" s="644"/>
      <c r="L149" s="644"/>
      <c r="M149" s="644"/>
      <c r="N149" s="644"/>
    </row>
    <row r="150" spans="1:16" ht="22.5" x14ac:dyDescent="0.2">
      <c r="A150" s="696">
        <f>+Кот.!A223</f>
        <v>26</v>
      </c>
      <c r="B150" s="648" t="str">
        <f>+Кот.!B223</f>
        <v>Реконструкция топливного хозяйства  котельной "Южная"</v>
      </c>
      <c r="C150" s="647"/>
      <c r="D150" s="647"/>
      <c r="E150" s="647"/>
      <c r="F150" s="647"/>
      <c r="G150" s="647"/>
      <c r="H150" s="647"/>
      <c r="I150" s="647"/>
      <c r="J150" s="647"/>
      <c r="K150" s="647"/>
      <c r="L150" s="647"/>
      <c r="M150" s="647"/>
      <c r="N150" s="647"/>
      <c r="O150" s="635"/>
      <c r="P150" s="635"/>
    </row>
    <row r="151" spans="1:16" x14ac:dyDescent="0.2">
      <c r="A151" s="646"/>
      <c r="B151" s="684" t="s">
        <v>637</v>
      </c>
      <c r="C151" s="644"/>
      <c r="D151" s="644"/>
      <c r="E151" s="644"/>
      <c r="F151" s="644"/>
      <c r="G151" s="644"/>
      <c r="H151" s="644"/>
      <c r="I151" s="644"/>
      <c r="J151" s="644"/>
      <c r="K151" s="644"/>
      <c r="L151" s="644"/>
      <c r="M151" s="644"/>
      <c r="N151" s="644"/>
    </row>
    <row r="152" spans="1:16" ht="22.5" x14ac:dyDescent="0.2">
      <c r="A152" s="696">
        <f>+Кот.!A224</f>
        <v>27</v>
      </c>
      <c r="B152" s="648" t="str">
        <f>+Кот.!B224</f>
        <v>Реконструкция топливного хозяйства  котельной "Сахарово"</v>
      </c>
      <c r="C152" s="647"/>
      <c r="D152" s="647"/>
      <c r="E152" s="647"/>
      <c r="F152" s="647"/>
      <c r="G152" s="647"/>
      <c r="H152" s="647"/>
      <c r="I152" s="647"/>
      <c r="J152" s="647"/>
      <c r="K152" s="647"/>
      <c r="L152" s="647"/>
      <c r="M152" s="647"/>
      <c r="N152" s="647"/>
      <c r="O152" s="635"/>
      <c r="P152" s="635"/>
    </row>
    <row r="153" spans="1:16" x14ac:dyDescent="0.2">
      <c r="A153" s="646"/>
      <c r="B153" s="684" t="s">
        <v>637</v>
      </c>
      <c r="C153" s="644"/>
      <c r="D153" s="644"/>
      <c r="E153" s="644"/>
      <c r="F153" s="644"/>
      <c r="G153" s="644"/>
      <c r="H153" s="644"/>
      <c r="I153" s="644"/>
      <c r="J153" s="644"/>
      <c r="K153" s="644"/>
      <c r="L153" s="644"/>
      <c r="M153" s="644"/>
      <c r="N153" s="644"/>
    </row>
    <row r="154" spans="1:16" ht="33.75" x14ac:dyDescent="0.2">
      <c r="A154" s="696">
        <f>+Кот.!A225</f>
        <v>28</v>
      </c>
      <c r="B154" s="648" t="str">
        <f>+Кот.!B225</f>
        <v xml:space="preserve">Техническое перевооружение тягодутьевого оборудования котла ст.№4 ТГВМ-30 с установкой ЧРП Котельного цеха </v>
      </c>
      <c r="C154" s="647"/>
      <c r="D154" s="647"/>
      <c r="E154" s="647"/>
      <c r="F154" s="647"/>
      <c r="G154" s="647"/>
      <c r="H154" s="647"/>
      <c r="I154" s="647"/>
      <c r="J154" s="647"/>
      <c r="K154" s="647"/>
      <c r="L154" s="647"/>
      <c r="M154" s="647"/>
      <c r="N154" s="647"/>
      <c r="O154" s="635"/>
      <c r="P154" s="635"/>
    </row>
    <row r="155" spans="1:16" x14ac:dyDescent="0.2">
      <c r="A155" s="646"/>
      <c r="B155" s="110" t="s">
        <v>608</v>
      </c>
      <c r="C155" s="649">
        <f>+Кот.!E225</f>
        <v>2896</v>
      </c>
      <c r="D155" s="649">
        <f>+Кот.!F225</f>
        <v>0</v>
      </c>
      <c r="E155" s="649">
        <f>+Кот.!G225</f>
        <v>0</v>
      </c>
      <c r="F155" s="649">
        <f>+Кот.!H225</f>
        <v>0</v>
      </c>
      <c r="G155" s="649">
        <f>+Кот.!I225</f>
        <v>0</v>
      </c>
      <c r="H155" s="647"/>
      <c r="I155" s="647"/>
      <c r="J155" s="647"/>
      <c r="K155" s="647"/>
      <c r="L155" s="647"/>
      <c r="M155" s="647"/>
      <c r="N155" s="647"/>
      <c r="O155" s="635"/>
      <c r="P155" s="635"/>
    </row>
    <row r="156" spans="1:16" ht="21" x14ac:dyDescent="0.2">
      <c r="A156" s="646"/>
      <c r="B156" s="650" t="s">
        <v>618</v>
      </c>
      <c r="C156" s="647"/>
      <c r="D156" s="651">
        <f>-($D157-$C157)*D158</f>
        <v>790.0208514165198</v>
      </c>
      <c r="E156" s="651">
        <f t="shared" ref="E156:N156" si="35">-($D157-$C157)*E158</f>
        <v>813.72147695901549</v>
      </c>
      <c r="F156" s="651">
        <f t="shared" si="35"/>
        <v>838.13312126778601</v>
      </c>
      <c r="G156" s="651">
        <f t="shared" si="35"/>
        <v>863.27711490581964</v>
      </c>
      <c r="H156" s="651">
        <f t="shared" si="35"/>
        <v>889.17542835299423</v>
      </c>
      <c r="I156" s="651">
        <f t="shared" si="35"/>
        <v>915.85069120358401</v>
      </c>
      <c r="J156" s="651">
        <f t="shared" si="35"/>
        <v>943.32621193969158</v>
      </c>
      <c r="K156" s="651">
        <f t="shared" si="35"/>
        <v>971.62599829788235</v>
      </c>
      <c r="L156" s="651">
        <f t="shared" si="35"/>
        <v>1000.7747782468189</v>
      </c>
      <c r="M156" s="651">
        <f t="shared" si="35"/>
        <v>1030.7980215942234</v>
      </c>
      <c r="N156" s="651">
        <f t="shared" si="35"/>
        <v>1061.7219622420503</v>
      </c>
      <c r="O156" s="635"/>
      <c r="P156" s="635"/>
    </row>
    <row r="157" spans="1:16" s="643" customFormat="1" ht="22.5" x14ac:dyDescent="0.2">
      <c r="A157" s="652"/>
      <c r="B157" s="559" t="s">
        <v>619</v>
      </c>
      <c r="C157" s="701">
        <f>+Кот.!E176</f>
        <v>2.9618799999999998</v>
      </c>
      <c r="D157" s="701">
        <f>+Кот.!F176</f>
        <v>2.7941799999999999</v>
      </c>
      <c r="E157" s="653"/>
      <c r="F157" s="703"/>
      <c r="G157" s="703"/>
      <c r="H157" s="653"/>
      <c r="I157" s="653"/>
      <c r="J157" s="653"/>
      <c r="K157" s="653"/>
      <c r="L157" s="653"/>
      <c r="M157" s="653"/>
      <c r="N157" s="653"/>
      <c r="O157" s="642"/>
      <c r="P157" s="642"/>
    </row>
    <row r="158" spans="1:16" s="643" customFormat="1" ht="23.25" thickBot="1" x14ac:dyDescent="0.25">
      <c r="A158" s="652"/>
      <c r="B158" s="559" t="s">
        <v>490</v>
      </c>
      <c r="C158" s="653"/>
      <c r="D158" s="704">
        <f>+Кот.!F202</f>
        <v>4710.9174204920691</v>
      </c>
      <c r="E158" s="702">
        <f>+Кот.!G202</f>
        <v>4852.2449431068317</v>
      </c>
      <c r="F158" s="702">
        <f>+Кот.!H202</f>
        <v>4997.8122914000369</v>
      </c>
      <c r="G158" s="702">
        <f>+Кот.!I202</f>
        <v>5147.7466601420383</v>
      </c>
      <c r="H158" s="702">
        <f>+Кот.!J202</f>
        <v>5302.1790599462993</v>
      </c>
      <c r="I158" s="702">
        <f>+Кот.!K202</f>
        <v>5461.244431744688</v>
      </c>
      <c r="J158" s="702">
        <f>+Кот.!L202</f>
        <v>5625.081764697029</v>
      </c>
      <c r="K158" s="702">
        <f>+Кот.!M202</f>
        <v>5793.8342176379401</v>
      </c>
      <c r="L158" s="702">
        <f>+Кот.!N202</f>
        <v>5967.6492441670789</v>
      </c>
      <c r="M158" s="702">
        <f>+Кот.!O202</f>
        <v>6146.6787214920914</v>
      </c>
      <c r="N158" s="702">
        <f>+Кот.!P202</f>
        <v>6331.079083136854</v>
      </c>
      <c r="O158" s="642"/>
      <c r="P158" s="642"/>
    </row>
    <row r="159" spans="1:16" s="669" customFormat="1" ht="12" thickBot="1" x14ac:dyDescent="0.25">
      <c r="A159" s="645"/>
      <c r="B159" s="650" t="s">
        <v>612</v>
      </c>
      <c r="C159" s="665"/>
      <c r="D159" s="666">
        <f>+C155/D156</f>
        <v>3.66572603091099</v>
      </c>
      <c r="E159" s="667"/>
      <c r="F159" s="673"/>
      <c r="G159" s="673"/>
      <c r="H159" s="664"/>
      <c r="I159" s="664"/>
      <c r="J159" s="664"/>
      <c r="K159" s="664"/>
      <c r="L159" s="664"/>
      <c r="M159" s="664"/>
      <c r="N159" s="664"/>
      <c r="O159" s="668"/>
      <c r="P159" s="668"/>
    </row>
    <row r="160" spans="1:16" s="669" customFormat="1" x14ac:dyDescent="0.2">
      <c r="A160" s="645"/>
      <c r="B160" s="650"/>
      <c r="C160" s="664"/>
      <c r="D160" s="705"/>
      <c r="E160" s="664"/>
      <c r="F160" s="664"/>
      <c r="G160" s="664"/>
      <c r="H160" s="664"/>
      <c r="I160" s="664"/>
      <c r="J160" s="664"/>
      <c r="K160" s="664"/>
      <c r="L160" s="664"/>
      <c r="M160" s="664"/>
      <c r="N160" s="664"/>
      <c r="O160" s="668"/>
      <c r="P160" s="668"/>
    </row>
    <row r="161" spans="1:16" ht="45" x14ac:dyDescent="0.2">
      <c r="A161" s="696">
        <f>+Кот.!A226</f>
        <v>29</v>
      </c>
      <c r="B161" s="648" t="str">
        <f>+Кот.!B226</f>
        <v>Техперевооружение тягодутьевого оборудования котла с установкой частотно-регулируемых приводов (ЧРП)   ст. №1,2 ПТВМ-30М Котельной пос. Химинститута</v>
      </c>
      <c r="C161" s="647"/>
      <c r="D161" s="647"/>
      <c r="E161" s="647"/>
      <c r="F161" s="647"/>
      <c r="G161" s="647"/>
      <c r="H161" s="647"/>
      <c r="I161" s="647"/>
      <c r="J161" s="647"/>
      <c r="K161" s="647"/>
      <c r="L161" s="647"/>
      <c r="M161" s="647"/>
      <c r="N161" s="647"/>
      <c r="O161" s="635"/>
      <c r="P161" s="635"/>
    </row>
    <row r="162" spans="1:16" x14ac:dyDescent="0.2">
      <c r="A162" s="646"/>
      <c r="B162" s="110" t="s">
        <v>608</v>
      </c>
      <c r="C162" s="649">
        <f>+Кот.!E226</f>
        <v>0</v>
      </c>
      <c r="D162" s="649">
        <f>+Кот.!F226</f>
        <v>3414</v>
      </c>
      <c r="E162" s="649">
        <f>+Кот.!G226</f>
        <v>0</v>
      </c>
      <c r="F162" s="649">
        <f>+Кот.!H226</f>
        <v>0</v>
      </c>
      <c r="G162" s="649">
        <f>+Кот.!I226</f>
        <v>3819</v>
      </c>
      <c r="H162" s="647"/>
      <c r="I162" s="647"/>
      <c r="J162" s="647"/>
      <c r="K162" s="647"/>
      <c r="L162" s="647"/>
      <c r="M162" s="647"/>
      <c r="N162" s="647"/>
      <c r="O162" s="635"/>
      <c r="P162" s="635"/>
    </row>
    <row r="163" spans="1:16" ht="21" x14ac:dyDescent="0.2">
      <c r="A163" s="646"/>
      <c r="B163" s="650" t="s">
        <v>618</v>
      </c>
      <c r="C163" s="647"/>
      <c r="D163" s="647"/>
      <c r="E163" s="647"/>
      <c r="F163" s="647"/>
      <c r="G163" s="647"/>
      <c r="H163" s="651">
        <f t="shared" ref="H163:N163" si="36">-($H164-$G164)*H165</f>
        <v>1406.9862353473491</v>
      </c>
      <c r="I163" s="651">
        <f t="shared" si="36"/>
        <v>1449.1958224077694</v>
      </c>
      <c r="J163" s="651">
        <f t="shared" si="36"/>
        <v>1492.6716970800026</v>
      </c>
      <c r="K163" s="651">
        <f t="shared" si="36"/>
        <v>1537.4518479924027</v>
      </c>
      <c r="L163" s="651">
        <f t="shared" si="36"/>
        <v>1583.5754034321749</v>
      </c>
      <c r="M163" s="651">
        <f t="shared" si="36"/>
        <v>1631.0826655351402</v>
      </c>
      <c r="N163" s="651">
        <f t="shared" si="36"/>
        <v>1680.0151455011944</v>
      </c>
      <c r="O163" s="635"/>
      <c r="P163" s="635"/>
    </row>
    <row r="164" spans="1:16" s="643" customFormat="1" ht="22.5" x14ac:dyDescent="0.2">
      <c r="A164" s="652"/>
      <c r="B164" s="559" t="s">
        <v>619</v>
      </c>
      <c r="C164" s="653"/>
      <c r="D164" s="653"/>
      <c r="E164" s="653"/>
      <c r="F164" s="653"/>
      <c r="G164" s="701">
        <f>+Кот.!I180</f>
        <v>2.04765</v>
      </c>
      <c r="H164" s="701">
        <f>+Кот.!J180</f>
        <v>1.7822900000000002</v>
      </c>
      <c r="I164" s="653"/>
      <c r="J164" s="653"/>
      <c r="K164" s="653"/>
      <c r="L164" s="653"/>
      <c r="M164" s="653"/>
      <c r="N164" s="653"/>
      <c r="O164" s="642"/>
      <c r="P164" s="642"/>
    </row>
    <row r="165" spans="1:16" s="643" customFormat="1" ht="23.25" thickBot="1" x14ac:dyDescent="0.25">
      <c r="A165" s="652"/>
      <c r="B165" s="559" t="s">
        <v>490</v>
      </c>
      <c r="C165" s="653"/>
      <c r="D165" s="653"/>
      <c r="E165" s="653"/>
      <c r="F165" s="653"/>
      <c r="G165" s="653"/>
      <c r="H165" s="704">
        <f>+Кот.!J202</f>
        <v>5302.1790599462993</v>
      </c>
      <c r="I165" s="702">
        <f>+Кот.!K202</f>
        <v>5461.244431744688</v>
      </c>
      <c r="J165" s="702">
        <f>+Кот.!L202</f>
        <v>5625.081764697029</v>
      </c>
      <c r="K165" s="702">
        <f>+Кот.!M202</f>
        <v>5793.8342176379401</v>
      </c>
      <c r="L165" s="702">
        <f>+Кот.!N202</f>
        <v>5967.6492441670789</v>
      </c>
      <c r="M165" s="702">
        <f>+Кот.!O202</f>
        <v>6146.6787214920914</v>
      </c>
      <c r="N165" s="702">
        <f>+Кот.!P202</f>
        <v>6331.079083136854</v>
      </c>
      <c r="O165" s="642"/>
      <c r="P165" s="642"/>
    </row>
    <row r="166" spans="1:16" s="669" customFormat="1" ht="12" thickBot="1" x14ac:dyDescent="0.25">
      <c r="A166" s="645"/>
      <c r="B166" s="650" t="s">
        <v>612</v>
      </c>
      <c r="C166" s="664"/>
      <c r="D166" s="664"/>
      <c r="E166" s="664"/>
      <c r="F166" s="664"/>
      <c r="G166" s="665"/>
      <c r="H166" s="666">
        <f>SUM(C162:G162)/H163</f>
        <v>5.140775238795678</v>
      </c>
      <c r="I166" s="667"/>
      <c r="J166" s="664"/>
      <c r="K166" s="664"/>
      <c r="L166" s="664"/>
      <c r="M166" s="664"/>
      <c r="N166" s="664"/>
      <c r="O166" s="668"/>
      <c r="P166" s="668"/>
    </row>
    <row r="167" spans="1:16" s="669" customFormat="1" x14ac:dyDescent="0.2">
      <c r="A167" s="645"/>
      <c r="B167" s="650"/>
      <c r="C167" s="664"/>
      <c r="D167" s="664"/>
      <c r="E167" s="664"/>
      <c r="F167" s="664"/>
      <c r="G167" s="664"/>
      <c r="H167" s="705"/>
      <c r="I167" s="664"/>
      <c r="J167" s="664"/>
      <c r="K167" s="664"/>
      <c r="L167" s="664"/>
      <c r="M167" s="664"/>
      <c r="N167" s="664"/>
      <c r="O167" s="668"/>
      <c r="P167" s="668"/>
    </row>
    <row r="168" spans="1:16" ht="22.5" x14ac:dyDescent="0.2">
      <c r="A168" s="696">
        <f>+Кот.!A227</f>
        <v>30</v>
      </c>
      <c r="B168" s="648" t="str">
        <f>+Кот.!B227</f>
        <v xml:space="preserve">Реконструкция  металлической дымовой трубы котельной "Сахаровское шоссе" </v>
      </c>
      <c r="C168" s="647"/>
      <c r="D168" s="647"/>
      <c r="E168" s="647"/>
      <c r="F168" s="647"/>
      <c r="G168" s="647"/>
      <c r="H168" s="647"/>
      <c r="I168" s="647"/>
      <c r="J168" s="647"/>
      <c r="K168" s="647"/>
      <c r="L168" s="647"/>
      <c r="M168" s="647"/>
      <c r="N168" s="647"/>
      <c r="O168" s="635"/>
      <c r="P168" s="635"/>
    </row>
    <row r="169" spans="1:16" x14ac:dyDescent="0.2">
      <c r="A169" s="696"/>
      <c r="B169" s="684" t="s">
        <v>637</v>
      </c>
      <c r="C169" s="644"/>
      <c r="D169" s="644"/>
      <c r="E169" s="644"/>
      <c r="F169" s="644"/>
      <c r="G169" s="644"/>
      <c r="H169" s="644"/>
      <c r="I169" s="644"/>
      <c r="J169" s="644"/>
      <c r="K169" s="644"/>
      <c r="L169" s="644"/>
      <c r="M169" s="644"/>
      <c r="N169" s="644"/>
    </row>
    <row r="170" spans="1:16" ht="22.5" x14ac:dyDescent="0.2">
      <c r="A170" s="696">
        <f>+Кот.!A228</f>
        <v>31</v>
      </c>
      <c r="B170" s="648" t="str">
        <f>+Кот.!B228</f>
        <v>Установка приборов учета тепловой энергии на котельной пос. Химинститута</v>
      </c>
      <c r="C170" s="647"/>
      <c r="D170" s="647"/>
      <c r="E170" s="647"/>
      <c r="F170" s="647"/>
      <c r="G170" s="647"/>
      <c r="H170" s="647"/>
      <c r="I170" s="647"/>
      <c r="J170" s="647"/>
      <c r="K170" s="647"/>
      <c r="L170" s="647"/>
      <c r="M170" s="647"/>
      <c r="N170" s="647"/>
      <c r="O170" s="635"/>
      <c r="P170" s="635"/>
    </row>
    <row r="171" spans="1:16" x14ac:dyDescent="0.2">
      <c r="A171" s="696"/>
      <c r="B171" s="684" t="s">
        <v>637</v>
      </c>
      <c r="C171" s="644"/>
      <c r="D171" s="644"/>
      <c r="E171" s="644"/>
      <c r="F171" s="644"/>
      <c r="G171" s="644"/>
      <c r="H171" s="644"/>
      <c r="I171" s="644"/>
      <c r="J171" s="644"/>
      <c r="K171" s="644"/>
      <c r="L171" s="644"/>
      <c r="M171" s="644"/>
      <c r="N171" s="644"/>
    </row>
    <row r="172" spans="1:16" ht="22.5" x14ac:dyDescent="0.2">
      <c r="A172" s="696">
        <f>+Кот.!A229</f>
        <v>32</v>
      </c>
      <c r="B172" s="648" t="str">
        <f>+Кот.!B229</f>
        <v>Установка приборов учета тепловой энергии на котельной "Мамулино"</v>
      </c>
      <c r="C172" s="647"/>
      <c r="D172" s="647"/>
      <c r="E172" s="647"/>
      <c r="F172" s="647"/>
      <c r="G172" s="647"/>
      <c r="H172" s="647"/>
      <c r="I172" s="647"/>
      <c r="J172" s="647"/>
      <c r="K172" s="647"/>
      <c r="L172" s="647"/>
      <c r="M172" s="647"/>
      <c r="N172" s="647"/>
      <c r="O172" s="635"/>
      <c r="P172" s="635"/>
    </row>
    <row r="173" spans="1:16" x14ac:dyDescent="0.2">
      <c r="A173" s="696"/>
      <c r="B173" s="684" t="s">
        <v>637</v>
      </c>
      <c r="C173" s="644"/>
      <c r="D173" s="644"/>
      <c r="E173" s="644"/>
      <c r="F173" s="644"/>
      <c r="G173" s="644"/>
      <c r="H173" s="644"/>
      <c r="I173" s="644"/>
      <c r="J173" s="644"/>
      <c r="K173" s="644"/>
      <c r="L173" s="644"/>
      <c r="M173" s="644"/>
      <c r="N173" s="644"/>
    </row>
    <row r="174" spans="1:16" ht="22.5" x14ac:dyDescent="0.2">
      <c r="A174" s="696">
        <f>+Кот.!A230</f>
        <v>33</v>
      </c>
      <c r="B174" s="648" t="str">
        <f>+Кот.!B230</f>
        <v>Установка приборов учета тепловой энергии на котельной пос. Сахарово</v>
      </c>
      <c r="C174" s="647"/>
      <c r="D174" s="647"/>
      <c r="E174" s="647"/>
      <c r="F174" s="647"/>
      <c r="G174" s="647"/>
      <c r="H174" s="647"/>
      <c r="I174" s="647"/>
      <c r="J174" s="647"/>
      <c r="K174" s="647"/>
      <c r="L174" s="647"/>
      <c r="M174" s="647"/>
      <c r="N174" s="647"/>
      <c r="O174" s="635"/>
      <c r="P174" s="635"/>
    </row>
    <row r="175" spans="1:16" x14ac:dyDescent="0.2">
      <c r="A175" s="696"/>
      <c r="B175" s="684" t="s">
        <v>637</v>
      </c>
      <c r="C175" s="644"/>
      <c r="D175" s="644"/>
      <c r="E175" s="644"/>
      <c r="F175" s="644"/>
      <c r="G175" s="644"/>
      <c r="H175" s="644"/>
      <c r="I175" s="644"/>
      <c r="J175" s="644"/>
      <c r="K175" s="644"/>
      <c r="L175" s="644"/>
      <c r="M175" s="644"/>
      <c r="N175" s="644"/>
    </row>
    <row r="176" spans="1:16" ht="22.5" x14ac:dyDescent="0.2">
      <c r="A176" s="696">
        <f>+Кот.!A231</f>
        <v>34</v>
      </c>
      <c r="B176" s="648" t="str">
        <f>+Кот.!B231</f>
        <v>Установка приборов учета тепловой энергии на котельной пос. ДРСУ-2</v>
      </c>
      <c r="C176" s="647"/>
      <c r="D176" s="647"/>
      <c r="E176" s="647"/>
      <c r="F176" s="647"/>
      <c r="G176" s="647"/>
      <c r="H176" s="647"/>
      <c r="I176" s="647"/>
      <c r="J176" s="647"/>
      <c r="K176" s="647"/>
      <c r="L176" s="647"/>
      <c r="M176" s="647"/>
      <c r="N176" s="647"/>
      <c r="O176" s="635"/>
      <c r="P176" s="635"/>
    </row>
    <row r="177" spans="1:16" x14ac:dyDescent="0.2">
      <c r="A177" s="696"/>
      <c r="B177" s="684" t="s">
        <v>637</v>
      </c>
      <c r="C177" s="644"/>
      <c r="D177" s="644"/>
      <c r="E177" s="644"/>
      <c r="F177" s="644"/>
      <c r="G177" s="644"/>
      <c r="H177" s="644"/>
      <c r="I177" s="644"/>
      <c r="J177" s="644"/>
      <c r="K177" s="644"/>
      <c r="L177" s="644"/>
      <c r="M177" s="644"/>
      <c r="N177" s="644"/>
    </row>
    <row r="178" spans="1:16" ht="33.75" x14ac:dyDescent="0.2">
      <c r="A178" s="696">
        <f>+Кот.!A232</f>
        <v>35</v>
      </c>
      <c r="B178" s="648" t="str">
        <f>+Кот.!B232</f>
        <v>Установка приборов учета тепловой энергии на котельной "Хлопчато-бумажного комбината"</v>
      </c>
      <c r="C178" s="647"/>
      <c r="D178" s="647"/>
      <c r="E178" s="647"/>
      <c r="F178" s="647"/>
      <c r="G178" s="647"/>
      <c r="H178" s="647"/>
      <c r="I178" s="647"/>
      <c r="J178" s="647"/>
      <c r="K178" s="647"/>
      <c r="L178" s="647"/>
      <c r="M178" s="647"/>
      <c r="N178" s="647"/>
      <c r="O178" s="635"/>
      <c r="P178" s="635"/>
    </row>
    <row r="179" spans="1:16" x14ac:dyDescent="0.2">
      <c r="A179" s="696"/>
      <c r="B179" s="684" t="s">
        <v>637</v>
      </c>
      <c r="C179" s="644"/>
      <c r="D179" s="644"/>
      <c r="E179" s="644"/>
      <c r="F179" s="644"/>
      <c r="G179" s="644"/>
      <c r="H179" s="644"/>
      <c r="I179" s="644"/>
      <c r="J179" s="644"/>
      <c r="K179" s="644"/>
      <c r="L179" s="644"/>
      <c r="M179" s="644"/>
      <c r="N179" s="644"/>
    </row>
    <row r="180" spans="1:16" ht="33.75" x14ac:dyDescent="0.2">
      <c r="A180" s="696">
        <f>+Кот.!A233</f>
        <v>36</v>
      </c>
      <c r="B180" s="648" t="str">
        <f>+Кот.!B233</f>
        <v>Установка приборов учета тепловой энергии на котельной "Сахаровское шоссе"</v>
      </c>
      <c r="C180" s="647"/>
      <c r="D180" s="647"/>
      <c r="E180" s="647"/>
      <c r="F180" s="647"/>
      <c r="G180" s="647"/>
      <c r="H180" s="647"/>
      <c r="I180" s="647"/>
      <c r="J180" s="647"/>
      <c r="K180" s="647"/>
      <c r="L180" s="647"/>
      <c r="M180" s="647"/>
      <c r="N180" s="647"/>
      <c r="O180" s="635"/>
      <c r="P180" s="635"/>
    </row>
    <row r="181" spans="1:16" x14ac:dyDescent="0.2">
      <c r="A181" s="696"/>
      <c r="B181" s="684" t="s">
        <v>637</v>
      </c>
      <c r="C181" s="644"/>
      <c r="D181" s="644"/>
      <c r="E181" s="644"/>
      <c r="F181" s="644"/>
      <c r="G181" s="644"/>
      <c r="H181" s="644"/>
      <c r="I181" s="644"/>
      <c r="J181" s="644"/>
      <c r="K181" s="644"/>
      <c r="L181" s="644"/>
      <c r="M181" s="644"/>
      <c r="N181" s="644"/>
    </row>
    <row r="182" spans="1:16" ht="22.5" x14ac:dyDescent="0.2">
      <c r="A182" s="696">
        <f>+Кот.!A234</f>
        <v>37</v>
      </c>
      <c r="B182" s="648" t="str">
        <f>+Кот.!B234</f>
        <v>Установка приборов учета тепловой энергии на котельной "ПАТП-1"</v>
      </c>
      <c r="C182" s="647"/>
      <c r="D182" s="647"/>
      <c r="E182" s="647"/>
      <c r="F182" s="647"/>
      <c r="G182" s="647"/>
      <c r="H182" s="647"/>
      <c r="I182" s="647"/>
      <c r="J182" s="647"/>
      <c r="K182" s="647"/>
      <c r="L182" s="647"/>
      <c r="M182" s="647"/>
      <c r="N182" s="647"/>
      <c r="O182" s="635"/>
      <c r="P182" s="635"/>
    </row>
    <row r="183" spans="1:16" x14ac:dyDescent="0.2">
      <c r="A183" s="696"/>
      <c r="B183" s="684" t="s">
        <v>637</v>
      </c>
      <c r="C183" s="644"/>
      <c r="D183" s="644"/>
      <c r="E183" s="644"/>
      <c r="F183" s="644"/>
      <c r="G183" s="644"/>
      <c r="H183" s="644"/>
      <c r="I183" s="644"/>
      <c r="J183" s="644"/>
      <c r="K183" s="644"/>
      <c r="L183" s="644"/>
      <c r="M183" s="644"/>
      <c r="N183" s="644"/>
    </row>
    <row r="184" spans="1:16" ht="33.75" x14ac:dyDescent="0.2">
      <c r="A184" s="696">
        <f>+Кот.!A235</f>
        <v>39</v>
      </c>
      <c r="B184" s="648" t="str">
        <f>+Кот.!B235</f>
        <v>Реконструкция котельной ХБК (установка погодозависимового контура отопления и увеличение производительности ГВС</v>
      </c>
      <c r="C184" s="647"/>
      <c r="D184" s="647"/>
      <c r="E184" s="647"/>
      <c r="F184" s="647"/>
      <c r="G184" s="647"/>
      <c r="H184" s="647"/>
      <c r="I184" s="647"/>
      <c r="J184" s="647"/>
      <c r="K184" s="647"/>
      <c r="L184" s="647"/>
      <c r="M184" s="647"/>
      <c r="N184" s="647"/>
      <c r="O184" s="635"/>
      <c r="P184" s="635"/>
    </row>
    <row r="185" spans="1:16" x14ac:dyDescent="0.2">
      <c r="A185" s="646"/>
      <c r="B185" s="684" t="s">
        <v>637</v>
      </c>
      <c r="C185" s="647"/>
      <c r="D185" s="647"/>
      <c r="E185" s="647"/>
      <c r="F185" s="647"/>
      <c r="G185" s="647"/>
      <c r="H185" s="647"/>
      <c r="I185" s="647"/>
      <c r="J185" s="647"/>
      <c r="K185" s="647"/>
      <c r="L185" s="647"/>
      <c r="M185" s="647"/>
      <c r="N185" s="647"/>
      <c r="O185" s="635"/>
      <c r="P185" s="635"/>
    </row>
    <row r="186" spans="1:16" ht="33.75" x14ac:dyDescent="0.2">
      <c r="A186" s="696">
        <f>+Кот.!A236</f>
        <v>40</v>
      </c>
      <c r="B186" s="648" t="str">
        <f>+Кот.!B236</f>
        <v>Установка приборов учета расхода сетевой воды на водогрейных котлах №1 и №2 котельной Химинститута</v>
      </c>
      <c r="C186" s="647"/>
      <c r="D186" s="647"/>
      <c r="E186" s="647"/>
      <c r="F186" s="647"/>
      <c r="G186" s="647"/>
      <c r="H186" s="647"/>
      <c r="I186" s="647"/>
      <c r="J186" s="647"/>
      <c r="K186" s="647"/>
      <c r="L186" s="647"/>
      <c r="M186" s="647"/>
      <c r="N186" s="647"/>
      <c r="O186" s="635"/>
      <c r="P186" s="635"/>
    </row>
    <row r="187" spans="1:16" x14ac:dyDescent="0.2">
      <c r="A187" s="646"/>
      <c r="B187" s="684" t="s">
        <v>637</v>
      </c>
      <c r="C187" s="644"/>
      <c r="D187" s="644"/>
      <c r="E187" s="644"/>
      <c r="F187" s="644"/>
      <c r="G187" s="644"/>
      <c r="H187" s="644"/>
      <c r="I187" s="644"/>
      <c r="J187" s="644"/>
      <c r="K187" s="644"/>
      <c r="L187" s="644"/>
      <c r="M187" s="644"/>
      <c r="N187" s="644"/>
    </row>
    <row r="188" spans="1:16" ht="45" x14ac:dyDescent="0.2">
      <c r="A188" s="696">
        <f>+Кот.!A237</f>
        <v>41</v>
      </c>
      <c r="B188" s="648" t="str">
        <f>+Кот.!B237</f>
        <v>Перевод котельных Керамический заавод, Сахаровское шоссе в автоматический режим с установкой на них погодозависимого оборудования</v>
      </c>
      <c r="C188" s="647"/>
      <c r="D188" s="647"/>
      <c r="E188" s="647"/>
      <c r="F188" s="647"/>
      <c r="G188" s="647"/>
      <c r="H188" s="647"/>
      <c r="I188" s="647"/>
      <c r="J188" s="647"/>
      <c r="K188" s="647"/>
      <c r="L188" s="647"/>
      <c r="M188" s="647"/>
      <c r="N188" s="647"/>
      <c r="O188" s="635"/>
      <c r="P188" s="635"/>
    </row>
    <row r="189" spans="1:16" x14ac:dyDescent="0.2">
      <c r="A189" s="646"/>
      <c r="B189" s="110" t="s">
        <v>608</v>
      </c>
      <c r="C189" s="649">
        <f>+Кот.!E237</f>
        <v>0</v>
      </c>
      <c r="D189" s="649">
        <f>+Кот.!F237</f>
        <v>11000</v>
      </c>
      <c r="E189" s="649">
        <f>+Кот.!G237</f>
        <v>0</v>
      </c>
      <c r="F189" s="649">
        <f>+Кот.!H237</f>
        <v>0</v>
      </c>
      <c r="G189" s="649">
        <f>+Кот.!I237</f>
        <v>0</v>
      </c>
      <c r="H189" s="647"/>
      <c r="I189" s="647"/>
      <c r="J189" s="647"/>
      <c r="K189" s="647"/>
      <c r="L189" s="647"/>
      <c r="M189" s="647"/>
      <c r="N189" s="647"/>
      <c r="O189" s="635"/>
      <c r="P189" s="635"/>
    </row>
    <row r="190" spans="1:16" ht="21" x14ac:dyDescent="0.2">
      <c r="A190" s="646"/>
      <c r="B190" s="650" t="s">
        <v>646</v>
      </c>
      <c r="C190" s="647"/>
      <c r="D190" s="647"/>
      <c r="E190" s="676">
        <f>-Кот.!G270</f>
        <v>2406.3436799999999</v>
      </c>
      <c r="F190" s="647"/>
      <c r="G190" s="647"/>
      <c r="H190" s="647"/>
      <c r="I190" s="647"/>
      <c r="J190" s="647"/>
      <c r="K190" s="647"/>
      <c r="L190" s="647"/>
      <c r="M190" s="647"/>
      <c r="N190" s="647"/>
      <c r="O190" s="635"/>
      <c r="P190" s="635"/>
    </row>
    <row r="191" spans="1:16" ht="12" thickBot="1" x14ac:dyDescent="0.25">
      <c r="A191" s="646"/>
      <c r="B191" s="110" t="s">
        <v>647</v>
      </c>
      <c r="C191" s="647"/>
      <c r="D191" s="647"/>
      <c r="E191" s="649">
        <v>-9</v>
      </c>
      <c r="F191" s="647"/>
      <c r="G191" s="647"/>
      <c r="H191" s="647"/>
      <c r="I191" s="647"/>
      <c r="J191" s="647"/>
      <c r="K191" s="647"/>
      <c r="L191" s="647"/>
      <c r="M191" s="647"/>
      <c r="N191" s="647"/>
      <c r="O191" s="635"/>
      <c r="P191" s="635"/>
    </row>
    <row r="192" spans="1:16" s="669" customFormat="1" ht="12" thickBot="1" x14ac:dyDescent="0.25">
      <c r="A192" s="645"/>
      <c r="B192" s="650" t="s">
        <v>612</v>
      </c>
      <c r="C192" s="664"/>
      <c r="D192" s="664"/>
      <c r="E192" s="706">
        <f>+D189/E190</f>
        <v>4.5712506037375347</v>
      </c>
      <c r="F192" s="664"/>
      <c r="G192" s="664"/>
      <c r="H192" s="673"/>
      <c r="I192" s="667"/>
      <c r="J192" s="664"/>
      <c r="K192" s="664"/>
      <c r="L192" s="664"/>
      <c r="M192" s="664"/>
      <c r="N192" s="664"/>
      <c r="O192" s="668"/>
      <c r="P192" s="668"/>
    </row>
    <row r="193" spans="1:16" x14ac:dyDescent="0.2">
      <c r="A193" s="646"/>
      <c r="B193" s="44"/>
      <c r="C193" s="647"/>
      <c r="D193" s="647"/>
      <c r="E193" s="647"/>
      <c r="F193" s="647"/>
      <c r="G193" s="647"/>
      <c r="H193" s="647"/>
      <c r="I193" s="647"/>
      <c r="J193" s="647"/>
      <c r="K193" s="647"/>
      <c r="L193" s="647"/>
      <c r="M193" s="647"/>
      <c r="N193" s="647"/>
      <c r="O193" s="635"/>
      <c r="P193" s="635"/>
    </row>
    <row r="194" spans="1:16" ht="33.75" x14ac:dyDescent="0.2">
      <c r="A194" s="696">
        <f>+Кот.!A238</f>
        <v>42</v>
      </c>
      <c r="B194" s="648" t="str">
        <f>+Кот.!B238</f>
        <v>Техническое перевооружение системы контроля загазованности СН4, СО котельной Химинститута</v>
      </c>
      <c r="C194" s="647"/>
      <c r="D194" s="647"/>
      <c r="E194" s="647"/>
      <c r="F194" s="647"/>
      <c r="G194" s="647"/>
      <c r="H194" s="647"/>
      <c r="I194" s="647"/>
      <c r="J194" s="647"/>
      <c r="K194" s="647"/>
      <c r="L194" s="647"/>
      <c r="M194" s="647"/>
      <c r="N194" s="647"/>
      <c r="O194" s="635"/>
      <c r="P194" s="635"/>
    </row>
    <row r="195" spans="1:16" x14ac:dyDescent="0.2">
      <c r="A195" s="646"/>
      <c r="B195" s="684" t="s">
        <v>637</v>
      </c>
      <c r="C195" s="644"/>
      <c r="D195" s="644"/>
      <c r="E195" s="644"/>
      <c r="F195" s="644"/>
      <c r="G195" s="644"/>
      <c r="H195" s="644"/>
      <c r="I195" s="644"/>
      <c r="J195" s="644"/>
      <c r="K195" s="644"/>
      <c r="L195" s="644"/>
      <c r="M195" s="644"/>
      <c r="N195" s="644"/>
    </row>
    <row r="196" spans="1:16" ht="33.75" x14ac:dyDescent="0.2">
      <c r="A196" s="696">
        <f>+Кот.!A239</f>
        <v>43</v>
      </c>
      <c r="B196" s="648" t="str">
        <f>+Кот.!B239</f>
        <v xml:space="preserve">Установка отключающих устройств на сетевых трубопроводах Водогрейной котельной-1 </v>
      </c>
      <c r="C196" s="647"/>
      <c r="D196" s="647"/>
      <c r="E196" s="647"/>
      <c r="F196" s="647"/>
      <c r="G196" s="647"/>
      <c r="H196" s="647"/>
      <c r="I196" s="647"/>
      <c r="J196" s="647"/>
      <c r="K196" s="647"/>
      <c r="L196" s="647"/>
      <c r="M196" s="647"/>
      <c r="N196" s="647"/>
      <c r="O196" s="635"/>
      <c r="P196" s="635"/>
    </row>
    <row r="197" spans="1:16" x14ac:dyDescent="0.2">
      <c r="A197" s="646"/>
      <c r="B197" s="684" t="s">
        <v>637</v>
      </c>
      <c r="C197" s="644"/>
      <c r="D197" s="644"/>
      <c r="E197" s="644"/>
      <c r="F197" s="644"/>
      <c r="G197" s="644"/>
      <c r="H197" s="644"/>
      <c r="I197" s="644"/>
      <c r="J197" s="644"/>
      <c r="K197" s="644"/>
      <c r="L197" s="644"/>
      <c r="M197" s="644"/>
      <c r="N197" s="644"/>
    </row>
    <row r="198" spans="1:16" ht="22.5" x14ac:dyDescent="0.2">
      <c r="A198" s="696">
        <f>+Кот.!A240</f>
        <v>44</v>
      </c>
      <c r="B198" s="648" t="str">
        <f>+Кот.!B240</f>
        <v>Установка системы пожарной сигнализации котельной Химинститута</v>
      </c>
      <c r="C198" s="647"/>
      <c r="D198" s="647"/>
      <c r="E198" s="647"/>
      <c r="F198" s="647"/>
      <c r="G198" s="647"/>
      <c r="H198" s="647"/>
      <c r="I198" s="647"/>
      <c r="J198" s="647"/>
      <c r="K198" s="647"/>
      <c r="L198" s="647"/>
      <c r="M198" s="647"/>
      <c r="N198" s="647"/>
      <c r="O198" s="635"/>
      <c r="P198" s="635"/>
    </row>
    <row r="199" spans="1:16" x14ac:dyDescent="0.2">
      <c r="A199" s="646"/>
      <c r="B199" s="684" t="s">
        <v>637</v>
      </c>
      <c r="C199" s="644"/>
      <c r="D199" s="644"/>
      <c r="E199" s="644"/>
      <c r="F199" s="644"/>
      <c r="G199" s="644"/>
      <c r="H199" s="644"/>
      <c r="I199" s="644"/>
      <c r="J199" s="644"/>
      <c r="K199" s="644"/>
      <c r="L199" s="644"/>
      <c r="M199" s="644"/>
      <c r="N199" s="644"/>
    </row>
    <row r="200" spans="1:16" ht="33.75" x14ac:dyDescent="0.2">
      <c r="A200" s="646">
        <f>+Кот.!A241</f>
        <v>45</v>
      </c>
      <c r="B200" s="648" t="s">
        <v>649</v>
      </c>
      <c r="C200" s="647"/>
      <c r="D200" s="647"/>
      <c r="E200" s="647"/>
      <c r="F200" s="647"/>
      <c r="G200" s="647"/>
      <c r="H200" s="647"/>
      <c r="I200" s="647"/>
      <c r="J200" s="647"/>
      <c r="K200" s="647"/>
      <c r="L200" s="647"/>
      <c r="M200" s="647"/>
      <c r="N200" s="647"/>
      <c r="O200" s="635"/>
      <c r="P200" s="635"/>
    </row>
    <row r="201" spans="1:16" ht="45" x14ac:dyDescent="0.2">
      <c r="A201" s="646"/>
      <c r="B201" s="684" t="s">
        <v>635</v>
      </c>
      <c r="C201" s="647"/>
      <c r="D201" s="647"/>
      <c r="E201" s="647"/>
      <c r="F201" s="647"/>
      <c r="G201" s="647"/>
      <c r="H201" s="647"/>
      <c r="I201" s="647"/>
      <c r="J201" s="647"/>
      <c r="K201" s="647"/>
      <c r="L201" s="647"/>
      <c r="M201" s="647"/>
      <c r="N201" s="647"/>
      <c r="O201" s="635"/>
      <c r="P201" s="635"/>
    </row>
    <row r="202" spans="1:16" x14ac:dyDescent="0.2">
      <c r="A202" s="646"/>
      <c r="B202" s="645" t="s">
        <v>606</v>
      </c>
      <c r="C202" s="647"/>
      <c r="D202" s="647"/>
      <c r="E202" s="647"/>
      <c r="F202" s="647"/>
      <c r="G202" s="647"/>
      <c r="H202" s="647"/>
      <c r="I202" s="647"/>
      <c r="J202" s="647"/>
      <c r="K202" s="647"/>
      <c r="L202" s="647"/>
      <c r="M202" s="647"/>
      <c r="N202" s="647"/>
      <c r="O202" s="635"/>
      <c r="P202" s="635"/>
    </row>
    <row r="203" spans="1:16" ht="22.5" x14ac:dyDescent="0.2">
      <c r="A203" s="696">
        <f>+Сети!A70</f>
        <v>46</v>
      </c>
      <c r="B203" s="648" t="str">
        <f>+Сети!B70</f>
        <v>Реконструкция магистральных тепловых сетей</v>
      </c>
      <c r="C203" s="647"/>
      <c r="D203" s="647"/>
      <c r="E203" s="647"/>
      <c r="F203" s="647"/>
      <c r="G203" s="647"/>
      <c r="H203" s="647"/>
      <c r="I203" s="647"/>
      <c r="J203" s="647"/>
      <c r="K203" s="647"/>
      <c r="L203" s="647"/>
      <c r="M203" s="647"/>
      <c r="N203" s="647"/>
      <c r="O203" s="635"/>
      <c r="P203" s="635"/>
    </row>
    <row r="204" spans="1:16" x14ac:dyDescent="0.2">
      <c r="A204" s="646"/>
      <c r="B204" s="110" t="s">
        <v>608</v>
      </c>
      <c r="C204" s="676">
        <f>+Сети!E70+Сети!E71+Сети!E72+Сети!E73</f>
        <v>632006.08064534655</v>
      </c>
      <c r="D204" s="676">
        <f>+Сети!F70+Сети!F71+Сети!F72+Сети!F73</f>
        <v>521588.51202925597</v>
      </c>
      <c r="E204" s="676">
        <f>+Сети!G70+Сети!G71+Сети!G72+Сети!G73</f>
        <v>639791.24054195359</v>
      </c>
      <c r="F204" s="676">
        <f>+Сети!H70+Сети!H71+Сети!H72+Сети!H73</f>
        <v>657758.77922956075</v>
      </c>
      <c r="G204" s="676">
        <f>+Сети!I70+Сети!I71+Сети!I72+Сети!I73</f>
        <v>739542.32700954052</v>
      </c>
      <c r="H204" s="677"/>
      <c r="I204" s="677"/>
      <c r="J204" s="677"/>
      <c r="K204" s="677"/>
      <c r="L204" s="677"/>
      <c r="M204" s="677"/>
      <c r="N204" s="677"/>
      <c r="O204" s="635"/>
      <c r="P204" s="635"/>
    </row>
    <row r="205" spans="1:16" ht="21" x14ac:dyDescent="0.2">
      <c r="A205" s="646"/>
      <c r="B205" s="650" t="s">
        <v>628</v>
      </c>
      <c r="C205" s="677"/>
      <c r="D205" s="655">
        <f>+D206</f>
        <v>53664.392883591492</v>
      </c>
      <c r="E205" s="655">
        <f>+D206*E208/D208+D205</f>
        <v>108938.71755369072</v>
      </c>
      <c r="F205" s="655">
        <f t="shared" ref="F205:N205" si="37">+E206*F208/E208+E205</f>
        <v>177195.4743745758</v>
      </c>
      <c r="G205" s="655">
        <f t="shared" si="37"/>
        <v>249179.00229975203</v>
      </c>
      <c r="H205" s="655">
        <f t="shared" si="37"/>
        <v>315289.74596499919</v>
      </c>
      <c r="I205" s="655">
        <f t="shared" si="37"/>
        <v>395873.66178120859</v>
      </c>
      <c r="J205" s="655">
        <f t="shared" si="37"/>
        <v>395873.66178120859</v>
      </c>
      <c r="K205" s="655">
        <f t="shared" si="37"/>
        <v>395873.66178120859</v>
      </c>
      <c r="L205" s="655">
        <f t="shared" si="37"/>
        <v>395873.66178120859</v>
      </c>
      <c r="M205" s="655">
        <f t="shared" si="37"/>
        <v>395873.66178120859</v>
      </c>
      <c r="N205" s="655">
        <f t="shared" si="37"/>
        <v>395873.66178120859</v>
      </c>
      <c r="O205" s="635"/>
      <c r="P205" s="635"/>
    </row>
    <row r="206" spans="1:16" ht="33.75" x14ac:dyDescent="0.2">
      <c r="A206" s="646"/>
      <c r="B206" s="110" t="s">
        <v>631</v>
      </c>
      <c r="C206" s="647"/>
      <c r="D206" s="651">
        <f>-D207*D208</f>
        <v>53664.392883591492</v>
      </c>
      <c r="E206" s="651">
        <f>-E207*E208</f>
        <v>66268.695942606879</v>
      </c>
      <c r="F206" s="651">
        <f>-F207*F208</f>
        <v>69886.920315705065</v>
      </c>
      <c r="G206" s="651">
        <f>-G207*G208</f>
        <v>64185.188024511786</v>
      </c>
      <c r="H206" s="651">
        <f>-H207*H208</f>
        <v>78236.811472047964</v>
      </c>
      <c r="I206" s="647"/>
      <c r="J206" s="647"/>
      <c r="K206" s="647"/>
      <c r="L206" s="647"/>
      <c r="M206" s="647"/>
      <c r="N206" s="647"/>
      <c r="O206" s="635"/>
      <c r="P206" s="635"/>
    </row>
    <row r="207" spans="1:16" ht="22.5" x14ac:dyDescent="0.2">
      <c r="A207" s="646"/>
      <c r="B207" s="110" t="s">
        <v>629</v>
      </c>
      <c r="C207" s="644"/>
      <c r="D207" s="649">
        <f>+Сети!F23+Сети!F24</f>
        <v>-78.580000000000013</v>
      </c>
      <c r="E207" s="649">
        <f>+Сети!G23+Сети!G24</f>
        <v>-94.210000000000008</v>
      </c>
      <c r="F207" s="649">
        <f>+Сети!H23+Сети!H24</f>
        <v>-96.46</v>
      </c>
      <c r="G207" s="649">
        <f>+Сети!I23+Сети!I24</f>
        <v>-86.009999999999991</v>
      </c>
      <c r="H207" s="649">
        <f>+Сети!J23+Сети!J24</f>
        <v>-101.786</v>
      </c>
      <c r="I207" s="647"/>
      <c r="J207" s="647"/>
      <c r="K207" s="647"/>
      <c r="L207" s="647"/>
      <c r="M207" s="647"/>
      <c r="N207" s="647"/>
      <c r="O207" s="635"/>
      <c r="P207" s="635"/>
    </row>
    <row r="208" spans="1:16" ht="22.5" x14ac:dyDescent="0.2">
      <c r="A208" s="646"/>
      <c r="B208" s="110" t="s">
        <v>630</v>
      </c>
      <c r="C208" s="644"/>
      <c r="D208" s="649">
        <f>+'ТЭЦ-1'!F99</f>
        <v>682.92686286067044</v>
      </c>
      <c r="E208" s="649">
        <f>+'ТЭЦ-1'!G99</f>
        <v>703.41466874649052</v>
      </c>
      <c r="F208" s="649">
        <f>+'ТЭЦ-1'!H99</f>
        <v>724.51710880888527</v>
      </c>
      <c r="G208" s="649">
        <f>+'ТЭЦ-1'!I99</f>
        <v>746.25262207315188</v>
      </c>
      <c r="H208" s="649">
        <f>+'ТЭЦ-1'!J99</f>
        <v>768.64020073534641</v>
      </c>
      <c r="I208" s="649">
        <f>+'ТЭЦ-1'!K99</f>
        <v>791.69940675740679</v>
      </c>
      <c r="J208" s="649">
        <f>+'ТЭЦ-1'!L99</f>
        <v>815.45038896012898</v>
      </c>
      <c r="K208" s="649">
        <f>+'ТЭЦ-1'!M99</f>
        <v>839.91390062893288</v>
      </c>
      <c r="L208" s="649">
        <f>+'ТЭЦ-1'!N99</f>
        <v>865.11131764780089</v>
      </c>
      <c r="M208" s="649">
        <f>+'ТЭЦ-1'!O99</f>
        <v>891.06465717723495</v>
      </c>
      <c r="N208" s="649">
        <f>+'ТЭЦ-1'!P99</f>
        <v>917.79659689255197</v>
      </c>
      <c r="O208" s="635"/>
      <c r="P208" s="635"/>
    </row>
    <row r="209" spans="1:16" ht="21" x14ac:dyDescent="0.2">
      <c r="A209" s="646"/>
      <c r="B209" s="650" t="s">
        <v>632</v>
      </c>
      <c r="C209" s="677"/>
      <c r="D209" s="655">
        <f>+D210</f>
        <v>20528.920018879999</v>
      </c>
      <c r="E209" s="655">
        <f>+D210*E212/D212+D209</f>
        <v>41878.996838515202</v>
      </c>
      <c r="F209" s="655">
        <f t="shared" ref="F209:N209" si="38">+E210*F212/E212+E209</f>
        <v>70789.68607511092</v>
      </c>
      <c r="G209" s="655">
        <f t="shared" si="38"/>
        <v>102583.45886237478</v>
      </c>
      <c r="H209" s="655">
        <f t="shared" si="38"/>
        <v>131404.56832377103</v>
      </c>
      <c r="I209" s="655">
        <f t="shared" si="38"/>
        <v>167782.3758441869</v>
      </c>
      <c r="J209" s="655">
        <f t="shared" si="38"/>
        <v>167782.3758441869</v>
      </c>
      <c r="K209" s="655">
        <f t="shared" si="38"/>
        <v>167782.3758441869</v>
      </c>
      <c r="L209" s="655">
        <f t="shared" si="38"/>
        <v>167782.3758441869</v>
      </c>
      <c r="M209" s="655">
        <f t="shared" si="38"/>
        <v>167782.3758441869</v>
      </c>
      <c r="N209" s="655">
        <f t="shared" si="38"/>
        <v>167782.3758441869</v>
      </c>
      <c r="O209" s="635"/>
      <c r="P209" s="635"/>
    </row>
    <row r="210" spans="1:16" ht="33.75" x14ac:dyDescent="0.2">
      <c r="A210" s="646"/>
      <c r="B210" s="110" t="s">
        <v>631</v>
      </c>
      <c r="C210" s="647"/>
      <c r="D210" s="651">
        <f>-D211*D212</f>
        <v>20528.920018879999</v>
      </c>
      <c r="E210" s="651">
        <f>-E211*E212</f>
        <v>27798.739650572803</v>
      </c>
      <c r="F210" s="651">
        <f>-F211*F212</f>
        <v>30570.935372369106</v>
      </c>
      <c r="G210" s="651">
        <f>-G211*G212</f>
        <v>27712.605251342553</v>
      </c>
      <c r="H210" s="651">
        <f>-H211*H212</f>
        <v>34978.661077322955</v>
      </c>
      <c r="I210" s="647"/>
      <c r="J210" s="647"/>
      <c r="K210" s="647"/>
      <c r="L210" s="647"/>
      <c r="M210" s="647"/>
      <c r="N210" s="647"/>
      <c r="O210" s="635"/>
      <c r="P210" s="635"/>
    </row>
    <row r="211" spans="1:16" ht="22.5" x14ac:dyDescent="0.2">
      <c r="A211" s="646"/>
      <c r="B211" s="110" t="s">
        <v>633</v>
      </c>
      <c r="C211" s="644"/>
      <c r="D211" s="676">
        <f>+Сети!F47+Сети!F48</f>
        <v>-1086.0999999999999</v>
      </c>
      <c r="E211" s="676">
        <f>+Сети!G47+Сети!G48</f>
        <v>-1414.15</v>
      </c>
      <c r="F211" s="676">
        <f>+Сети!H47+Сети!H48</f>
        <v>-1495.3600000000001</v>
      </c>
      <c r="G211" s="676">
        <f>+Сети!I47+Сети!I48</f>
        <v>-1303.4100000000001</v>
      </c>
      <c r="H211" s="676">
        <f>+Сети!J47+Сети!J48</f>
        <v>-1581.88</v>
      </c>
      <c r="I211" s="647"/>
      <c r="J211" s="647"/>
      <c r="K211" s="647"/>
      <c r="L211" s="647"/>
      <c r="M211" s="647"/>
      <c r="N211" s="647"/>
      <c r="O211" s="635"/>
      <c r="P211" s="635"/>
    </row>
    <row r="212" spans="1:16" x14ac:dyDescent="0.2">
      <c r="A212" s="646"/>
      <c r="B212" s="110" t="s">
        <v>634</v>
      </c>
      <c r="C212" s="644"/>
      <c r="D212" s="649">
        <f>+'ТЭЦ-3'!F100</f>
        <v>18.901500800000001</v>
      </c>
      <c r="E212" s="649">
        <f>+'ТЭЦ-3'!G100</f>
        <v>19.657560832000001</v>
      </c>
      <c r="F212" s="649">
        <f>+'ТЭЦ-3'!H100</f>
        <v>20.443863265280001</v>
      </c>
      <c r="G212" s="649">
        <f>+'ТЭЦ-3'!I100</f>
        <v>21.261617795891201</v>
      </c>
      <c r="H212" s="649">
        <f>+'ТЭЦ-3'!J100</f>
        <v>22.11208250772685</v>
      </c>
      <c r="I212" s="649">
        <f>+'ТЭЦ-3'!K100</f>
        <v>22.996565808035925</v>
      </c>
      <c r="J212" s="649">
        <f>+'ТЭЦ-3'!L100</f>
        <v>23.916428440357361</v>
      </c>
      <c r="K212" s="649">
        <f>+'ТЭЦ-3'!M100</f>
        <v>24.873085577971658</v>
      </c>
      <c r="L212" s="649">
        <f>+'ТЭЦ-3'!N100</f>
        <v>25.868009001090524</v>
      </c>
      <c r="M212" s="649">
        <f>+'ТЭЦ-3'!O100</f>
        <v>26.902729361134146</v>
      </c>
      <c r="N212" s="649">
        <f>+'ТЭЦ-3'!P100</f>
        <v>27.978838535579513</v>
      </c>
      <c r="O212" s="635"/>
      <c r="P212" s="635"/>
    </row>
    <row r="213" spans="1:16" ht="21.75" thickBot="1" x14ac:dyDescent="0.25">
      <c r="A213" s="646"/>
      <c r="B213" s="650" t="s">
        <v>616</v>
      </c>
      <c r="C213" s="644"/>
      <c r="D213" s="655">
        <f>+D205+D209</f>
        <v>74193.312902471487</v>
      </c>
      <c r="E213" s="655">
        <f t="shared" ref="E213:N213" si="39">+E205+E209</f>
        <v>150817.71439220593</v>
      </c>
      <c r="F213" s="655">
        <f t="shared" si="39"/>
        <v>247985.16044968672</v>
      </c>
      <c r="G213" s="655">
        <f t="shared" si="39"/>
        <v>351762.4611621268</v>
      </c>
      <c r="H213" s="655">
        <f t="shared" si="39"/>
        <v>446694.3142887702</v>
      </c>
      <c r="I213" s="662">
        <f t="shared" si="39"/>
        <v>563656.03762539546</v>
      </c>
      <c r="J213" s="655">
        <f t="shared" si="39"/>
        <v>563656.03762539546</v>
      </c>
      <c r="K213" s="655">
        <f t="shared" si="39"/>
        <v>563656.03762539546</v>
      </c>
      <c r="L213" s="655">
        <f t="shared" si="39"/>
        <v>563656.03762539546</v>
      </c>
      <c r="M213" s="655">
        <f t="shared" si="39"/>
        <v>563656.03762539546</v>
      </c>
      <c r="N213" s="655">
        <f t="shared" si="39"/>
        <v>563656.03762539546</v>
      </c>
      <c r="O213" s="635"/>
      <c r="P213" s="635"/>
    </row>
    <row r="214" spans="1:16" ht="12" thickBot="1" x14ac:dyDescent="0.25">
      <c r="A214" s="646"/>
      <c r="B214" s="650" t="s">
        <v>612</v>
      </c>
      <c r="C214" s="644"/>
      <c r="D214" s="644"/>
      <c r="E214" s="644"/>
      <c r="F214" s="644"/>
      <c r="G214" s="644"/>
      <c r="H214" s="679"/>
      <c r="I214" s="681">
        <f>SUM(C204:G204)/I213</f>
        <v>5.6606985935918965</v>
      </c>
      <c r="J214" s="680"/>
      <c r="K214" s="644"/>
      <c r="L214" s="644"/>
      <c r="M214" s="644"/>
      <c r="N214" s="644"/>
      <c r="O214" s="635"/>
      <c r="P214" s="635"/>
    </row>
    <row r="215" spans="1:16" x14ac:dyDescent="0.2">
      <c r="A215" s="646"/>
      <c r="B215" s="110"/>
      <c r="C215" s="644"/>
      <c r="D215" s="644"/>
      <c r="E215" s="644"/>
      <c r="F215" s="644"/>
      <c r="G215" s="644"/>
      <c r="H215" s="679"/>
      <c r="I215" s="682"/>
      <c r="J215" s="680"/>
      <c r="K215" s="644"/>
      <c r="L215" s="644"/>
      <c r="M215" s="644"/>
      <c r="N215" s="644"/>
      <c r="O215" s="635"/>
      <c r="P215" s="635"/>
    </row>
    <row r="216" spans="1:16" ht="22.5" x14ac:dyDescent="0.2">
      <c r="A216" s="696">
        <f>+Сети!A74</f>
        <v>50</v>
      </c>
      <c r="B216" s="648" t="str">
        <f>+Сети!B74</f>
        <v>Реконструкция распределительных тепловых сетей</v>
      </c>
      <c r="C216" s="647"/>
      <c r="D216" s="647"/>
      <c r="E216" s="647"/>
      <c r="F216" s="647"/>
      <c r="G216" s="647"/>
      <c r="H216" s="647"/>
      <c r="I216" s="663"/>
      <c r="J216" s="647"/>
      <c r="K216" s="647"/>
      <c r="L216" s="647"/>
      <c r="M216" s="647"/>
      <c r="N216" s="647"/>
      <c r="O216" s="635"/>
      <c r="P216" s="635"/>
    </row>
    <row r="217" spans="1:16" x14ac:dyDescent="0.2">
      <c r="A217" s="646"/>
      <c r="B217" s="110" t="s">
        <v>608</v>
      </c>
      <c r="C217" s="676">
        <f>+Сети!E74</f>
        <v>55177.560964504548</v>
      </c>
      <c r="D217" s="676">
        <f>+Сети!F74</f>
        <v>58101.378891613116</v>
      </c>
      <c r="E217" s="676">
        <f>+Сети!G74</f>
        <v>55249.329485696406</v>
      </c>
      <c r="F217" s="676">
        <f>+Сети!H74</f>
        <v>53149.551346511129</v>
      </c>
      <c r="G217" s="676">
        <f>+Сети!I74</f>
        <v>56806.917886109833</v>
      </c>
      <c r="H217" s="677"/>
      <c r="I217" s="677"/>
      <c r="J217" s="677"/>
      <c r="K217" s="677"/>
      <c r="L217" s="677"/>
      <c r="M217" s="677"/>
      <c r="N217" s="677"/>
      <c r="O217" s="635"/>
      <c r="P217" s="635"/>
    </row>
    <row r="218" spans="1:16" ht="21" x14ac:dyDescent="0.2">
      <c r="A218" s="646"/>
      <c r="B218" s="650" t="s">
        <v>628</v>
      </c>
      <c r="C218" s="677"/>
      <c r="D218" s="655">
        <f>+D219</f>
        <v>3257.5611358453975</v>
      </c>
      <c r="E218" s="655">
        <f>+D219*E221/D221+D218</f>
        <v>6612.8491057661568</v>
      </c>
      <c r="F218" s="655">
        <f t="shared" ref="F218:N218" si="40">+E219*F221/E221+E218</f>
        <v>15502.674030851176</v>
      </c>
      <c r="G218" s="655">
        <f t="shared" si="40"/>
        <v>20330.92849566447</v>
      </c>
      <c r="H218" s="655">
        <f t="shared" si="40"/>
        <v>26687.582955745784</v>
      </c>
      <c r="I218" s="655">
        <f t="shared" si="40"/>
        <v>31429.86240222265</v>
      </c>
      <c r="J218" s="655">
        <f t="shared" si="40"/>
        <v>31429.86240222265</v>
      </c>
      <c r="K218" s="655">
        <f t="shared" si="40"/>
        <v>31429.86240222265</v>
      </c>
      <c r="L218" s="655">
        <f t="shared" si="40"/>
        <v>31429.86240222265</v>
      </c>
      <c r="M218" s="655">
        <f t="shared" si="40"/>
        <v>31429.86240222265</v>
      </c>
      <c r="N218" s="655">
        <f t="shared" si="40"/>
        <v>31429.86240222265</v>
      </c>
      <c r="O218" s="635"/>
      <c r="P218" s="635"/>
    </row>
    <row r="219" spans="1:16" ht="33.75" x14ac:dyDescent="0.2">
      <c r="A219" s="646"/>
      <c r="B219" s="110" t="s">
        <v>631</v>
      </c>
      <c r="C219" s="647"/>
      <c r="D219" s="651">
        <f>-D220*D221</f>
        <v>3257.5611358453975</v>
      </c>
      <c r="E219" s="651">
        <f>-E220*E221</f>
        <v>8630.8979855194375</v>
      </c>
      <c r="F219" s="651">
        <f>-F220*F221</f>
        <v>4687.6256939934874</v>
      </c>
      <c r="G219" s="651">
        <f>-G220*G221</f>
        <v>6171.509184544966</v>
      </c>
      <c r="H219" s="651">
        <f>-H220*H221</f>
        <v>4604.1548024047252</v>
      </c>
      <c r="I219" s="647"/>
      <c r="J219" s="647"/>
      <c r="K219" s="647"/>
      <c r="L219" s="647"/>
      <c r="M219" s="647"/>
      <c r="N219" s="647"/>
      <c r="O219" s="635"/>
      <c r="P219" s="635"/>
    </row>
    <row r="220" spans="1:16" ht="22.5" x14ac:dyDescent="0.2">
      <c r="A220" s="646"/>
      <c r="B220" s="110" t="s">
        <v>629</v>
      </c>
      <c r="C220" s="644"/>
      <c r="D220" s="649">
        <f>+Сети!F49</f>
        <v>-4.7699999999999996</v>
      </c>
      <c r="E220" s="649">
        <f>+Сети!G49</f>
        <v>-12.27</v>
      </c>
      <c r="F220" s="649">
        <f>+Сети!H49</f>
        <v>-6.47</v>
      </c>
      <c r="G220" s="649">
        <f>+Сети!I49</f>
        <v>-8.27</v>
      </c>
      <c r="H220" s="649">
        <f>+Сети!J49</f>
        <v>-5.99</v>
      </c>
      <c r="I220" s="647"/>
      <c r="J220" s="647"/>
      <c r="K220" s="647"/>
      <c r="L220" s="647"/>
      <c r="M220" s="647"/>
      <c r="N220" s="647"/>
      <c r="O220" s="635"/>
      <c r="P220" s="635"/>
    </row>
    <row r="221" spans="1:16" ht="22.5" x14ac:dyDescent="0.2">
      <c r="A221" s="646"/>
      <c r="B221" s="110" t="s">
        <v>630</v>
      </c>
      <c r="C221" s="644"/>
      <c r="D221" s="683">
        <f>+D208</f>
        <v>682.92686286067044</v>
      </c>
      <c r="E221" s="683">
        <f t="shared" ref="E221:N221" si="41">+E208</f>
        <v>703.41466874649052</v>
      </c>
      <c r="F221" s="683">
        <f t="shared" si="41"/>
        <v>724.51710880888527</v>
      </c>
      <c r="G221" s="683">
        <f t="shared" si="41"/>
        <v>746.25262207315188</v>
      </c>
      <c r="H221" s="683">
        <f t="shared" si="41"/>
        <v>768.64020073534641</v>
      </c>
      <c r="I221" s="683">
        <f t="shared" si="41"/>
        <v>791.69940675740679</v>
      </c>
      <c r="J221" s="683">
        <f t="shared" si="41"/>
        <v>815.45038896012898</v>
      </c>
      <c r="K221" s="683">
        <f t="shared" si="41"/>
        <v>839.91390062893288</v>
      </c>
      <c r="L221" s="683">
        <f t="shared" si="41"/>
        <v>865.11131764780089</v>
      </c>
      <c r="M221" s="683">
        <f t="shared" si="41"/>
        <v>891.06465717723495</v>
      </c>
      <c r="N221" s="683">
        <f t="shared" si="41"/>
        <v>917.79659689255197</v>
      </c>
      <c r="O221" s="635"/>
      <c r="P221" s="635"/>
    </row>
    <row r="222" spans="1:16" ht="21" x14ac:dyDescent="0.2">
      <c r="A222" s="646"/>
      <c r="B222" s="650" t="s">
        <v>632</v>
      </c>
      <c r="C222" s="677"/>
      <c r="D222" s="655">
        <f>+D223</f>
        <v>90.160158815999992</v>
      </c>
      <c r="E222" s="655">
        <f>+D223*E225/D225+D222</f>
        <v>183.92672398463998</v>
      </c>
      <c r="F222" s="655">
        <f t="shared" ref="F222:N222" si="42">+E223*F225/E225+E222</f>
        <v>434.77292624962558</v>
      </c>
      <c r="G222" s="655">
        <f t="shared" si="42"/>
        <v>572.33559338904161</v>
      </c>
      <c r="H222" s="655">
        <f t="shared" si="42"/>
        <v>755.20251572794268</v>
      </c>
      <c r="I222" s="655">
        <f t="shared" si="42"/>
        <v>892.95194491807786</v>
      </c>
      <c r="J222" s="655">
        <f t="shared" si="42"/>
        <v>892.95194491807786</v>
      </c>
      <c r="K222" s="655">
        <f t="shared" si="42"/>
        <v>892.95194491807786</v>
      </c>
      <c r="L222" s="655">
        <f t="shared" si="42"/>
        <v>892.95194491807786</v>
      </c>
      <c r="M222" s="655">
        <f t="shared" si="42"/>
        <v>892.95194491807786</v>
      </c>
      <c r="N222" s="655">
        <f t="shared" si="42"/>
        <v>892.95194491807786</v>
      </c>
      <c r="O222" s="635"/>
      <c r="P222" s="635"/>
    </row>
    <row r="223" spans="1:16" ht="33.75" x14ac:dyDescent="0.2">
      <c r="A223" s="646"/>
      <c r="B223" s="110" t="s">
        <v>631</v>
      </c>
      <c r="C223" s="647"/>
      <c r="D223" s="651">
        <f>-D224*D225</f>
        <v>90.160158815999992</v>
      </c>
      <c r="E223" s="651">
        <f>-E224*E225</f>
        <v>241.19827140864001</v>
      </c>
      <c r="F223" s="651">
        <f>-F224*F225</f>
        <v>132.2717953263616</v>
      </c>
      <c r="G223" s="651">
        <f>-G224*G225</f>
        <v>175.83357917202022</v>
      </c>
      <c r="H223" s="651">
        <f>-H224*H225</f>
        <v>132.45137422128383</v>
      </c>
      <c r="I223" s="647"/>
      <c r="J223" s="647"/>
      <c r="K223" s="647"/>
      <c r="L223" s="647"/>
      <c r="M223" s="647"/>
      <c r="N223" s="647"/>
      <c r="O223" s="635"/>
      <c r="P223" s="635"/>
    </row>
    <row r="224" spans="1:16" ht="22.5" x14ac:dyDescent="0.2">
      <c r="A224" s="646"/>
      <c r="B224" s="110" t="s">
        <v>633</v>
      </c>
      <c r="C224" s="644"/>
      <c r="D224" s="649">
        <f>+Сети!F49</f>
        <v>-4.7699999999999996</v>
      </c>
      <c r="E224" s="649">
        <f>+Сети!G49</f>
        <v>-12.27</v>
      </c>
      <c r="F224" s="649">
        <f>+Сети!H49</f>
        <v>-6.47</v>
      </c>
      <c r="G224" s="649">
        <f>+Сети!I49</f>
        <v>-8.27</v>
      </c>
      <c r="H224" s="649">
        <f>+Сети!J49</f>
        <v>-5.99</v>
      </c>
      <c r="I224" s="647"/>
      <c r="J224" s="647"/>
      <c r="K224" s="647"/>
      <c r="L224" s="647"/>
      <c r="M224" s="647"/>
      <c r="N224" s="647"/>
      <c r="O224" s="635"/>
      <c r="P224" s="635"/>
    </row>
    <row r="225" spans="1:16" x14ac:dyDescent="0.2">
      <c r="A225" s="646"/>
      <c r="B225" s="110" t="s">
        <v>634</v>
      </c>
      <c r="C225" s="644"/>
      <c r="D225" s="683">
        <f>+D212</f>
        <v>18.901500800000001</v>
      </c>
      <c r="E225" s="683">
        <f t="shared" ref="E225:N225" si="43">+E212</f>
        <v>19.657560832000001</v>
      </c>
      <c r="F225" s="683">
        <f t="shared" si="43"/>
        <v>20.443863265280001</v>
      </c>
      <c r="G225" s="683">
        <f t="shared" si="43"/>
        <v>21.261617795891201</v>
      </c>
      <c r="H225" s="683">
        <f t="shared" si="43"/>
        <v>22.11208250772685</v>
      </c>
      <c r="I225" s="683">
        <f t="shared" si="43"/>
        <v>22.996565808035925</v>
      </c>
      <c r="J225" s="683">
        <f t="shared" si="43"/>
        <v>23.916428440357361</v>
      </c>
      <c r="K225" s="683">
        <f t="shared" si="43"/>
        <v>24.873085577971658</v>
      </c>
      <c r="L225" s="683">
        <f t="shared" si="43"/>
        <v>25.868009001090524</v>
      </c>
      <c r="M225" s="683">
        <f t="shared" si="43"/>
        <v>26.902729361134146</v>
      </c>
      <c r="N225" s="683">
        <f t="shared" si="43"/>
        <v>27.978838535579513</v>
      </c>
      <c r="O225" s="635"/>
      <c r="P225" s="635"/>
    </row>
    <row r="226" spans="1:16" ht="21.75" thickBot="1" x14ac:dyDescent="0.25">
      <c r="A226" s="646"/>
      <c r="B226" s="650" t="s">
        <v>616</v>
      </c>
      <c r="C226" s="644"/>
      <c r="D226" s="655">
        <f>+D218+D222</f>
        <v>3347.7212946613977</v>
      </c>
      <c r="E226" s="655">
        <f t="shared" ref="E226:N226" si="44">+E218+E222</f>
        <v>6796.7758297507971</v>
      </c>
      <c r="F226" s="655">
        <f t="shared" si="44"/>
        <v>15937.446957100801</v>
      </c>
      <c r="G226" s="655">
        <f t="shared" si="44"/>
        <v>20903.264089053511</v>
      </c>
      <c r="H226" s="655">
        <f t="shared" si="44"/>
        <v>27442.785471473726</v>
      </c>
      <c r="I226" s="662">
        <f t="shared" si="44"/>
        <v>32322.814347140727</v>
      </c>
      <c r="J226" s="655">
        <f t="shared" si="44"/>
        <v>32322.814347140727</v>
      </c>
      <c r="K226" s="655">
        <f t="shared" si="44"/>
        <v>32322.814347140727</v>
      </c>
      <c r="L226" s="655">
        <f t="shared" si="44"/>
        <v>32322.814347140727</v>
      </c>
      <c r="M226" s="655">
        <f t="shared" si="44"/>
        <v>32322.814347140727</v>
      </c>
      <c r="N226" s="655">
        <f t="shared" si="44"/>
        <v>32322.814347140727</v>
      </c>
      <c r="O226" s="635"/>
      <c r="P226" s="635"/>
    </row>
    <row r="227" spans="1:16" ht="12" thickBot="1" x14ac:dyDescent="0.25">
      <c r="A227" s="646"/>
      <c r="B227" s="650" t="s">
        <v>612</v>
      </c>
      <c r="C227" s="644"/>
      <c r="D227" s="644"/>
      <c r="E227" s="644"/>
      <c r="F227" s="644"/>
      <c r="G227" s="644"/>
      <c r="H227" s="679"/>
      <c r="I227" s="681">
        <f>SUM(C217:G217)/I226</f>
        <v>8.6157330108561467</v>
      </c>
      <c r="J227" s="680"/>
      <c r="K227" s="644"/>
      <c r="L227" s="644"/>
      <c r="M227" s="644"/>
      <c r="N227" s="644"/>
      <c r="O227" s="635"/>
      <c r="P227" s="635"/>
    </row>
    <row r="228" spans="1:16" x14ac:dyDescent="0.2">
      <c r="A228" s="646"/>
      <c r="B228" s="110"/>
      <c r="C228" s="644"/>
      <c r="D228" s="644"/>
      <c r="E228" s="644"/>
      <c r="F228" s="644"/>
      <c r="G228" s="644"/>
      <c r="H228" s="679"/>
      <c r="I228" s="682"/>
      <c r="J228" s="680"/>
      <c r="K228" s="644"/>
      <c r="L228" s="644"/>
      <c r="M228" s="644"/>
      <c r="N228" s="644"/>
      <c r="O228" s="635"/>
      <c r="P228" s="635"/>
    </row>
    <row r="229" spans="1:16" ht="22.5" x14ac:dyDescent="0.2">
      <c r="A229" s="696">
        <f>+Сети!A75</f>
        <v>51</v>
      </c>
      <c r="B229" s="648" t="str">
        <f>+Сети!B75</f>
        <v>Реконструкция центральных тепловых пунктов</v>
      </c>
      <c r="C229" s="647"/>
      <c r="D229" s="647"/>
      <c r="E229" s="647"/>
      <c r="F229" s="647"/>
      <c r="G229" s="647"/>
      <c r="H229" s="647"/>
      <c r="I229" s="647"/>
      <c r="J229" s="647"/>
      <c r="K229" s="647"/>
      <c r="L229" s="647"/>
      <c r="M229" s="647"/>
      <c r="N229" s="647"/>
      <c r="O229" s="635"/>
      <c r="P229" s="635"/>
    </row>
    <row r="230" spans="1:16" x14ac:dyDescent="0.2">
      <c r="A230" s="646"/>
      <c r="B230" s="684" t="s">
        <v>637</v>
      </c>
      <c r="C230" s="644"/>
      <c r="D230" s="644"/>
      <c r="E230" s="644"/>
      <c r="F230" s="644"/>
      <c r="G230" s="644"/>
      <c r="H230" s="644"/>
      <c r="I230" s="644"/>
      <c r="J230" s="644"/>
      <c r="K230" s="644"/>
      <c r="L230" s="644"/>
      <c r="M230" s="644"/>
      <c r="N230" s="644"/>
    </row>
    <row r="231" spans="1:16" x14ac:dyDescent="0.2">
      <c r="A231" s="696">
        <f>+Сети!A76</f>
        <v>52</v>
      </c>
      <c r="B231" s="648" t="str">
        <f>+Сети!B76</f>
        <v>Строительство и реконструкция ДНС</v>
      </c>
      <c r="C231" s="647"/>
      <c r="D231" s="647"/>
      <c r="E231" s="647"/>
      <c r="F231" s="647"/>
      <c r="G231" s="647"/>
      <c r="H231" s="647"/>
      <c r="I231" s="647"/>
      <c r="J231" s="647"/>
      <c r="K231" s="647"/>
      <c r="L231" s="647"/>
      <c r="M231" s="647"/>
      <c r="N231" s="647"/>
      <c r="O231" s="635"/>
      <c r="P231" s="635"/>
    </row>
    <row r="232" spans="1:16" x14ac:dyDescent="0.2">
      <c r="A232" s="646"/>
      <c r="B232" s="110" t="s">
        <v>608</v>
      </c>
      <c r="C232" s="676">
        <f>+Сети!E76</f>
        <v>15487.547457627121</v>
      </c>
      <c r="D232" s="676">
        <f>+Сети!F76</f>
        <v>5766.9538542372884</v>
      </c>
      <c r="E232" s="676">
        <f>+Сети!G76</f>
        <v>5986.0981006983056</v>
      </c>
      <c r="F232" s="676">
        <f>+Сети!H76</f>
        <v>6213.5698285248409</v>
      </c>
      <c r="G232" s="676">
        <f>+Сети!I76</f>
        <v>0</v>
      </c>
      <c r="H232" s="677"/>
      <c r="I232" s="677"/>
      <c r="J232" s="677"/>
      <c r="K232" s="677"/>
      <c r="L232" s="677"/>
      <c r="M232" s="677"/>
      <c r="N232" s="677"/>
      <c r="O232" s="635"/>
      <c r="P232" s="635"/>
    </row>
    <row r="233" spans="1:16" ht="21" x14ac:dyDescent="0.2">
      <c r="A233" s="646"/>
      <c r="B233" s="650" t="s">
        <v>628</v>
      </c>
      <c r="C233" s="677"/>
      <c r="D233" s="655">
        <f>+D234</f>
        <v>9902.4395114797207</v>
      </c>
      <c r="E233" s="655">
        <f>+D234*E236/D236+D233</f>
        <v>20101.952208303832</v>
      </c>
      <c r="F233" s="655">
        <f t="shared" ref="F233:N233" si="45">+E234*F236/E236+E233</f>
        <v>30607.450286032668</v>
      </c>
      <c r="G233" s="655">
        <f t="shared" si="45"/>
        <v>41428.113306093372</v>
      </c>
      <c r="H233" s="655">
        <f t="shared" si="45"/>
        <v>52573.396216755893</v>
      </c>
      <c r="I233" s="655">
        <f t="shared" si="45"/>
        <v>52573.396216755893</v>
      </c>
      <c r="J233" s="655">
        <f t="shared" si="45"/>
        <v>52573.396216755893</v>
      </c>
      <c r="K233" s="655">
        <f t="shared" si="45"/>
        <v>52573.396216755893</v>
      </c>
      <c r="L233" s="655">
        <f t="shared" si="45"/>
        <v>52573.396216755893</v>
      </c>
      <c r="M233" s="655">
        <f t="shared" si="45"/>
        <v>52573.396216755893</v>
      </c>
      <c r="N233" s="655">
        <f t="shared" si="45"/>
        <v>52573.396216755893</v>
      </c>
      <c r="O233" s="635"/>
      <c r="P233" s="635"/>
    </row>
    <row r="234" spans="1:16" ht="33.75" x14ac:dyDescent="0.2">
      <c r="A234" s="646"/>
      <c r="B234" s="110" t="s">
        <v>631</v>
      </c>
      <c r="C234" s="647"/>
      <c r="D234" s="651">
        <f>-D235*D236</f>
        <v>9902.4395114797207</v>
      </c>
      <c r="E234" s="651">
        <f>-E235*E236</f>
        <v>10199.512696824113</v>
      </c>
      <c r="F234" s="651">
        <f>-F235*F236</f>
        <v>10505.498077728837</v>
      </c>
      <c r="G234" s="651">
        <f>-G235*G236</f>
        <v>10820.663020060701</v>
      </c>
      <c r="H234" s="651">
        <f>-H235*H236</f>
        <v>0</v>
      </c>
      <c r="I234" s="647"/>
      <c r="J234" s="647"/>
      <c r="K234" s="647"/>
      <c r="L234" s="647"/>
      <c r="M234" s="647"/>
      <c r="N234" s="647"/>
      <c r="O234" s="635"/>
      <c r="P234" s="635"/>
    </row>
    <row r="235" spans="1:16" ht="22.5" x14ac:dyDescent="0.2">
      <c r="A235" s="646"/>
      <c r="B235" s="110" t="s">
        <v>629</v>
      </c>
      <c r="C235" s="644"/>
      <c r="D235" s="649">
        <f>+Сети!F26</f>
        <v>-14.5</v>
      </c>
      <c r="E235" s="649">
        <f>+Сети!G26</f>
        <v>-14.5</v>
      </c>
      <c r="F235" s="649">
        <f>+Сети!H26</f>
        <v>-14.5</v>
      </c>
      <c r="G235" s="649">
        <f>+Сети!I26</f>
        <v>-14.5</v>
      </c>
      <c r="H235" s="649">
        <f>+Сети!J26</f>
        <v>0</v>
      </c>
      <c r="I235" s="647"/>
      <c r="J235" s="647"/>
      <c r="K235" s="647"/>
      <c r="L235" s="647"/>
      <c r="M235" s="647"/>
      <c r="N235" s="647"/>
      <c r="O235" s="635"/>
      <c r="P235" s="635"/>
    </row>
    <row r="236" spans="1:16" ht="23.25" thickBot="1" x14ac:dyDescent="0.25">
      <c r="A236" s="646"/>
      <c r="B236" s="110" t="s">
        <v>630</v>
      </c>
      <c r="C236" s="644"/>
      <c r="D236" s="683">
        <f>+D221</f>
        <v>682.92686286067044</v>
      </c>
      <c r="E236" s="683">
        <f t="shared" ref="E236:N236" si="46">+E221</f>
        <v>703.41466874649052</v>
      </c>
      <c r="F236" s="683">
        <f t="shared" si="46"/>
        <v>724.51710880888527</v>
      </c>
      <c r="G236" s="683">
        <f t="shared" si="46"/>
        <v>746.25262207315188</v>
      </c>
      <c r="H236" s="683">
        <f t="shared" si="46"/>
        <v>768.64020073534641</v>
      </c>
      <c r="I236" s="683">
        <f t="shared" si="46"/>
        <v>791.69940675740679</v>
      </c>
      <c r="J236" s="683">
        <f t="shared" si="46"/>
        <v>815.45038896012898</v>
      </c>
      <c r="K236" s="683">
        <f t="shared" si="46"/>
        <v>839.91390062893288</v>
      </c>
      <c r="L236" s="683">
        <f t="shared" si="46"/>
        <v>865.11131764780089</v>
      </c>
      <c r="M236" s="683">
        <f t="shared" si="46"/>
        <v>891.06465717723495</v>
      </c>
      <c r="N236" s="683">
        <f t="shared" si="46"/>
        <v>917.79659689255197</v>
      </c>
      <c r="O236" s="635"/>
      <c r="P236" s="635"/>
    </row>
    <row r="237" spans="1:16" ht="12" thickBot="1" x14ac:dyDescent="0.25">
      <c r="A237" s="646"/>
      <c r="B237" s="650" t="s">
        <v>612</v>
      </c>
      <c r="C237" s="644"/>
      <c r="D237" s="644"/>
      <c r="E237" s="644"/>
      <c r="F237" s="644"/>
      <c r="G237" s="644"/>
      <c r="H237" s="707">
        <f>SUM(C232:G232)/H233</f>
        <v>0.63633266344747252</v>
      </c>
      <c r="I237" s="644"/>
      <c r="J237" s="680"/>
      <c r="K237" s="644"/>
      <c r="L237" s="644"/>
      <c r="M237" s="644"/>
      <c r="N237" s="644"/>
      <c r="O237" s="635"/>
      <c r="P237" s="635"/>
    </row>
    <row r="238" spans="1:16" x14ac:dyDescent="0.2">
      <c r="A238" s="646"/>
      <c r="B238" s="110"/>
      <c r="C238" s="644"/>
      <c r="D238" s="644"/>
      <c r="E238" s="644"/>
      <c r="F238" s="644"/>
      <c r="G238" s="644"/>
      <c r="H238" s="679"/>
      <c r="I238" s="708"/>
      <c r="J238" s="680"/>
      <c r="K238" s="644"/>
      <c r="L238" s="644"/>
      <c r="M238" s="644"/>
      <c r="N238" s="644"/>
      <c r="O238" s="635"/>
      <c r="P238" s="635"/>
    </row>
    <row r="239" spans="1:16" ht="45" x14ac:dyDescent="0.2">
      <c r="A239" s="696">
        <f>+Сети!A77</f>
        <v>53</v>
      </c>
      <c r="B239" s="648" t="str">
        <f>+Сети!B77</f>
        <v>Реконструкция тепловых сетей с установкой дополнительных секционирующих задвижек с устройством тепловых камер</v>
      </c>
      <c r="C239" s="647"/>
      <c r="D239" s="647"/>
      <c r="E239" s="647"/>
      <c r="F239" s="647"/>
      <c r="G239" s="647"/>
      <c r="H239" s="658"/>
      <c r="I239" s="647"/>
      <c r="J239" s="659"/>
      <c r="K239" s="647"/>
      <c r="L239" s="647"/>
      <c r="M239" s="647"/>
      <c r="N239" s="647"/>
      <c r="O239" s="635"/>
      <c r="P239" s="635"/>
    </row>
    <row r="240" spans="1:16" ht="22.5" x14ac:dyDescent="0.2">
      <c r="A240" s="646"/>
      <c r="B240" s="684" t="s">
        <v>648</v>
      </c>
      <c r="C240" s="644"/>
      <c r="D240" s="644"/>
      <c r="E240" s="644"/>
      <c r="F240" s="644"/>
      <c r="G240" s="644"/>
      <c r="H240" s="644"/>
      <c r="I240" s="644"/>
      <c r="J240" s="644"/>
      <c r="K240" s="644"/>
      <c r="L240" s="644"/>
      <c r="M240" s="644"/>
      <c r="N240" s="644"/>
    </row>
    <row r="241" spans="1:16" ht="22.5" x14ac:dyDescent="0.2">
      <c r="A241" s="696">
        <v>54</v>
      </c>
      <c r="B241" s="648" t="str">
        <f>+Сети!B78</f>
        <v>Реконструкция тепловой изоляции и антикоррозийной защиты оборудования</v>
      </c>
      <c r="C241" s="647"/>
      <c r="D241" s="647"/>
      <c r="E241" s="647"/>
      <c r="F241" s="647"/>
      <c r="G241" s="647"/>
      <c r="H241" s="647"/>
      <c r="I241" s="647"/>
      <c r="J241" s="647"/>
      <c r="K241" s="647"/>
      <c r="L241" s="647"/>
      <c r="M241" s="647"/>
      <c r="N241" s="647"/>
      <c r="O241" s="635"/>
      <c r="P241" s="635"/>
    </row>
    <row r="242" spans="1:16" x14ac:dyDescent="0.2">
      <c r="A242" s="646"/>
      <c r="B242" s="110" t="s">
        <v>608</v>
      </c>
      <c r="C242" s="676">
        <f>+Сети!E78+Сети!E79</f>
        <v>8874.37392894</v>
      </c>
      <c r="D242" s="676">
        <f>+Сети!F78+Сети!F79</f>
        <v>12231.26316368366</v>
      </c>
      <c r="E242" s="676">
        <f>+Сети!G78+Сети!G79</f>
        <v>12598.0747454715</v>
      </c>
      <c r="F242" s="676">
        <f>+Сети!H78+Сети!H79</f>
        <v>12267.98241459298</v>
      </c>
      <c r="G242" s="676">
        <f>+Сети!I78+Сети!I79</f>
        <v>0</v>
      </c>
      <c r="H242" s="677"/>
      <c r="I242" s="677"/>
      <c r="J242" s="677"/>
      <c r="K242" s="677"/>
      <c r="L242" s="677"/>
      <c r="M242" s="677"/>
      <c r="N242" s="677"/>
      <c r="O242" s="635"/>
      <c r="P242" s="635"/>
    </row>
    <row r="243" spans="1:16" ht="21" x14ac:dyDescent="0.2">
      <c r="A243" s="646"/>
      <c r="B243" s="650" t="s">
        <v>628</v>
      </c>
      <c r="C243" s="677"/>
      <c r="D243" s="655">
        <f>+D244</f>
        <v>3419.7562657748076</v>
      </c>
      <c r="E243" s="655">
        <f>+D244*E246/D246+D243</f>
        <v>6942.1052195228585</v>
      </c>
      <c r="F243" s="655">
        <f t="shared" ref="F243:N243" si="47">+E244*F246/E246+E243</f>
        <v>10570.124641883351</v>
      </c>
      <c r="G243" s="655">
        <f t="shared" si="47"/>
        <v>14306.984646914658</v>
      </c>
      <c r="H243" s="655">
        <f t="shared" si="47"/>
        <v>18155.950452096906</v>
      </c>
      <c r="I243" s="655">
        <f t="shared" si="47"/>
        <v>18155.950452096906</v>
      </c>
      <c r="J243" s="655">
        <f t="shared" si="47"/>
        <v>18155.950452096906</v>
      </c>
      <c r="K243" s="655">
        <f t="shared" si="47"/>
        <v>18155.950452096906</v>
      </c>
      <c r="L243" s="655">
        <f t="shared" si="47"/>
        <v>18155.950452096906</v>
      </c>
      <c r="M243" s="655">
        <f t="shared" si="47"/>
        <v>18155.950452096906</v>
      </c>
      <c r="N243" s="655">
        <f t="shared" si="47"/>
        <v>18155.950452096906</v>
      </c>
      <c r="O243" s="635"/>
      <c r="P243" s="635"/>
    </row>
    <row r="244" spans="1:16" ht="33.75" x14ac:dyDescent="0.2">
      <c r="A244" s="646"/>
      <c r="B244" s="110" t="s">
        <v>631</v>
      </c>
      <c r="C244" s="647"/>
      <c r="D244" s="651">
        <f>-D245*D246</f>
        <v>3419.7562657748076</v>
      </c>
      <c r="E244" s="651">
        <f>-E245*E246</f>
        <v>3522.3489537480514</v>
      </c>
      <c r="F244" s="651">
        <f>-F245*F246</f>
        <v>3628.0194223604931</v>
      </c>
      <c r="G244" s="651">
        <f>-G245*G246</f>
        <v>3736.8600050313084</v>
      </c>
      <c r="H244" s="651">
        <f>-H245*H246</f>
        <v>0</v>
      </c>
      <c r="I244" s="647"/>
      <c r="J244" s="647"/>
      <c r="K244" s="647"/>
      <c r="L244" s="647"/>
      <c r="M244" s="647"/>
      <c r="N244" s="647"/>
      <c r="O244" s="635"/>
      <c r="P244" s="635"/>
    </row>
    <row r="245" spans="1:16" ht="22.5" x14ac:dyDescent="0.2">
      <c r="A245" s="646"/>
      <c r="B245" s="110" t="s">
        <v>629</v>
      </c>
      <c r="C245" s="644"/>
      <c r="D245" s="649">
        <f>+Сети!F27</f>
        <v>-5.0075000000000003</v>
      </c>
      <c r="E245" s="649">
        <f>+Сети!G27</f>
        <v>-5.0075000000000003</v>
      </c>
      <c r="F245" s="649">
        <f>+Сети!H27</f>
        <v>-5.0075000000000003</v>
      </c>
      <c r="G245" s="649">
        <f>+Сети!I27</f>
        <v>-5.0075000000000003</v>
      </c>
      <c r="H245" s="649">
        <f>+Сети!J27</f>
        <v>0</v>
      </c>
      <c r="I245" s="647"/>
      <c r="J245" s="647"/>
      <c r="K245" s="647"/>
      <c r="L245" s="647"/>
      <c r="M245" s="647"/>
      <c r="N245" s="647"/>
      <c r="O245" s="635"/>
      <c r="P245" s="635"/>
    </row>
    <row r="246" spans="1:16" ht="23.25" thickBot="1" x14ac:dyDescent="0.25">
      <c r="A246" s="646"/>
      <c r="B246" s="110" t="s">
        <v>630</v>
      </c>
      <c r="C246" s="644"/>
      <c r="D246" s="683">
        <f>+D236</f>
        <v>682.92686286067044</v>
      </c>
      <c r="E246" s="683">
        <f t="shared" ref="E246:N246" si="48">+E236</f>
        <v>703.41466874649052</v>
      </c>
      <c r="F246" s="683">
        <f t="shared" si="48"/>
        <v>724.51710880888527</v>
      </c>
      <c r="G246" s="683">
        <f t="shared" si="48"/>
        <v>746.25262207315188</v>
      </c>
      <c r="H246" s="683">
        <f t="shared" si="48"/>
        <v>768.64020073534641</v>
      </c>
      <c r="I246" s="683">
        <f t="shared" si="48"/>
        <v>791.69940675740679</v>
      </c>
      <c r="J246" s="683">
        <f t="shared" si="48"/>
        <v>815.45038896012898</v>
      </c>
      <c r="K246" s="683">
        <f t="shared" si="48"/>
        <v>839.91390062893288</v>
      </c>
      <c r="L246" s="683">
        <f t="shared" si="48"/>
        <v>865.11131764780089</v>
      </c>
      <c r="M246" s="683">
        <f t="shared" si="48"/>
        <v>891.06465717723495</v>
      </c>
      <c r="N246" s="683">
        <f t="shared" si="48"/>
        <v>917.79659689255197</v>
      </c>
      <c r="O246" s="635"/>
      <c r="P246" s="635"/>
    </row>
    <row r="247" spans="1:16" ht="12" thickBot="1" x14ac:dyDescent="0.25">
      <c r="A247" s="646"/>
      <c r="B247" s="650" t="s">
        <v>612</v>
      </c>
      <c r="C247" s="644"/>
      <c r="D247" s="644"/>
      <c r="E247" s="644"/>
      <c r="F247" s="644"/>
      <c r="G247" s="644"/>
      <c r="H247" s="707">
        <f>SUM(C242:G242)/H243</f>
        <v>2.5320455887991629</v>
      </c>
      <c r="I247" s="644"/>
      <c r="J247" s="680"/>
      <c r="K247" s="644"/>
      <c r="L247" s="644"/>
      <c r="M247" s="644"/>
      <c r="N247" s="644"/>
      <c r="O247" s="635"/>
      <c r="P247" s="635"/>
    </row>
    <row r="248" spans="1:16" x14ac:dyDescent="0.2">
      <c r="A248" s="646"/>
      <c r="B248" s="110"/>
      <c r="C248" s="644"/>
      <c r="D248" s="644"/>
      <c r="E248" s="644"/>
      <c r="F248" s="644"/>
      <c r="G248" s="644"/>
      <c r="H248" s="679"/>
      <c r="I248" s="708"/>
      <c r="J248" s="680"/>
      <c r="K248" s="644"/>
      <c r="L248" s="644"/>
      <c r="M248" s="644"/>
      <c r="N248" s="644"/>
      <c r="O248" s="635"/>
      <c r="P248" s="635"/>
    </row>
    <row r="249" spans="1:16" ht="45" x14ac:dyDescent="0.2">
      <c r="A249" s="696" t="s">
        <v>621</v>
      </c>
      <c r="B249" s="648" t="s">
        <v>622</v>
      </c>
      <c r="C249" s="647"/>
      <c r="D249" s="647"/>
      <c r="E249" s="647"/>
      <c r="F249" s="647"/>
      <c r="G249" s="647"/>
      <c r="H249" s="647"/>
      <c r="I249" s="647"/>
      <c r="J249" s="647"/>
      <c r="K249" s="647"/>
      <c r="L249" s="647"/>
      <c r="M249" s="647"/>
      <c r="N249" s="647"/>
      <c r="O249" s="635"/>
      <c r="P249" s="635"/>
    </row>
    <row r="250" spans="1:16" x14ac:dyDescent="0.2">
      <c r="A250" s="646"/>
      <c r="B250" s="110" t="s">
        <v>608</v>
      </c>
      <c r="C250" s="649">
        <f>+Сети!E80+Сети!E81+Сети!E85</f>
        <v>36230.452751111101</v>
      </c>
      <c r="D250" s="649">
        <f>+Сети!F80+Сети!F81+Сети!F85</f>
        <v>47717.27993690221</v>
      </c>
      <c r="E250" s="649">
        <f>+Сети!G80+Сети!G81+Сети!G85</f>
        <v>57473.621480813294</v>
      </c>
      <c r="F250" s="649">
        <f>+Сети!H80+Сети!H81+Сети!H85</f>
        <v>71434.060468204203</v>
      </c>
      <c r="G250" s="649">
        <f>+Сети!I80+Сети!I81+Сети!I85</f>
        <v>37356.677185201836</v>
      </c>
      <c r="H250" s="647"/>
      <c r="I250" s="647"/>
      <c r="J250" s="647"/>
      <c r="K250" s="647"/>
      <c r="L250" s="647"/>
      <c r="M250" s="647"/>
      <c r="N250" s="647"/>
      <c r="O250" s="635"/>
      <c r="P250" s="635"/>
    </row>
    <row r="251" spans="1:16" ht="22.5" x14ac:dyDescent="0.2">
      <c r="A251" s="646"/>
      <c r="B251" s="110" t="s">
        <v>607</v>
      </c>
      <c r="C251" s="649">
        <f>+Сети!E33-Сети!D33</f>
        <v>43.503877362384628</v>
      </c>
      <c r="D251" s="649">
        <f>+Сети!F33-Сети!E33</f>
        <v>51.832316312551484</v>
      </c>
      <c r="E251" s="649">
        <f>+Сети!G33-Сети!F33</f>
        <v>90.901273160726305</v>
      </c>
      <c r="F251" s="649">
        <f>+Сети!H33-Сети!G33</f>
        <v>73.738725209924723</v>
      </c>
      <c r="G251" s="649">
        <f>+Сети!I33-Сети!H33</f>
        <v>73.752785373482766</v>
      </c>
      <c r="H251" s="647"/>
      <c r="I251" s="647"/>
      <c r="J251" s="647"/>
      <c r="K251" s="647"/>
      <c r="L251" s="647"/>
      <c r="M251" s="647"/>
      <c r="N251" s="647"/>
      <c r="O251" s="635"/>
      <c r="P251" s="635"/>
    </row>
    <row r="252" spans="1:16" ht="22.5" x14ac:dyDescent="0.2">
      <c r="A252" s="646"/>
      <c r="B252" s="110" t="s">
        <v>609</v>
      </c>
      <c r="C252" s="649">
        <f>+'ТЭЦ-1'!E107</f>
        <v>791.65536089009333</v>
      </c>
      <c r="D252" s="649">
        <f>+'ТЭЦ-1'!F107</f>
        <v>896.09906283306805</v>
      </c>
      <c r="E252" s="649">
        <f>+'ТЭЦ-1'!G107</f>
        <v>1010.1315991236339</v>
      </c>
      <c r="F252" s="649">
        <f>+'ТЭЦ-1'!H107</f>
        <v>1134.5570766553624</v>
      </c>
      <c r="G252" s="649">
        <f>+'ТЭЦ-1'!I107</f>
        <v>1270.2450408776845</v>
      </c>
      <c r="H252" s="649">
        <f>+'ТЭЦ-1'!J107</f>
        <v>1242.4823808581305</v>
      </c>
      <c r="I252" s="649">
        <f>+'ТЭЦ-1'!K107</f>
        <v>1213.8868410379901</v>
      </c>
      <c r="J252" s="649">
        <f>+'ТЭЦ-1'!L107</f>
        <v>1184.4334350232452</v>
      </c>
      <c r="K252" s="649">
        <f>+'ТЭЦ-1'!M107</f>
        <v>1154.0964268280582</v>
      </c>
      <c r="L252" s="649">
        <f>+'ТЭЦ-1'!N107</f>
        <v>1122.8493083870155</v>
      </c>
      <c r="M252" s="649">
        <f>+'ТЭЦ-1'!O107</f>
        <v>1112.6214468080364</v>
      </c>
      <c r="N252" s="649">
        <f>+'ТЭЦ-1'!P107</f>
        <v>1123.8238530928297</v>
      </c>
      <c r="O252" s="635"/>
      <c r="P252" s="635"/>
    </row>
    <row r="253" spans="1:16" ht="33.75" x14ac:dyDescent="0.2">
      <c r="A253" s="646"/>
      <c r="B253" s="110" t="s">
        <v>615</v>
      </c>
      <c r="C253" s="649">
        <f>+C251*C252</f>
        <v>34440.077733436963</v>
      </c>
      <c r="D253" s="649">
        <f>+D251*D252</f>
        <v>46446.890072144532</v>
      </c>
      <c r="E253" s="649">
        <f>+E251*E252</f>
        <v>91822.248420218733</v>
      </c>
      <c r="F253" s="649">
        <f>+F251*F252</f>
        <v>83660.792510465268</v>
      </c>
      <c r="G253" s="649">
        <f>+G251*G252</f>
        <v>93684.10987158271</v>
      </c>
      <c r="H253" s="647"/>
      <c r="I253" s="647"/>
      <c r="J253" s="647"/>
      <c r="K253" s="647"/>
      <c r="L253" s="647"/>
      <c r="M253" s="647"/>
      <c r="N253" s="647"/>
      <c r="O253" s="635"/>
      <c r="P253" s="635"/>
    </row>
    <row r="254" spans="1:16" ht="12" thickBot="1" x14ac:dyDescent="0.25">
      <c r="A254" s="646"/>
      <c r="B254" s="110" t="s">
        <v>616</v>
      </c>
      <c r="C254" s="649">
        <f>+C253</f>
        <v>34440.077733436963</v>
      </c>
      <c r="D254" s="649">
        <f>+C253*D252/C252+D253</f>
        <v>85430.673806182109</v>
      </c>
      <c r="E254" s="649">
        <f>+D254*E252/D252+E253</f>
        <v>188124.35019144241</v>
      </c>
      <c r="F254" s="649">
        <f>+E254*F252/E252+F253</f>
        <v>294957.82844723441</v>
      </c>
      <c r="G254" s="649">
        <f>+F254*G252/F252+G253</f>
        <v>423917.57856375427</v>
      </c>
      <c r="H254" s="660">
        <f>+G254*H252/G252+H253</f>
        <v>414652.37442499521</v>
      </c>
      <c r="I254" s="649">
        <f t="shared" ref="I254:N254" si="49">+H254*I252/H252+I253</f>
        <v>405109.21416207351</v>
      </c>
      <c r="J254" s="649">
        <f t="shared" si="49"/>
        <v>395279.75909126404</v>
      </c>
      <c r="K254" s="649">
        <f t="shared" si="49"/>
        <v>385155.42036833032</v>
      </c>
      <c r="L254" s="649">
        <f t="shared" si="49"/>
        <v>374727.3514837086</v>
      </c>
      <c r="M254" s="649">
        <f t="shared" si="49"/>
        <v>371314.01769777213</v>
      </c>
      <c r="N254" s="649">
        <f t="shared" si="49"/>
        <v>375052.58529182919</v>
      </c>
      <c r="O254" s="635"/>
      <c r="P254" s="635"/>
    </row>
    <row r="255" spans="1:16" s="669" customFormat="1" ht="12" thickBot="1" x14ac:dyDescent="0.25">
      <c r="A255" s="645"/>
      <c r="B255" s="650" t="s">
        <v>612</v>
      </c>
      <c r="C255" s="664"/>
      <c r="D255" s="664"/>
      <c r="E255" s="664"/>
      <c r="F255" s="664"/>
      <c r="G255" s="665"/>
      <c r="H255" s="670">
        <f>IF(C250+D250+E250+F250+G250&lt;H254,1,(C250+D250+E250+F250+G250)/H254)</f>
        <v>1</v>
      </c>
      <c r="I255" s="667"/>
      <c r="J255" s="664"/>
      <c r="K255" s="664"/>
      <c r="L255" s="664"/>
      <c r="M255" s="664"/>
      <c r="N255" s="664"/>
      <c r="O255" s="668"/>
      <c r="P255" s="668"/>
    </row>
    <row r="256" spans="1:16" x14ac:dyDescent="0.2">
      <c r="A256" s="646"/>
      <c r="B256" s="110"/>
      <c r="C256" s="657"/>
      <c r="D256" s="657"/>
      <c r="E256" s="657"/>
      <c r="F256" s="657"/>
      <c r="G256" s="657"/>
      <c r="H256" s="661"/>
      <c r="I256" s="647"/>
      <c r="J256" s="647"/>
      <c r="K256" s="647"/>
      <c r="L256" s="647"/>
      <c r="M256" s="647"/>
      <c r="N256" s="647"/>
      <c r="O256" s="635"/>
      <c r="P256" s="635"/>
    </row>
    <row r="257" spans="1:16" x14ac:dyDescent="0.2">
      <c r="A257" s="696">
        <f>+Сети!A82</f>
        <v>57</v>
      </c>
      <c r="B257" s="648" t="str">
        <f>+Сети!B82</f>
        <v>Установка приборов учета ХВС на ЦТП</v>
      </c>
      <c r="C257" s="647"/>
      <c r="D257" s="647"/>
      <c r="E257" s="647"/>
      <c r="F257" s="647"/>
      <c r="G257" s="647"/>
      <c r="H257" s="647"/>
      <c r="I257" s="647"/>
      <c r="J257" s="647"/>
      <c r="K257" s="647"/>
      <c r="L257" s="647"/>
      <c r="M257" s="647"/>
      <c r="N257" s="647"/>
      <c r="O257" s="635"/>
      <c r="P257" s="635"/>
    </row>
    <row r="258" spans="1:16" ht="22.5" x14ac:dyDescent="0.2">
      <c r="A258" s="646"/>
      <c r="B258" s="684" t="s">
        <v>648</v>
      </c>
      <c r="C258" s="644"/>
      <c r="D258" s="644"/>
      <c r="E258" s="644"/>
      <c r="F258" s="644"/>
      <c r="G258" s="644"/>
      <c r="H258" s="644"/>
      <c r="I258" s="644"/>
      <c r="J258" s="644"/>
      <c r="K258" s="644"/>
      <c r="L258" s="644"/>
      <c r="M258" s="644"/>
      <c r="N258" s="644"/>
    </row>
    <row r="259" spans="1:16" ht="22.5" x14ac:dyDescent="0.2">
      <c r="A259" s="696">
        <f>+Сети!A83</f>
        <v>58</v>
      </c>
      <c r="B259" s="648" t="str">
        <f>+Сети!B83</f>
        <v>Установка узлов учета тепловой энергии в МКД</v>
      </c>
      <c r="C259" s="647"/>
      <c r="D259" s="647"/>
      <c r="E259" s="647"/>
      <c r="F259" s="647"/>
      <c r="G259" s="647"/>
      <c r="H259" s="647"/>
      <c r="I259" s="647"/>
      <c r="J259" s="647"/>
      <c r="K259" s="647"/>
      <c r="L259" s="647"/>
      <c r="M259" s="647"/>
      <c r="N259" s="647"/>
      <c r="O259" s="635"/>
      <c r="P259" s="635"/>
    </row>
    <row r="260" spans="1:16" x14ac:dyDescent="0.2">
      <c r="A260" s="646"/>
      <c r="B260" s="110" t="s">
        <v>608</v>
      </c>
      <c r="C260" s="676">
        <f>+Сети!E83</f>
        <v>120230.04982400054</v>
      </c>
      <c r="D260" s="676">
        <f>+Сети!F83</f>
        <v>118677.84853476915</v>
      </c>
      <c r="E260" s="676">
        <f>+Сети!G83</f>
        <v>0</v>
      </c>
      <c r="F260" s="676">
        <f>+Сети!H83</f>
        <v>0</v>
      </c>
      <c r="G260" s="676">
        <f>+Сети!I83</f>
        <v>0</v>
      </c>
      <c r="H260" s="677"/>
      <c r="I260" s="677"/>
      <c r="J260" s="677"/>
      <c r="K260" s="677"/>
      <c r="L260" s="677"/>
      <c r="M260" s="677"/>
      <c r="N260" s="677"/>
      <c r="O260" s="635"/>
      <c r="P260" s="635"/>
    </row>
    <row r="261" spans="1:16" ht="21" x14ac:dyDescent="0.2">
      <c r="A261" s="646"/>
      <c r="B261" s="650" t="s">
        <v>628</v>
      </c>
      <c r="C261" s="677"/>
      <c r="D261" s="655">
        <f>+D262</f>
        <v>32971.36747548174</v>
      </c>
      <c r="E261" s="655">
        <f>+D262*E264/D264+D261</f>
        <v>66931.875975227929</v>
      </c>
      <c r="F261" s="655">
        <f>+E261*F264/E264</f>
        <v>68939.832254484776</v>
      </c>
      <c r="G261" s="655">
        <f t="shared" ref="G261:N261" si="50">+F261*G264/F264</f>
        <v>71008.02722211933</v>
      </c>
      <c r="H261" s="655">
        <f t="shared" si="50"/>
        <v>73138.268038782902</v>
      </c>
      <c r="I261" s="655">
        <f t="shared" si="50"/>
        <v>75332.416079946386</v>
      </c>
      <c r="J261" s="655">
        <f t="shared" si="50"/>
        <v>77592.388562344771</v>
      </c>
      <c r="K261" s="655">
        <f t="shared" si="50"/>
        <v>79920.160219215119</v>
      </c>
      <c r="L261" s="655">
        <f t="shared" si="50"/>
        <v>82317.765025791567</v>
      </c>
      <c r="M261" s="655">
        <f t="shared" si="50"/>
        <v>84787.297976565314</v>
      </c>
      <c r="N261" s="655">
        <f t="shared" si="50"/>
        <v>87330.916915862268</v>
      </c>
      <c r="O261" s="635"/>
      <c r="P261" s="635"/>
    </row>
    <row r="262" spans="1:16" ht="33.75" x14ac:dyDescent="0.2">
      <c r="A262" s="646"/>
      <c r="B262" s="110" t="s">
        <v>631</v>
      </c>
      <c r="C262" s="647"/>
      <c r="D262" s="651">
        <f>-D263*D264</f>
        <v>32971.36747548174</v>
      </c>
      <c r="E262" s="651">
        <f>-E263*E264</f>
        <v>33960.508499746189</v>
      </c>
      <c r="F262" s="651">
        <f>-F263*F264</f>
        <v>0</v>
      </c>
      <c r="G262" s="651">
        <f>-G263*G264</f>
        <v>0</v>
      </c>
      <c r="H262" s="651">
        <f>-H263*H264</f>
        <v>0</v>
      </c>
      <c r="I262" s="647"/>
      <c r="J262" s="647"/>
      <c r="K262" s="647"/>
      <c r="L262" s="647"/>
      <c r="M262" s="647"/>
      <c r="N262" s="647"/>
      <c r="O262" s="635"/>
      <c r="P262" s="635"/>
    </row>
    <row r="263" spans="1:16" ht="22.5" x14ac:dyDescent="0.2">
      <c r="A263" s="646"/>
      <c r="B263" s="110" t="s">
        <v>629</v>
      </c>
      <c r="C263" s="644"/>
      <c r="D263" s="649">
        <f>+Сети!F29</f>
        <v>-48.279499999999999</v>
      </c>
      <c r="E263" s="649">
        <f>+Сети!G29</f>
        <v>-48.279499999999999</v>
      </c>
      <c r="F263" s="649">
        <f>+Сети!H29</f>
        <v>0</v>
      </c>
      <c r="G263" s="649">
        <f>+Сети!I29</f>
        <v>0</v>
      </c>
      <c r="H263" s="649">
        <f>+Сети!J29</f>
        <v>0</v>
      </c>
      <c r="I263" s="647"/>
      <c r="J263" s="647"/>
      <c r="K263" s="647"/>
      <c r="L263" s="647"/>
      <c r="M263" s="647"/>
      <c r="N263" s="647"/>
      <c r="O263" s="635"/>
      <c r="P263" s="635"/>
    </row>
    <row r="264" spans="1:16" ht="22.5" x14ac:dyDescent="0.2">
      <c r="A264" s="646"/>
      <c r="B264" s="110" t="s">
        <v>630</v>
      </c>
      <c r="C264" s="644"/>
      <c r="D264" s="683">
        <f>+D246</f>
        <v>682.92686286067044</v>
      </c>
      <c r="E264" s="683">
        <f t="shared" ref="E264:N264" si="51">+E246</f>
        <v>703.41466874649052</v>
      </c>
      <c r="F264" s="683">
        <f t="shared" si="51"/>
        <v>724.51710880888527</v>
      </c>
      <c r="G264" s="683">
        <f t="shared" si="51"/>
        <v>746.25262207315188</v>
      </c>
      <c r="H264" s="683">
        <f t="shared" si="51"/>
        <v>768.64020073534641</v>
      </c>
      <c r="I264" s="683">
        <f t="shared" si="51"/>
        <v>791.69940675740679</v>
      </c>
      <c r="J264" s="683">
        <f t="shared" si="51"/>
        <v>815.45038896012898</v>
      </c>
      <c r="K264" s="683">
        <f t="shared" si="51"/>
        <v>839.91390062893288</v>
      </c>
      <c r="L264" s="683">
        <f t="shared" si="51"/>
        <v>865.11131764780089</v>
      </c>
      <c r="M264" s="683">
        <f t="shared" si="51"/>
        <v>891.06465717723495</v>
      </c>
      <c r="N264" s="683">
        <f t="shared" si="51"/>
        <v>917.79659689255197</v>
      </c>
      <c r="O264" s="635"/>
      <c r="P264" s="635"/>
    </row>
    <row r="265" spans="1:16" ht="21" x14ac:dyDescent="0.2">
      <c r="A265" s="646"/>
      <c r="B265" s="650" t="s">
        <v>632</v>
      </c>
      <c r="C265" s="677"/>
      <c r="D265" s="655">
        <f>+D266</f>
        <v>3383.2060902931203</v>
      </c>
      <c r="E265" s="655">
        <f>+D266*E268/D268+D265</f>
        <v>6901.7404241979657</v>
      </c>
      <c r="F265" s="655">
        <f>+E265*F268/E268</f>
        <v>7177.8100411658834</v>
      </c>
      <c r="G265" s="655">
        <f t="shared" ref="G265:N265" si="52">+F265*G268/F268</f>
        <v>7464.922442812519</v>
      </c>
      <c r="H265" s="655">
        <f t="shared" si="52"/>
        <v>7763.5193405250202</v>
      </c>
      <c r="I265" s="655">
        <f t="shared" si="52"/>
        <v>8074.060114146022</v>
      </c>
      <c r="J265" s="655">
        <f t="shared" si="52"/>
        <v>8397.0225187118631</v>
      </c>
      <c r="K265" s="655">
        <f t="shared" si="52"/>
        <v>8732.9034194603391</v>
      </c>
      <c r="L265" s="655">
        <f t="shared" si="52"/>
        <v>9082.2195562387533</v>
      </c>
      <c r="M265" s="655">
        <f t="shared" si="52"/>
        <v>9445.5083384883037</v>
      </c>
      <c r="N265" s="655">
        <f t="shared" si="52"/>
        <v>9823.3286720278375</v>
      </c>
      <c r="O265" s="635"/>
      <c r="P265" s="635"/>
    </row>
    <row r="266" spans="1:16" ht="33.75" x14ac:dyDescent="0.2">
      <c r="A266" s="646"/>
      <c r="B266" s="110" t="s">
        <v>631</v>
      </c>
      <c r="C266" s="647"/>
      <c r="D266" s="651">
        <f>-D267*D268</f>
        <v>3383.2060902931203</v>
      </c>
      <c r="E266" s="651">
        <f>-E267*E268</f>
        <v>3518.534333904845</v>
      </c>
      <c r="F266" s="651">
        <f>-F267*F268</f>
        <v>0</v>
      </c>
      <c r="G266" s="651">
        <f>-G267*G268</f>
        <v>0</v>
      </c>
      <c r="H266" s="651">
        <f>-H267*H268</f>
        <v>0</v>
      </c>
      <c r="I266" s="647"/>
      <c r="J266" s="647"/>
      <c r="K266" s="647"/>
      <c r="L266" s="647"/>
      <c r="M266" s="647"/>
      <c r="N266" s="647"/>
      <c r="O266" s="635"/>
      <c r="P266" s="635"/>
    </row>
    <row r="267" spans="1:16" ht="22.5" x14ac:dyDescent="0.2">
      <c r="A267" s="646"/>
      <c r="B267" s="110" t="s">
        <v>633</v>
      </c>
      <c r="C267" s="644"/>
      <c r="D267" s="649">
        <f>+Сети!F51</f>
        <v>-178.9914</v>
      </c>
      <c r="E267" s="649">
        <f>+Сети!G51</f>
        <v>-178.9914</v>
      </c>
      <c r="F267" s="649">
        <f>+Сети!H51</f>
        <v>0</v>
      </c>
      <c r="G267" s="649">
        <f>+Сети!I51</f>
        <v>0</v>
      </c>
      <c r="H267" s="649">
        <f>+Сети!J51</f>
        <v>0</v>
      </c>
      <c r="I267" s="647"/>
      <c r="J267" s="647"/>
      <c r="K267" s="647"/>
      <c r="L267" s="647"/>
      <c r="M267" s="647"/>
      <c r="N267" s="647"/>
      <c r="O267" s="635"/>
      <c r="P267" s="635"/>
    </row>
    <row r="268" spans="1:16" x14ac:dyDescent="0.2">
      <c r="A268" s="646"/>
      <c r="B268" s="110" t="s">
        <v>634</v>
      </c>
      <c r="C268" s="644"/>
      <c r="D268" s="683">
        <f>+D281</f>
        <v>18.901500800000001</v>
      </c>
      <c r="E268" s="683">
        <f t="shared" ref="E268:N268" si="53">+E281</f>
        <v>19.657560832000001</v>
      </c>
      <c r="F268" s="683">
        <f t="shared" si="53"/>
        <v>20.443863265280001</v>
      </c>
      <c r="G268" s="683">
        <f t="shared" si="53"/>
        <v>21.261617795891201</v>
      </c>
      <c r="H268" s="683">
        <f t="shared" si="53"/>
        <v>22.11208250772685</v>
      </c>
      <c r="I268" s="683">
        <f t="shared" si="53"/>
        <v>22.996565808035925</v>
      </c>
      <c r="J268" s="683">
        <f t="shared" si="53"/>
        <v>23.916428440357361</v>
      </c>
      <c r="K268" s="683">
        <f t="shared" si="53"/>
        <v>24.873085577971658</v>
      </c>
      <c r="L268" s="683">
        <f t="shared" si="53"/>
        <v>25.868009001090524</v>
      </c>
      <c r="M268" s="683">
        <f t="shared" si="53"/>
        <v>26.902729361134146</v>
      </c>
      <c r="N268" s="683">
        <f t="shared" si="53"/>
        <v>27.978838535579513</v>
      </c>
      <c r="O268" s="635"/>
      <c r="P268" s="635"/>
    </row>
    <row r="269" spans="1:16" ht="21.75" thickBot="1" x14ac:dyDescent="0.25">
      <c r="A269" s="646"/>
      <c r="B269" s="650" t="s">
        <v>616</v>
      </c>
      <c r="C269" s="644"/>
      <c r="D269" s="655">
        <f>+D261+D265</f>
        <v>36354.573565774859</v>
      </c>
      <c r="E269" s="655">
        <f t="shared" ref="E269:N269" si="54">+E261+E265</f>
        <v>73833.616399425897</v>
      </c>
      <c r="F269" s="655">
        <f t="shared" si="54"/>
        <v>76117.642295650658</v>
      </c>
      <c r="G269" s="655">
        <f t="shared" si="54"/>
        <v>78472.949664931846</v>
      </c>
      <c r="H269" s="709">
        <f t="shared" si="54"/>
        <v>80901.78737930792</v>
      </c>
      <c r="I269" s="655">
        <f t="shared" si="54"/>
        <v>83406.476194092407</v>
      </c>
      <c r="J269" s="710">
        <f t="shared" si="54"/>
        <v>85989.411081056634</v>
      </c>
      <c r="K269" s="655">
        <f t="shared" si="54"/>
        <v>88653.063638675463</v>
      </c>
      <c r="L269" s="655">
        <f t="shared" si="54"/>
        <v>91399.984582030316</v>
      </c>
      <c r="M269" s="655">
        <f t="shared" si="54"/>
        <v>94232.806315053618</v>
      </c>
      <c r="N269" s="655">
        <f t="shared" si="54"/>
        <v>97154.245587890109</v>
      </c>
      <c r="O269" s="635"/>
      <c r="P269" s="635"/>
    </row>
    <row r="270" spans="1:16" ht="12" thickBot="1" x14ac:dyDescent="0.25">
      <c r="A270" s="646"/>
      <c r="B270" s="650" t="s">
        <v>612</v>
      </c>
      <c r="C270" s="644"/>
      <c r="D270" s="644"/>
      <c r="E270" s="644"/>
      <c r="F270" s="707">
        <f>SUM(C260:G260)/F269</f>
        <v>3.1386665581524564</v>
      </c>
      <c r="G270" s="644"/>
      <c r="H270" s="644"/>
      <c r="I270" s="708"/>
      <c r="J270" s="680"/>
      <c r="K270" s="644"/>
      <c r="L270" s="644"/>
      <c r="M270" s="644"/>
      <c r="N270" s="644"/>
      <c r="O270" s="635"/>
      <c r="P270" s="635"/>
    </row>
    <row r="271" spans="1:16" x14ac:dyDescent="0.2">
      <c r="A271" s="646"/>
      <c r="B271" s="110"/>
      <c r="C271" s="644"/>
      <c r="D271" s="644"/>
      <c r="E271" s="644"/>
      <c r="F271" s="644"/>
      <c r="G271" s="644"/>
      <c r="H271" s="679"/>
      <c r="I271" s="682"/>
      <c r="J271" s="680"/>
      <c r="K271" s="644"/>
      <c r="L271" s="644"/>
      <c r="M271" s="644"/>
      <c r="N271" s="644"/>
      <c r="O271" s="635"/>
      <c r="P271" s="635"/>
    </row>
    <row r="272" spans="1:16" ht="22.5" x14ac:dyDescent="0.2">
      <c r="A272" s="696">
        <f>+Сети!A84</f>
        <v>59</v>
      </c>
      <c r="B272" s="648" t="str">
        <f>+Сети!B84</f>
        <v>Строительство станций катодной защиты на магистральных трубопроводах (18 штук)</v>
      </c>
      <c r="C272" s="647"/>
      <c r="D272" s="647"/>
      <c r="E272" s="647"/>
      <c r="F272" s="647"/>
      <c r="G272" s="647"/>
      <c r="H272" s="647"/>
      <c r="I272" s="647"/>
      <c r="J272" s="647"/>
      <c r="K272" s="647"/>
      <c r="L272" s="647"/>
      <c r="M272" s="647"/>
      <c r="N272" s="647"/>
      <c r="O272" s="635"/>
      <c r="P272" s="635"/>
    </row>
    <row r="273" spans="1:16" x14ac:dyDescent="0.2">
      <c r="A273" s="646"/>
      <c r="B273" s="110" t="s">
        <v>608</v>
      </c>
      <c r="C273" s="676">
        <f>+Сети!E84</f>
        <v>2605.3643868799995</v>
      </c>
      <c r="D273" s="676">
        <f>+Сети!F84</f>
        <v>3377.2035864931991</v>
      </c>
      <c r="E273" s="676">
        <f>+Сети!G84</f>
        <v>2804.429858223953</v>
      </c>
      <c r="F273" s="676">
        <f>+Сети!H84</f>
        <v>3638.747741045579</v>
      </c>
      <c r="G273" s="676">
        <f>+Сети!I84</f>
        <v>0</v>
      </c>
      <c r="H273" s="677"/>
      <c r="I273" s="677"/>
      <c r="J273" s="677"/>
      <c r="K273" s="677"/>
      <c r="L273" s="677"/>
      <c r="M273" s="677"/>
      <c r="N273" s="677"/>
      <c r="O273" s="635"/>
      <c r="P273" s="635"/>
    </row>
    <row r="274" spans="1:16" ht="21" x14ac:dyDescent="0.2">
      <c r="A274" s="646"/>
      <c r="B274" s="650" t="s">
        <v>628</v>
      </c>
      <c r="C274" s="677"/>
      <c r="D274" s="655">
        <f>+D275</f>
        <v>710.24393737509729</v>
      </c>
      <c r="E274" s="655">
        <f>+D275*E277/D277+D274</f>
        <v>1441.7951928714474</v>
      </c>
      <c r="F274" s="655">
        <f t="shared" ref="F274:N274" si="55">+E275*F277/E277+E274</f>
        <v>2383.6674343229984</v>
      </c>
      <c r="G274" s="655">
        <f t="shared" si="55"/>
        <v>3159.7701612790761</v>
      </c>
      <c r="H274" s="655">
        <f t="shared" si="55"/>
        <v>4159.0024222350266</v>
      </c>
      <c r="I274" s="655">
        <f t="shared" si="55"/>
        <v>4159.0024222350266</v>
      </c>
      <c r="J274" s="655">
        <f t="shared" si="55"/>
        <v>4159.0024222350266</v>
      </c>
      <c r="K274" s="655">
        <f t="shared" si="55"/>
        <v>4159.0024222350266</v>
      </c>
      <c r="L274" s="655">
        <f t="shared" si="55"/>
        <v>4159.0024222350266</v>
      </c>
      <c r="M274" s="655">
        <f t="shared" si="55"/>
        <v>4159.0024222350266</v>
      </c>
      <c r="N274" s="655">
        <f t="shared" si="55"/>
        <v>4159.0024222350266</v>
      </c>
      <c r="O274" s="635"/>
      <c r="P274" s="635"/>
    </row>
    <row r="275" spans="1:16" ht="33.75" x14ac:dyDescent="0.2">
      <c r="A275" s="646"/>
      <c r="B275" s="110" t="s">
        <v>631</v>
      </c>
      <c r="C275" s="647"/>
      <c r="D275" s="651">
        <f>-D276*D277</f>
        <v>710.24393737509729</v>
      </c>
      <c r="E275" s="651">
        <f>-E276*E277</f>
        <v>914.43906937043766</v>
      </c>
      <c r="F275" s="651">
        <f>-F276*F277</f>
        <v>753.49779316124068</v>
      </c>
      <c r="G275" s="651">
        <f>-G276*G277</f>
        <v>970.12840869509751</v>
      </c>
      <c r="H275" s="651">
        <f>-H276*H277</f>
        <v>0</v>
      </c>
      <c r="I275" s="647"/>
      <c r="J275" s="647"/>
      <c r="K275" s="647"/>
      <c r="L275" s="647"/>
      <c r="M275" s="647"/>
      <c r="N275" s="647"/>
      <c r="O275" s="635"/>
      <c r="P275" s="635"/>
    </row>
    <row r="276" spans="1:16" ht="22.5" x14ac:dyDescent="0.2">
      <c r="A276" s="646"/>
      <c r="B276" s="110" t="s">
        <v>629</v>
      </c>
      <c r="C276" s="644"/>
      <c r="D276" s="649">
        <f>+Сети!F28</f>
        <v>-1.04</v>
      </c>
      <c r="E276" s="649">
        <f>+Сети!G28</f>
        <v>-1.3</v>
      </c>
      <c r="F276" s="649">
        <f>+Сети!H28</f>
        <v>-1.04</v>
      </c>
      <c r="G276" s="649">
        <f>+Сети!I28</f>
        <v>-1.3</v>
      </c>
      <c r="H276" s="649">
        <f>+Сети!J28</f>
        <v>0</v>
      </c>
      <c r="I276" s="647"/>
      <c r="J276" s="647"/>
      <c r="K276" s="647"/>
      <c r="L276" s="647"/>
      <c r="M276" s="647"/>
      <c r="N276" s="647"/>
      <c r="O276" s="635"/>
      <c r="P276" s="635"/>
    </row>
    <row r="277" spans="1:16" ht="22.5" x14ac:dyDescent="0.2">
      <c r="A277" s="646"/>
      <c r="B277" s="110" t="s">
        <v>630</v>
      </c>
      <c r="C277" s="644"/>
      <c r="D277" s="683">
        <f>+D246</f>
        <v>682.92686286067044</v>
      </c>
      <c r="E277" s="683">
        <f t="shared" ref="E277:N277" si="56">+E246</f>
        <v>703.41466874649052</v>
      </c>
      <c r="F277" s="683">
        <f t="shared" si="56"/>
        <v>724.51710880888527</v>
      </c>
      <c r="G277" s="683">
        <f t="shared" si="56"/>
        <v>746.25262207315188</v>
      </c>
      <c r="H277" s="683">
        <f t="shared" si="56"/>
        <v>768.64020073534641</v>
      </c>
      <c r="I277" s="683">
        <f t="shared" si="56"/>
        <v>791.69940675740679</v>
      </c>
      <c r="J277" s="683">
        <f t="shared" si="56"/>
        <v>815.45038896012898</v>
      </c>
      <c r="K277" s="683">
        <f t="shared" si="56"/>
        <v>839.91390062893288</v>
      </c>
      <c r="L277" s="683">
        <f t="shared" si="56"/>
        <v>865.11131764780089</v>
      </c>
      <c r="M277" s="683">
        <f t="shared" si="56"/>
        <v>891.06465717723495</v>
      </c>
      <c r="N277" s="683">
        <f t="shared" si="56"/>
        <v>917.79659689255197</v>
      </c>
      <c r="O277" s="635"/>
      <c r="P277" s="635"/>
    </row>
    <row r="278" spans="1:16" ht="21" x14ac:dyDescent="0.2">
      <c r="A278" s="646"/>
      <c r="B278" s="650" t="s">
        <v>632</v>
      </c>
      <c r="C278" s="677"/>
      <c r="D278" s="655">
        <f>+D279</f>
        <v>328.88611392000001</v>
      </c>
      <c r="E278" s="655">
        <f>+D279*E281/D281+D278</f>
        <v>670.92767239680006</v>
      </c>
      <c r="F278" s="655">
        <f t="shared" ref="F278:N278" si="57">+E279*F281/E281+E278</f>
        <v>1116.603891579904</v>
      </c>
      <c r="G278" s="655">
        <f t="shared" si="57"/>
        <v>1486.5560412284108</v>
      </c>
      <c r="H278" s="655">
        <f t="shared" si="57"/>
        <v>1968.5994398968562</v>
      </c>
      <c r="I278" s="655">
        <f t="shared" si="57"/>
        <v>1968.5994398968562</v>
      </c>
      <c r="J278" s="655">
        <f t="shared" si="57"/>
        <v>1968.5994398968562</v>
      </c>
      <c r="K278" s="655">
        <f t="shared" si="57"/>
        <v>1968.5994398968562</v>
      </c>
      <c r="L278" s="655">
        <f t="shared" si="57"/>
        <v>1968.5994398968562</v>
      </c>
      <c r="M278" s="655">
        <f t="shared" si="57"/>
        <v>1968.5994398968562</v>
      </c>
      <c r="N278" s="655">
        <f t="shared" si="57"/>
        <v>1968.5994398968562</v>
      </c>
      <c r="O278" s="635"/>
      <c r="P278" s="635"/>
    </row>
    <row r="279" spans="1:16" ht="33.75" x14ac:dyDescent="0.2">
      <c r="A279" s="646"/>
      <c r="B279" s="110" t="s">
        <v>631</v>
      </c>
      <c r="C279" s="647"/>
      <c r="D279" s="651">
        <f>-D280*D281</f>
        <v>328.88611392000001</v>
      </c>
      <c r="E279" s="651">
        <f>-E280*E281</f>
        <v>428.53482613760002</v>
      </c>
      <c r="F279" s="651">
        <f>-F280*F281</f>
        <v>355.72322081587197</v>
      </c>
      <c r="G279" s="651">
        <f>-G280*G281</f>
        <v>463.50326795042821</v>
      </c>
      <c r="H279" s="651">
        <f>-H280*H281</f>
        <v>0</v>
      </c>
      <c r="I279" s="647"/>
      <c r="J279" s="647"/>
      <c r="K279" s="647"/>
      <c r="L279" s="647"/>
      <c r="M279" s="647"/>
      <c r="N279" s="647"/>
      <c r="O279" s="635"/>
      <c r="P279" s="635"/>
    </row>
    <row r="280" spans="1:16" ht="22.5" x14ac:dyDescent="0.2">
      <c r="A280" s="646"/>
      <c r="B280" s="110" t="s">
        <v>633</v>
      </c>
      <c r="C280" s="644"/>
      <c r="D280" s="649">
        <f>+Сети!F50</f>
        <v>-17.399999999999999</v>
      </c>
      <c r="E280" s="649">
        <f>+Сети!G50</f>
        <v>-21.8</v>
      </c>
      <c r="F280" s="649">
        <f>+Сети!H50</f>
        <v>-17.399999999999999</v>
      </c>
      <c r="G280" s="649">
        <f>+Сети!I50</f>
        <v>-21.8</v>
      </c>
      <c r="H280" s="649">
        <f>+Сети!J50</f>
        <v>0</v>
      </c>
      <c r="I280" s="647"/>
      <c r="J280" s="647"/>
      <c r="K280" s="647"/>
      <c r="L280" s="647"/>
      <c r="M280" s="647"/>
      <c r="N280" s="647"/>
      <c r="O280" s="635"/>
      <c r="P280" s="635"/>
    </row>
    <row r="281" spans="1:16" x14ac:dyDescent="0.2">
      <c r="A281" s="646"/>
      <c r="B281" s="110" t="s">
        <v>634</v>
      </c>
      <c r="C281" s="644"/>
      <c r="D281" s="683">
        <f>+D225</f>
        <v>18.901500800000001</v>
      </c>
      <c r="E281" s="683">
        <f t="shared" ref="E281:N281" si="58">+E225</f>
        <v>19.657560832000001</v>
      </c>
      <c r="F281" s="683">
        <f t="shared" si="58"/>
        <v>20.443863265280001</v>
      </c>
      <c r="G281" s="683">
        <f t="shared" si="58"/>
        <v>21.261617795891201</v>
      </c>
      <c r="H281" s="683">
        <f t="shared" si="58"/>
        <v>22.11208250772685</v>
      </c>
      <c r="I281" s="683">
        <f t="shared" si="58"/>
        <v>22.996565808035925</v>
      </c>
      <c r="J281" s="683">
        <f t="shared" si="58"/>
        <v>23.916428440357361</v>
      </c>
      <c r="K281" s="683">
        <f t="shared" si="58"/>
        <v>24.873085577971658</v>
      </c>
      <c r="L281" s="683">
        <f t="shared" si="58"/>
        <v>25.868009001090524</v>
      </c>
      <c r="M281" s="683">
        <f t="shared" si="58"/>
        <v>26.902729361134146</v>
      </c>
      <c r="N281" s="683">
        <f t="shared" si="58"/>
        <v>27.978838535579513</v>
      </c>
      <c r="O281" s="635"/>
      <c r="P281" s="635"/>
    </row>
    <row r="282" spans="1:16" ht="21.75" thickBot="1" x14ac:dyDescent="0.25">
      <c r="A282" s="646"/>
      <c r="B282" s="650" t="s">
        <v>616</v>
      </c>
      <c r="C282" s="644"/>
      <c r="D282" s="655">
        <f>+D274+D278</f>
        <v>1039.1300512950972</v>
      </c>
      <c r="E282" s="655">
        <f t="shared" ref="E282:N282" si="59">+E274+E278</f>
        <v>2112.7228652682475</v>
      </c>
      <c r="F282" s="655">
        <f t="shared" si="59"/>
        <v>3500.2713259029024</v>
      </c>
      <c r="G282" s="655">
        <f t="shared" si="59"/>
        <v>4646.3262025074873</v>
      </c>
      <c r="H282" s="709">
        <f t="shared" si="59"/>
        <v>6127.6018621318826</v>
      </c>
      <c r="I282" s="655">
        <f t="shared" si="59"/>
        <v>6127.6018621318826</v>
      </c>
      <c r="J282" s="710">
        <f t="shared" si="59"/>
        <v>6127.6018621318826</v>
      </c>
      <c r="K282" s="655">
        <f t="shared" si="59"/>
        <v>6127.6018621318826</v>
      </c>
      <c r="L282" s="655">
        <f t="shared" si="59"/>
        <v>6127.6018621318826</v>
      </c>
      <c r="M282" s="655">
        <f t="shared" si="59"/>
        <v>6127.6018621318826</v>
      </c>
      <c r="N282" s="655">
        <f t="shared" si="59"/>
        <v>6127.6018621318826</v>
      </c>
      <c r="O282" s="635"/>
      <c r="P282" s="635"/>
    </row>
    <row r="283" spans="1:16" ht="12" thickBot="1" x14ac:dyDescent="0.25">
      <c r="A283" s="646"/>
      <c r="B283" s="650" t="s">
        <v>612</v>
      </c>
      <c r="C283" s="644"/>
      <c r="D283" s="644"/>
      <c r="E283" s="644"/>
      <c r="F283" s="644"/>
      <c r="G283" s="644"/>
      <c r="H283" s="707">
        <f>SUM(C273:F273)/H282</f>
        <v>2.0278317443293603</v>
      </c>
      <c r="I283" s="708"/>
      <c r="J283" s="680"/>
      <c r="K283" s="644"/>
      <c r="L283" s="644"/>
      <c r="M283" s="644"/>
      <c r="N283" s="644"/>
      <c r="O283" s="635"/>
      <c r="P283" s="635"/>
    </row>
    <row r="284" spans="1:16" x14ac:dyDescent="0.2">
      <c r="A284" s="646"/>
      <c r="B284" s="110"/>
      <c r="C284" s="644"/>
      <c r="D284" s="644"/>
      <c r="E284" s="644"/>
      <c r="F284" s="644"/>
      <c r="G284" s="644"/>
      <c r="H284" s="679"/>
      <c r="I284" s="682"/>
      <c r="J284" s="680"/>
      <c r="K284" s="644"/>
      <c r="L284" s="644"/>
      <c r="M284" s="644"/>
      <c r="N284" s="644"/>
      <c r="O284" s="635"/>
      <c r="P284" s="635"/>
    </row>
    <row r="285" spans="1:16" ht="22.5" x14ac:dyDescent="0.2">
      <c r="A285" s="646">
        <f>+Сети!A86</f>
        <v>61</v>
      </c>
      <c r="B285" s="44" t="str">
        <f>+Сети!B86</f>
        <v>Перевод ЦТП с открытой схемы ГВС на закрытую</v>
      </c>
      <c r="C285" s="647"/>
      <c r="D285" s="647"/>
      <c r="E285" s="647"/>
      <c r="F285" s="647"/>
      <c r="G285" s="647"/>
      <c r="H285" s="647"/>
      <c r="I285" s="647"/>
      <c r="J285" s="647"/>
      <c r="K285" s="647"/>
      <c r="L285" s="647"/>
      <c r="M285" s="647"/>
      <c r="N285" s="647"/>
      <c r="O285" s="635"/>
      <c r="P285" s="635"/>
    </row>
    <row r="286" spans="1:16" x14ac:dyDescent="0.2">
      <c r="A286" s="646"/>
      <c r="B286" s="110" t="s">
        <v>608</v>
      </c>
      <c r="C286" s="649">
        <f>+Сети!E86</f>
        <v>23118.548008579997</v>
      </c>
      <c r="D286" s="649">
        <f>+Сети!F86</f>
        <v>20348.486402238999</v>
      </c>
      <c r="E286" s="649">
        <f>+Сети!G86</f>
        <v>14133.822550420156</v>
      </c>
      <c r="F286" s="649">
        <f>+Сети!H86</f>
        <v>0</v>
      </c>
      <c r="G286" s="649">
        <f>+Сети!I86</f>
        <v>0</v>
      </c>
      <c r="H286" s="647"/>
      <c r="I286" s="647"/>
      <c r="J286" s="647"/>
      <c r="K286" s="647"/>
      <c r="L286" s="647"/>
      <c r="M286" s="647"/>
      <c r="N286" s="647"/>
      <c r="O286" s="635"/>
      <c r="P286" s="635"/>
    </row>
    <row r="287" spans="1:16" ht="21" x14ac:dyDescent="0.2">
      <c r="A287" s="646"/>
      <c r="B287" s="650" t="s">
        <v>650</v>
      </c>
      <c r="C287" s="647"/>
      <c r="D287" s="647"/>
      <c r="E287" s="647"/>
      <c r="F287" s="651">
        <f>+(F289-F290)*$F288</f>
        <v>4301.7055249940522</v>
      </c>
      <c r="G287" s="651">
        <f t="shared" ref="G287:N287" si="60">+(G289-G290)*$F288</f>
        <v>4473.7737459938153</v>
      </c>
      <c r="H287" s="651">
        <f t="shared" si="60"/>
        <v>4652.7246958335672</v>
      </c>
      <c r="I287" s="651">
        <f t="shared" si="60"/>
        <v>4838.8336836669096</v>
      </c>
      <c r="J287" s="651">
        <f t="shared" si="60"/>
        <v>5032.3870310135862</v>
      </c>
      <c r="K287" s="651">
        <f t="shared" si="60"/>
        <v>5233.6825122541304</v>
      </c>
      <c r="L287" s="651">
        <f t="shared" si="60"/>
        <v>5443.0298127442957</v>
      </c>
      <c r="M287" s="651">
        <f t="shared" si="60"/>
        <v>5660.7510052540674</v>
      </c>
      <c r="N287" s="651">
        <f t="shared" si="60"/>
        <v>5887.1810454642309</v>
      </c>
      <c r="O287" s="635"/>
      <c r="P287" s="635"/>
    </row>
    <row r="288" spans="1:16" x14ac:dyDescent="0.2">
      <c r="A288" s="44"/>
      <c r="B288" s="262" t="s">
        <v>625</v>
      </c>
      <c r="C288" s="647"/>
      <c r="D288" s="647"/>
      <c r="E288" s="647"/>
      <c r="F288" s="649">
        <v>234.8</v>
      </c>
      <c r="G288" s="647"/>
      <c r="H288" s="647"/>
      <c r="I288" s="647"/>
      <c r="J288" s="647"/>
      <c r="K288" s="647"/>
      <c r="L288" s="647"/>
      <c r="M288" s="647"/>
      <c r="N288" s="647"/>
      <c r="O288" s="635"/>
      <c r="P288" s="635"/>
    </row>
    <row r="289" spans="1:16" x14ac:dyDescent="0.2">
      <c r="A289" s="44"/>
      <c r="B289" s="262" t="s">
        <v>626</v>
      </c>
      <c r="C289" s="647"/>
      <c r="D289" s="647"/>
      <c r="E289" s="647"/>
      <c r="F289" s="649">
        <f>+('ТЭЦ-3'!H194-'ТЭЦ-3'!H140)/'ТЭЦ-3'!H80</f>
        <v>38.699658112619304</v>
      </c>
      <c r="G289" s="649">
        <f>+F289*'ТЭЦ-3'!I101</f>
        <v>40.24764443712408</v>
      </c>
      <c r="H289" s="649">
        <f>+G289*'ТЭЦ-3'!J101</f>
        <v>41.857550214609041</v>
      </c>
      <c r="I289" s="649">
        <f>+H289*'ТЭЦ-3'!K101</f>
        <v>43.531852223193404</v>
      </c>
      <c r="J289" s="649">
        <f>+I289*'ТЭЦ-3'!L101</f>
        <v>45.273126312121143</v>
      </c>
      <c r="K289" s="649">
        <f>+J289*'ТЭЦ-3'!M101</f>
        <v>47.08405136460599</v>
      </c>
      <c r="L289" s="649">
        <f>+K289*'ТЭЦ-3'!N101</f>
        <v>48.96741341919023</v>
      </c>
      <c r="M289" s="649">
        <f>+L289*'ТЭЦ-3'!O101</f>
        <v>50.926109955957841</v>
      </c>
      <c r="N289" s="649">
        <f>+M289*'ТЭЦ-3'!P101</f>
        <v>52.963154354196156</v>
      </c>
      <c r="O289" s="635"/>
      <c r="P289" s="635"/>
    </row>
    <row r="290" spans="1:16" ht="12" thickBot="1" x14ac:dyDescent="0.25">
      <c r="A290" s="44"/>
      <c r="B290" s="262" t="s">
        <v>651</v>
      </c>
      <c r="C290" s="647"/>
      <c r="D290" s="647"/>
      <c r="E290" s="647"/>
      <c r="F290" s="649">
        <f>17.42*'ТЭЦ-3'!E101*'ТЭЦ-3'!F101*'ТЭЦ-3'!G101*'ТЭЦ-3'!H101</f>
        <v>20.378936115200002</v>
      </c>
      <c r="G290" s="649">
        <f>+F290*'ТЭЦ-3'!I101</f>
        <v>21.194093559808003</v>
      </c>
      <c r="H290" s="649">
        <f>+G290*'ТЭЦ-3'!J101</f>
        <v>22.041857302200324</v>
      </c>
      <c r="I290" s="649">
        <f>+H290*'ТЭЦ-3'!K101</f>
        <v>22.923531594288338</v>
      </c>
      <c r="J290" s="649">
        <f>+I290*'ТЭЦ-3'!L101</f>
        <v>23.840472858059872</v>
      </c>
      <c r="K290" s="649">
        <f>+J290*'ТЭЦ-3'!M101</f>
        <v>24.794091772382266</v>
      </c>
      <c r="L290" s="649">
        <f>+K290*'ТЭЦ-3'!N101</f>
        <v>25.785855443277558</v>
      </c>
      <c r="M290" s="649">
        <f>+L290*'ТЭЦ-3'!O101</f>
        <v>26.817289661008662</v>
      </c>
      <c r="N290" s="649">
        <f>+M290*'ТЭЦ-3'!P101</f>
        <v>27.889981247449008</v>
      </c>
      <c r="O290" s="635"/>
      <c r="P290" s="635"/>
    </row>
    <row r="291" spans="1:16" s="669" customFormat="1" ht="12" thickBot="1" x14ac:dyDescent="0.25">
      <c r="A291" s="645"/>
      <c r="B291" s="650" t="s">
        <v>612</v>
      </c>
      <c r="C291" s="664"/>
      <c r="D291" s="664"/>
      <c r="E291" s="664"/>
      <c r="F291" s="672">
        <f>SUM(C286:G286)/F287</f>
        <v>13.390237110969792</v>
      </c>
      <c r="G291" s="673"/>
      <c r="I291" s="664"/>
      <c r="J291" s="664"/>
      <c r="K291" s="664"/>
      <c r="L291" s="664"/>
      <c r="M291" s="664"/>
      <c r="N291" s="664"/>
      <c r="O291" s="668"/>
      <c r="P291" s="668"/>
    </row>
    <row r="292" spans="1:16" x14ac:dyDescent="0.2">
      <c r="A292" s="44"/>
      <c r="B292" s="262"/>
      <c r="C292" s="647"/>
      <c r="D292" s="647"/>
      <c r="E292" s="647"/>
      <c r="F292" s="647"/>
      <c r="G292" s="647"/>
      <c r="H292" s="647"/>
      <c r="I292" s="647"/>
      <c r="J292" s="647"/>
      <c r="K292" s="647"/>
      <c r="L292" s="647"/>
      <c r="M292" s="647"/>
      <c r="N292" s="647"/>
      <c r="O292" s="635"/>
      <c r="P292" s="635"/>
    </row>
    <row r="293" spans="1:16" ht="78.75" x14ac:dyDescent="0.2">
      <c r="A293" s="696">
        <f>+Сети!A88</f>
        <v>61</v>
      </c>
      <c r="B293" s="648" t="str">
        <f>+Сети!B88</f>
        <v>Модернизация сети цифровых каналов связи ООО "Тверская генерация", телефонных станций оперативно-диспетчерской связи Siemens HiPath 4000(ТЭЦ-1, ТЭЦ-3, ТЭЦ-4) и учрежденческой АТС AVAYA Definity S8400 ТЭЦ-1.</v>
      </c>
      <c r="C293" s="647"/>
      <c r="D293" s="647"/>
      <c r="E293" s="647"/>
      <c r="F293" s="647"/>
      <c r="G293" s="647"/>
      <c r="H293" s="647"/>
      <c r="I293" s="647"/>
      <c r="J293" s="647"/>
      <c r="K293" s="647"/>
      <c r="L293" s="647"/>
      <c r="M293" s="647"/>
      <c r="N293" s="647"/>
      <c r="O293" s="635"/>
      <c r="P293" s="635"/>
    </row>
    <row r="294" spans="1:16" x14ac:dyDescent="0.2">
      <c r="A294" s="646"/>
      <c r="B294" s="684" t="s">
        <v>637</v>
      </c>
      <c r="C294" s="644"/>
      <c r="D294" s="644"/>
      <c r="E294" s="644"/>
      <c r="F294" s="644"/>
      <c r="G294" s="644"/>
      <c r="H294" s="644"/>
      <c r="I294" s="644"/>
      <c r="J294" s="644"/>
      <c r="K294" s="644"/>
      <c r="L294" s="644"/>
      <c r="M294" s="644"/>
      <c r="N294" s="644"/>
    </row>
    <row r="295" spans="1:16" ht="12" x14ac:dyDescent="0.2">
      <c r="A295" s="646"/>
      <c r="B295" s="711" t="s">
        <v>652</v>
      </c>
      <c r="C295" s="647"/>
      <c r="D295" s="647"/>
      <c r="E295" s="647"/>
      <c r="F295" s="647"/>
      <c r="G295" s="647"/>
      <c r="H295" s="647"/>
      <c r="I295" s="647"/>
      <c r="J295" s="647"/>
      <c r="K295" s="647"/>
      <c r="L295" s="647"/>
      <c r="M295" s="647"/>
      <c r="N295" s="647"/>
      <c r="O295" s="635"/>
      <c r="P295" s="635"/>
    </row>
    <row r="296" spans="1:16" x14ac:dyDescent="0.2">
      <c r="A296" s="646"/>
      <c r="B296" s="650" t="s">
        <v>608</v>
      </c>
      <c r="C296" s="676">
        <f>+Фин.модель!E35</f>
        <v>1090576.5794189691</v>
      </c>
      <c r="D296" s="676">
        <f>+Фин.модель!F35</f>
        <v>1042180.5596707482</v>
      </c>
      <c r="E296" s="676">
        <f>+Фин.модель!G35</f>
        <v>1003806.9864918017</v>
      </c>
      <c r="F296" s="676">
        <f>+Фин.модель!H35</f>
        <v>1030884.507551837</v>
      </c>
      <c r="G296" s="676">
        <f>+Фин.модель!I35</f>
        <v>1033273.0621602314</v>
      </c>
      <c r="H296" s="647"/>
      <c r="I296" s="647"/>
      <c r="J296" s="647"/>
      <c r="K296" s="647"/>
      <c r="L296" s="647"/>
      <c r="M296" s="647"/>
      <c r="N296" s="647"/>
      <c r="O296" s="635"/>
      <c r="P296" s="635"/>
    </row>
    <row r="297" spans="1:16" x14ac:dyDescent="0.2">
      <c r="A297" s="646"/>
      <c r="B297" s="712" t="s">
        <v>654</v>
      </c>
      <c r="C297" s="651">
        <f>+C296</f>
        <v>1090576.5794189691</v>
      </c>
      <c r="D297" s="651">
        <f t="shared" ref="D297:H297" si="61">+C297+D296</f>
        <v>2132757.1390897175</v>
      </c>
      <c r="E297" s="651">
        <f t="shared" si="61"/>
        <v>3136564.1255815192</v>
      </c>
      <c r="F297" s="651">
        <f t="shared" si="61"/>
        <v>4167448.6331333565</v>
      </c>
      <c r="G297" s="651">
        <f t="shared" si="61"/>
        <v>5200721.6952935876</v>
      </c>
      <c r="H297" s="651">
        <f t="shared" si="61"/>
        <v>5200721.6952935876</v>
      </c>
      <c r="I297" s="651">
        <f t="shared" ref="I297" si="62">+H297+I296</f>
        <v>5200721.6952935876</v>
      </c>
      <c r="J297" s="651">
        <f t="shared" ref="J297" si="63">+I297+J296</f>
        <v>5200721.6952935876</v>
      </c>
      <c r="K297" s="651">
        <f t="shared" ref="K297" si="64">+J297+K296</f>
        <v>5200721.6952935876</v>
      </c>
      <c r="L297" s="651">
        <f t="shared" ref="L297" si="65">+K297+L296</f>
        <v>5200721.6952935876</v>
      </c>
      <c r="M297" s="651">
        <f t="shared" ref="M297" si="66">+L297+M296</f>
        <v>5200721.6952935876</v>
      </c>
      <c r="N297" s="651">
        <f t="shared" ref="N297" si="67">+M297+N296</f>
        <v>5200721.6952935876</v>
      </c>
      <c r="O297" s="635"/>
      <c r="P297" s="635"/>
    </row>
    <row r="298" spans="1:16" ht="21" x14ac:dyDescent="0.2">
      <c r="A298" s="646"/>
      <c r="B298" s="650" t="s">
        <v>653</v>
      </c>
      <c r="C298" s="647"/>
      <c r="D298" s="651">
        <f>+D10+D18+D26+D39+D49+D57+D68+D76+D93+D100+D110+D132+D145+D156+D163+D213+D226+D233+D243+D254+D269+D282+D287</f>
        <v>217533.28584557513</v>
      </c>
      <c r="E298" s="651">
        <f t="shared" ref="E298:N298" si="68">+E10+E18+E26+E39+E49+E57+E68+E76+E93+E100+E110+E132+E145+E156+E163+E213+E226+E233+E243+E254+E269+E282+E287</f>
        <v>454258.92642879067</v>
      </c>
      <c r="F298" s="651">
        <f t="shared" si="68"/>
        <v>705444.16233527765</v>
      </c>
      <c r="G298" s="651">
        <f t="shared" si="68"/>
        <v>978435.36292711436</v>
      </c>
      <c r="H298" s="651">
        <f t="shared" si="68"/>
        <v>1122356.3450158511</v>
      </c>
      <c r="I298" s="651">
        <f t="shared" si="68"/>
        <v>1239154.4838024303</v>
      </c>
      <c r="J298" s="651">
        <f t="shared" si="68"/>
        <v>1234215.8181619509</v>
      </c>
      <c r="K298" s="651">
        <f t="shared" si="68"/>
        <v>1229148.1890060147</v>
      </c>
      <c r="L298" s="651">
        <f t="shared" si="68"/>
        <v>1223948.5898738222</v>
      </c>
      <c r="M298" s="651">
        <f t="shared" si="68"/>
        <v>1225941.5364307989</v>
      </c>
      <c r="N298" s="651">
        <f t="shared" si="68"/>
        <v>1235270.4634419803</v>
      </c>
      <c r="O298" s="635"/>
      <c r="P298" s="635"/>
    </row>
    <row r="299" spans="1:16" ht="12" thickBot="1" x14ac:dyDescent="0.25">
      <c r="A299" s="644"/>
      <c r="B299" s="712" t="s">
        <v>654</v>
      </c>
      <c r="C299" s="644"/>
      <c r="D299" s="651">
        <f>+D298+C299</f>
        <v>217533.28584557513</v>
      </c>
      <c r="E299" s="651">
        <f>+E298+D299</f>
        <v>671792.21227436583</v>
      </c>
      <c r="F299" s="651">
        <f>+F298+E299</f>
        <v>1377236.3746096436</v>
      </c>
      <c r="G299" s="651">
        <f>+G298+F299</f>
        <v>2355671.7375367582</v>
      </c>
      <c r="H299" s="651">
        <f t="shared" ref="H299:N299" si="69">+H298+G299</f>
        <v>3478028.082552609</v>
      </c>
      <c r="I299" s="651">
        <f t="shared" si="69"/>
        <v>4717182.5663550394</v>
      </c>
      <c r="J299" s="713">
        <f t="shared" si="69"/>
        <v>5951398.3845169898</v>
      </c>
      <c r="K299" s="651">
        <f t="shared" si="69"/>
        <v>7180546.5735230045</v>
      </c>
      <c r="L299" s="651">
        <f t="shared" si="69"/>
        <v>8404495.163396826</v>
      </c>
      <c r="M299" s="651">
        <f t="shared" si="69"/>
        <v>9630436.6998276245</v>
      </c>
      <c r="N299" s="651">
        <f t="shared" si="69"/>
        <v>10865707.163269605</v>
      </c>
    </row>
    <row r="300" spans="1:16" x14ac:dyDescent="0.2">
      <c r="A300" s="644"/>
      <c r="B300" s="44" t="s">
        <v>656</v>
      </c>
      <c r="C300" s="713">
        <f t="shared" ref="C300:I300" si="70">+C299-C297</f>
        <v>-1090576.5794189691</v>
      </c>
      <c r="D300" s="713">
        <f t="shared" si="70"/>
        <v>-1915223.8532441424</v>
      </c>
      <c r="E300" s="713">
        <f t="shared" si="70"/>
        <v>-2464771.9133071536</v>
      </c>
      <c r="F300" s="713">
        <f t="shared" si="70"/>
        <v>-2790212.2585237129</v>
      </c>
      <c r="G300" s="713">
        <f t="shared" si="70"/>
        <v>-2845049.9577568294</v>
      </c>
      <c r="H300" s="713">
        <f t="shared" si="70"/>
        <v>-1722693.6127409786</v>
      </c>
      <c r="I300" s="724">
        <f t="shared" si="70"/>
        <v>-483539.12893854827</v>
      </c>
      <c r="J300" s="725">
        <f t="shared" ref="J300:N300" si="71">+J299-J297</f>
        <v>750676.68922340218</v>
      </c>
      <c r="K300" s="726">
        <f t="shared" si="71"/>
        <v>1979824.8782294169</v>
      </c>
      <c r="L300" s="713">
        <f t="shared" si="71"/>
        <v>3203773.4681032384</v>
      </c>
      <c r="M300" s="713">
        <f t="shared" si="71"/>
        <v>4429715.0045340369</v>
      </c>
      <c r="N300" s="651">
        <f t="shared" si="71"/>
        <v>5664985.4679760179</v>
      </c>
    </row>
    <row r="301" spans="1:16" ht="33.75" x14ac:dyDescent="0.2">
      <c r="A301" s="644"/>
      <c r="B301" s="44"/>
      <c r="C301" s="644"/>
      <c r="D301" s="644"/>
      <c r="E301" s="644"/>
      <c r="F301" s="644"/>
      <c r="G301" s="644"/>
      <c r="H301" s="644"/>
      <c r="I301" s="644"/>
      <c r="J301" s="684" t="s">
        <v>655</v>
      </c>
      <c r="K301" s="644"/>
      <c r="L301" s="644"/>
      <c r="M301" s="644"/>
      <c r="N301" s="644"/>
    </row>
    <row r="302" spans="1:16" x14ac:dyDescent="0.2">
      <c r="A302" s="644"/>
      <c r="B302" s="44"/>
      <c r="C302" s="644"/>
      <c r="D302" s="723">
        <f>+D298/СВОД!E18</f>
        <v>4.3916581448732339E-2</v>
      </c>
      <c r="E302" s="723">
        <f>+E298/СВОД!F18</f>
        <v>8.8484291518484637E-2</v>
      </c>
      <c r="F302" s="723">
        <f>+F298/СВОД!G18</f>
        <v>0.13201206231630364</v>
      </c>
      <c r="G302" s="723">
        <f>+G298/СВОД!H18</f>
        <v>0.17685918849185212</v>
      </c>
      <c r="H302" s="723">
        <f>+H298/СВОД!I18</f>
        <v>0.19716956589803053</v>
      </c>
      <c r="I302" s="723">
        <f>+I298/СВОД!J18</f>
        <v>0.2095772613719572</v>
      </c>
      <c r="J302" s="723">
        <f>+J298/СВОД!K18</f>
        <v>0.20022909909460782</v>
      </c>
      <c r="K302" s="723">
        <f>+K298/СВОД!L18</f>
        <v>0.19260135187237792</v>
      </c>
      <c r="L302" s="723">
        <f>+L298/СВОД!M18</f>
        <v>0.18522514142042046</v>
      </c>
      <c r="M302" s="723">
        <f>+M298/СВОД!N18</f>
        <v>0.17916363400260962</v>
      </c>
      <c r="N302" s="723">
        <f>+N298/СВОД!O18</f>
        <v>0.1754218359392572</v>
      </c>
    </row>
  </sheetData>
  <mergeCells count="1">
    <mergeCell ref="A1:B1"/>
  </mergeCells>
  <printOptions horizontalCentered="1"/>
  <pageMargins left="0.31496062992125984" right="0.31496062992125984" top="0.55118110236220474" bottom="0.35433070866141736" header="0.31496062992125984" footer="0.31496062992125984"/>
  <pageSetup paperSize="9" scale="90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0"/>
    <pageSetUpPr fitToPage="1"/>
  </sheetPr>
  <dimension ref="A1:AR221"/>
  <sheetViews>
    <sheetView view="pageBreakPreview" zoomScaleNormal="100" zoomScaleSheetLayoutView="100" workbookViewId="0">
      <pane xSplit="2" ySplit="3" topLeftCell="C178" activePane="bottomRight" state="frozen"/>
      <selection pane="topRight" activeCell="C1" sqref="C1"/>
      <selection pane="bottomLeft" activeCell="A4" sqref="A4"/>
      <selection pane="bottomRight" activeCell="L240" sqref="L240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232" customWidth="1"/>
    <col min="7" max="7" width="10.7109375" style="52" customWidth="1"/>
    <col min="8" max="8" width="10.7109375" style="57" customWidth="1"/>
    <col min="9" max="13" width="10.7109375" style="232" customWidth="1"/>
    <col min="14" max="16" width="10.7109375" style="11" customWidth="1"/>
    <col min="17" max="17" width="2.140625" style="11" customWidth="1"/>
    <col min="18" max="18" width="9.140625" style="232"/>
    <col min="19" max="19" width="14" style="232" bestFit="1" customWidth="1"/>
    <col min="20" max="16384" width="9.140625" style="232"/>
  </cols>
  <sheetData>
    <row r="1" spans="1:44" collapsed="1" x14ac:dyDescent="0.2">
      <c r="B1" s="232" t="s">
        <v>455</v>
      </c>
      <c r="G1" s="232"/>
      <c r="H1" s="232"/>
      <c r="N1" s="13"/>
      <c r="O1" s="13"/>
      <c r="P1" s="13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2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70">
        <f>COLUMN()</f>
        <v>7</v>
      </c>
      <c r="H4" s="61">
        <f>COLUMN()</f>
        <v>8</v>
      </c>
      <c r="I4" s="421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11</v>
      </c>
      <c r="D5" s="76">
        <f t="shared" si="0"/>
        <v>11</v>
      </c>
      <c r="E5" s="76">
        <f t="shared" si="0"/>
        <v>11</v>
      </c>
      <c r="F5" s="76">
        <f t="shared" si="0"/>
        <v>11</v>
      </c>
      <c r="G5" s="371">
        <f t="shared" si="0"/>
        <v>11</v>
      </c>
      <c r="H5" s="76">
        <f t="shared" si="0"/>
        <v>0</v>
      </c>
      <c r="I5" s="422">
        <f t="shared" si="0"/>
        <v>0</v>
      </c>
      <c r="J5" s="76">
        <f t="shared" si="0"/>
        <v>0</v>
      </c>
      <c r="K5" s="76">
        <f t="shared" si="0"/>
        <v>0</v>
      </c>
      <c r="L5" s="76">
        <f t="shared" si="0"/>
        <v>0</v>
      </c>
      <c r="M5" s="76">
        <f t="shared" si="0"/>
        <v>0</v>
      </c>
      <c r="N5" s="76">
        <f t="shared" si="0"/>
        <v>0</v>
      </c>
      <c r="O5" s="76">
        <f t="shared" si="0"/>
        <v>0</v>
      </c>
      <c r="P5" s="76">
        <f t="shared" si="0"/>
        <v>0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151</v>
      </c>
      <c r="C6" s="89">
        <v>11</v>
      </c>
      <c r="D6" s="90">
        <f>+C6</f>
        <v>11</v>
      </c>
      <c r="E6" s="90">
        <f t="shared" ref="E6:G6" si="1">+D6</f>
        <v>11</v>
      </c>
      <c r="F6" s="90">
        <f t="shared" si="1"/>
        <v>11</v>
      </c>
      <c r="G6" s="372">
        <f t="shared" si="1"/>
        <v>11</v>
      </c>
      <c r="H6" s="373"/>
      <c r="I6" s="373"/>
      <c r="J6" s="373"/>
      <c r="K6" s="373"/>
      <c r="L6" s="373"/>
      <c r="M6" s="373"/>
      <c r="N6" s="373"/>
      <c r="O6" s="373"/>
      <c r="P6" s="373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3"/>
      <c r="H7" s="373"/>
      <c r="I7" s="373"/>
      <c r="J7" s="373"/>
      <c r="K7" s="373"/>
      <c r="L7" s="373"/>
      <c r="M7" s="373"/>
      <c r="N7" s="373"/>
      <c r="O7" s="373"/>
      <c r="P7" s="373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2">SUM(C9:C10)</f>
        <v>5.2005115079365085</v>
      </c>
      <c r="D8" s="92">
        <f t="shared" si="2"/>
        <v>5.4504761904761905</v>
      </c>
      <c r="E8" s="92">
        <f t="shared" si="2"/>
        <v>5.4504761904761905</v>
      </c>
      <c r="F8" s="92">
        <f t="shared" si="2"/>
        <v>5.4504761904761905</v>
      </c>
      <c r="G8" s="374">
        <f t="shared" si="2"/>
        <v>5.4504761904761905</v>
      </c>
      <c r="H8" s="444">
        <f t="shared" si="2"/>
        <v>0</v>
      </c>
      <c r="I8" s="92">
        <f t="shared" si="2"/>
        <v>0</v>
      </c>
      <c r="J8" s="92">
        <f t="shared" si="2"/>
        <v>0</v>
      </c>
      <c r="K8" s="92">
        <f t="shared" si="2"/>
        <v>0</v>
      </c>
      <c r="L8" s="92">
        <f t="shared" si="2"/>
        <v>0</v>
      </c>
      <c r="M8" s="92">
        <f t="shared" si="2"/>
        <v>0</v>
      </c>
      <c r="N8" s="92">
        <f t="shared" si="2"/>
        <v>0</v>
      </c>
      <c r="O8" s="92">
        <f t="shared" si="2"/>
        <v>0</v>
      </c>
      <c r="P8" s="92">
        <f t="shared" si="2"/>
        <v>0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65" t="s">
        <v>151</v>
      </c>
      <c r="C9" s="95">
        <f>+C16/$R9*1000</f>
        <v>5.2005115079365085</v>
      </c>
      <c r="D9" s="95">
        <f t="shared" ref="D9:G9" si="3">+D16/$R9*1000</f>
        <v>5.4504761904761905</v>
      </c>
      <c r="E9" s="95">
        <f t="shared" si="3"/>
        <v>5.4504761904761905</v>
      </c>
      <c r="F9" s="95">
        <f t="shared" si="3"/>
        <v>5.4504761904761905</v>
      </c>
      <c r="G9" s="95">
        <f t="shared" si="3"/>
        <v>5.4504761904761905</v>
      </c>
      <c r="H9" s="373"/>
      <c r="I9" s="373"/>
      <c r="J9" s="373"/>
      <c r="K9" s="373"/>
      <c r="L9" s="373"/>
      <c r="M9" s="373"/>
      <c r="N9" s="373"/>
      <c r="O9" s="373"/>
      <c r="P9" s="373"/>
      <c r="Q9" s="11"/>
      <c r="R9" s="23">
        <f>7*30*24</f>
        <v>5040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0.47277377344877353</v>
      </c>
      <c r="D11" s="70">
        <f t="shared" ref="D11:G11" si="4">+D8/D5</f>
        <v>0.49549783549783549</v>
      </c>
      <c r="E11" s="70">
        <f t="shared" si="4"/>
        <v>0.49549783549783549</v>
      </c>
      <c r="F11" s="70">
        <f t="shared" si="4"/>
        <v>0.49549783549783549</v>
      </c>
      <c r="G11" s="375">
        <f t="shared" si="4"/>
        <v>0.49549783549783549</v>
      </c>
      <c r="H11" s="373"/>
      <c r="I11" s="373"/>
      <c r="J11" s="373"/>
      <c r="K11" s="373"/>
      <c r="L11" s="373"/>
      <c r="M11" s="373"/>
      <c r="N11" s="373"/>
      <c r="O11" s="373"/>
      <c r="P11" s="373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5.7994884920634915</v>
      </c>
      <c r="D12" s="92">
        <f t="shared" ref="D12:P12" si="5">SUM(D13:D14)</f>
        <v>5.5495238095238095</v>
      </c>
      <c r="E12" s="92">
        <f t="shared" si="5"/>
        <v>5.5495238095238095</v>
      </c>
      <c r="F12" s="92">
        <f t="shared" si="5"/>
        <v>5.5495238095238095</v>
      </c>
      <c r="G12" s="374">
        <f t="shared" si="5"/>
        <v>5.5495238095238095</v>
      </c>
      <c r="H12" s="444">
        <f t="shared" si="5"/>
        <v>0</v>
      </c>
      <c r="I12" s="92">
        <f t="shared" si="5"/>
        <v>0</v>
      </c>
      <c r="J12" s="92">
        <f t="shared" si="5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2">
        <f t="shared" si="5"/>
        <v>0</v>
      </c>
      <c r="O12" s="92">
        <f t="shared" si="5"/>
        <v>0</v>
      </c>
      <c r="P12" s="92">
        <f t="shared" si="5"/>
        <v>0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65" t="s">
        <v>151</v>
      </c>
      <c r="C13" s="95">
        <f>+C6-C9</f>
        <v>5.7994884920634915</v>
      </c>
      <c r="D13" s="95">
        <f t="shared" ref="D13:G14" si="6">+D6-D9</f>
        <v>5.5495238095238095</v>
      </c>
      <c r="E13" s="95">
        <f t="shared" si="6"/>
        <v>5.5495238095238095</v>
      </c>
      <c r="F13" s="95">
        <f t="shared" si="6"/>
        <v>5.5495238095238095</v>
      </c>
      <c r="G13" s="376">
        <f t="shared" si="6"/>
        <v>5.5495238095238095</v>
      </c>
      <c r="H13" s="373"/>
      <c r="I13" s="373"/>
      <c r="J13" s="373"/>
      <c r="K13" s="373"/>
      <c r="L13" s="373"/>
      <c r="M13" s="373"/>
      <c r="N13" s="373"/>
      <c r="O13" s="373"/>
      <c r="P13" s="373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si="6"/>
        <v>0</v>
      </c>
      <c r="E14" s="95">
        <f t="shared" si="6"/>
        <v>0</v>
      </c>
      <c r="F14" s="95">
        <f t="shared" si="6"/>
        <v>0</v>
      </c>
      <c r="G14" s="376">
        <f t="shared" si="6"/>
        <v>0</v>
      </c>
      <c r="H14" s="373"/>
      <c r="I14" s="373"/>
      <c r="J14" s="373"/>
      <c r="K14" s="373"/>
      <c r="L14" s="373"/>
      <c r="M14" s="373"/>
      <c r="N14" s="373"/>
      <c r="O14" s="373"/>
      <c r="P14" s="373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26.210578000000002</v>
      </c>
      <c r="D15" s="76">
        <f t="shared" ref="D15:P15" si="7">+D16</f>
        <v>27.470399999999998</v>
      </c>
      <c r="E15" s="76">
        <f t="shared" si="7"/>
        <v>27.470399999999998</v>
      </c>
      <c r="F15" s="76">
        <f t="shared" si="7"/>
        <v>27.470399999999998</v>
      </c>
      <c r="G15" s="371">
        <f t="shared" si="7"/>
        <v>27.470399999999998</v>
      </c>
      <c r="H15" s="76">
        <f t="shared" si="7"/>
        <v>0</v>
      </c>
      <c r="I15" s="422">
        <f t="shared" si="7"/>
        <v>0</v>
      </c>
      <c r="J15" s="76">
        <f t="shared" si="7"/>
        <v>0</v>
      </c>
      <c r="K15" s="76">
        <f t="shared" si="7"/>
        <v>0</v>
      </c>
      <c r="L15" s="76">
        <f t="shared" si="7"/>
        <v>0</v>
      </c>
      <c r="M15" s="76">
        <f t="shared" si="7"/>
        <v>0</v>
      </c>
      <c r="N15" s="76">
        <f t="shared" si="7"/>
        <v>0</v>
      </c>
      <c r="O15" s="76">
        <f t="shared" si="7"/>
        <v>0</v>
      </c>
      <c r="P15" s="76">
        <f t="shared" si="7"/>
        <v>0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+'[4]4.4.Р_т'!$E$5</f>
        <v>26.210578000000002</v>
      </c>
      <c r="D16" s="93">
        <f>+'[4]4.4.Р_т'!$O$5</f>
        <v>27.470399999999998</v>
      </c>
      <c r="E16" s="90">
        <f t="shared" ref="D16:P21" si="8">+D16</f>
        <v>27.470399999999998</v>
      </c>
      <c r="F16" s="90">
        <f t="shared" si="8"/>
        <v>27.470399999999998</v>
      </c>
      <c r="G16" s="90">
        <f t="shared" si="8"/>
        <v>27.470399999999998</v>
      </c>
      <c r="H16" s="373"/>
      <c r="I16" s="373"/>
      <c r="J16" s="373"/>
      <c r="K16" s="373"/>
      <c r="L16" s="373"/>
      <c r="M16" s="373"/>
      <c r="N16" s="373"/>
      <c r="O16" s="373"/>
      <c r="P16" s="373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SUM(C18:C19)</f>
        <v>6.3922210000000002</v>
      </c>
      <c r="D17" s="95">
        <f>SUM(D18:D19)</f>
        <v>7.191336999999999</v>
      </c>
      <c r="E17" s="95">
        <f>SUM(E18:E19)</f>
        <v>7.191336999999999</v>
      </c>
      <c r="F17" s="95">
        <f>SUM(F18:F19)</f>
        <v>7.191336999999999</v>
      </c>
      <c r="G17" s="376">
        <f>SUM(G18:G19)</f>
        <v>7.191336999999999</v>
      </c>
      <c r="H17" s="373"/>
      <c r="I17" s="373"/>
      <c r="J17" s="373"/>
      <c r="K17" s="373"/>
      <c r="L17" s="373"/>
      <c r="M17" s="373"/>
      <c r="N17" s="373"/>
      <c r="O17" s="373"/>
      <c r="P17" s="373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6" customFormat="1" x14ac:dyDescent="0.2">
      <c r="A18" s="244"/>
      <c r="B18" s="248" t="s">
        <v>403</v>
      </c>
      <c r="C18" s="93">
        <f>+'[4]4.4.Р_т'!$E$6</f>
        <v>6.3922210000000002</v>
      </c>
      <c r="D18" s="93">
        <f>+'[4]4.4.Р_т'!$O$6</f>
        <v>7.191336999999999</v>
      </c>
      <c r="E18" s="90">
        <f t="shared" si="8"/>
        <v>7.191336999999999</v>
      </c>
      <c r="F18" s="90">
        <f t="shared" si="8"/>
        <v>7.191336999999999</v>
      </c>
      <c r="G18" s="90">
        <f t="shared" si="8"/>
        <v>7.191336999999999</v>
      </c>
      <c r="H18" s="373"/>
      <c r="I18" s="373"/>
      <c r="J18" s="373"/>
      <c r="K18" s="373"/>
      <c r="L18" s="373"/>
      <c r="M18" s="373"/>
      <c r="N18" s="373"/>
      <c r="O18" s="373"/>
      <c r="P18" s="373"/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6" customFormat="1" x14ac:dyDescent="0.2">
      <c r="A19" s="244"/>
      <c r="B19" s="248"/>
      <c r="C19" s="337"/>
      <c r="D19" s="337"/>
      <c r="E19" s="337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23" customFormat="1" ht="22.5" x14ac:dyDescent="0.2">
      <c r="A20" s="2" t="s">
        <v>1</v>
      </c>
      <c r="B20" s="5" t="s">
        <v>169</v>
      </c>
      <c r="C20" s="93">
        <f>+'[4]4.4.Р_т'!$E$12+'[4]4.4.Р_т'!$E$14</f>
        <v>6.182283</v>
      </c>
      <c r="D20" s="90">
        <f t="shared" si="8"/>
        <v>6.182283</v>
      </c>
      <c r="E20" s="90">
        <f t="shared" si="8"/>
        <v>6.182283</v>
      </c>
      <c r="F20" s="90">
        <f t="shared" si="8"/>
        <v>6.182283</v>
      </c>
      <c r="G20" s="372">
        <f t="shared" si="8"/>
        <v>6.182283</v>
      </c>
      <c r="H20" s="372">
        <f>+H21</f>
        <v>3.6941660000000001</v>
      </c>
      <c r="I20" s="372">
        <f t="shared" ref="I20:P20" si="9">+I21</f>
        <v>3.6941660000000001</v>
      </c>
      <c r="J20" s="372">
        <f t="shared" si="9"/>
        <v>3.6941660000000001</v>
      </c>
      <c r="K20" s="372">
        <f t="shared" si="9"/>
        <v>3.6941660000000001</v>
      </c>
      <c r="L20" s="372">
        <f t="shared" si="9"/>
        <v>3.6941660000000001</v>
      </c>
      <c r="M20" s="372">
        <f t="shared" si="9"/>
        <v>3.6941660000000001</v>
      </c>
      <c r="N20" s="372">
        <f t="shared" si="9"/>
        <v>3.6941660000000001</v>
      </c>
      <c r="O20" s="372">
        <f t="shared" si="9"/>
        <v>3.6941660000000001</v>
      </c>
      <c r="P20" s="372">
        <f t="shared" si="9"/>
        <v>3.6941660000000001</v>
      </c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</row>
    <row r="21" spans="1:44" s="69" customFormat="1" x14ac:dyDescent="0.2">
      <c r="A21" s="33" t="s">
        <v>2</v>
      </c>
      <c r="B21" s="40" t="s">
        <v>153</v>
      </c>
      <c r="C21" s="104">
        <f>+('[5]год '!$K$44+'[5]год '!$K$45)/1000</f>
        <v>3.6941660000000001</v>
      </c>
      <c r="D21" s="105">
        <f t="shared" si="8"/>
        <v>3.6941660000000001</v>
      </c>
      <c r="E21" s="105">
        <f t="shared" si="8"/>
        <v>3.6941660000000001</v>
      </c>
      <c r="F21" s="105">
        <f t="shared" si="8"/>
        <v>3.6941660000000001</v>
      </c>
      <c r="G21" s="377">
        <f t="shared" si="8"/>
        <v>3.6941660000000001</v>
      </c>
      <c r="H21" s="377">
        <f t="shared" si="8"/>
        <v>3.6941660000000001</v>
      </c>
      <c r="I21" s="377">
        <f t="shared" si="8"/>
        <v>3.6941660000000001</v>
      </c>
      <c r="J21" s="377">
        <f t="shared" si="8"/>
        <v>3.6941660000000001</v>
      </c>
      <c r="K21" s="377">
        <f t="shared" si="8"/>
        <v>3.6941660000000001</v>
      </c>
      <c r="L21" s="105">
        <f t="shared" si="8"/>
        <v>3.6941660000000001</v>
      </c>
      <c r="M21" s="105">
        <f t="shared" si="8"/>
        <v>3.6941660000000001</v>
      </c>
      <c r="N21" s="105">
        <f t="shared" si="8"/>
        <v>3.6941660000000001</v>
      </c>
      <c r="O21" s="105">
        <f t="shared" si="8"/>
        <v>3.6941660000000001</v>
      </c>
      <c r="P21" s="105">
        <f t="shared" si="8"/>
        <v>3.6941660000000001</v>
      </c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</row>
    <row r="22" spans="1:44" s="69" customFormat="1" x14ac:dyDescent="0.2">
      <c r="A22" s="33" t="s">
        <v>3</v>
      </c>
      <c r="B22" s="100" t="s">
        <v>174</v>
      </c>
      <c r="C22" s="98">
        <f>+(C17+C20)/C15</f>
        <v>0.47974920659895404</v>
      </c>
      <c r="D22" s="98">
        <f>+(D17+D20)/D15</f>
        <v>0.48683746869357564</v>
      </c>
      <c r="E22" s="98">
        <f>+(E17+E20)/E15</f>
        <v>0.48683746869357564</v>
      </c>
      <c r="F22" s="98">
        <f>+(F17+F20)/F15</f>
        <v>0.48683746869357564</v>
      </c>
      <c r="G22" s="378">
        <f>+(G17+G20)/G15</f>
        <v>0.48683746869357564</v>
      </c>
      <c r="H22" s="373"/>
      <c r="I22" s="373"/>
      <c r="J22" s="373"/>
      <c r="K22" s="373"/>
      <c r="L22" s="373"/>
      <c r="M22" s="373"/>
      <c r="N22" s="373"/>
      <c r="O22" s="373"/>
      <c r="P22" s="373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</row>
    <row r="23" spans="1:44" s="99" customFormat="1" x14ac:dyDescent="0.2">
      <c r="A23" s="66">
        <v>5</v>
      </c>
      <c r="B23" s="101" t="s">
        <v>170</v>
      </c>
      <c r="C23" s="103">
        <f t="shared" ref="C23:P23" si="10">+C15-C17-C20</f>
        <v>13.636074000000002</v>
      </c>
      <c r="D23" s="103">
        <f t="shared" si="10"/>
        <v>14.096780000000001</v>
      </c>
      <c r="E23" s="103">
        <f t="shared" si="10"/>
        <v>14.096780000000001</v>
      </c>
      <c r="F23" s="103">
        <f t="shared" si="10"/>
        <v>14.096780000000001</v>
      </c>
      <c r="G23" s="379">
        <f t="shared" si="10"/>
        <v>14.096780000000001</v>
      </c>
      <c r="H23" s="103">
        <f t="shared" si="10"/>
        <v>-3.6941660000000001</v>
      </c>
      <c r="I23" s="78">
        <f t="shared" si="10"/>
        <v>-3.6941660000000001</v>
      </c>
      <c r="J23" s="103">
        <f t="shared" si="10"/>
        <v>-3.6941660000000001</v>
      </c>
      <c r="K23" s="103">
        <f t="shared" si="10"/>
        <v>-3.6941660000000001</v>
      </c>
      <c r="L23" s="103">
        <f t="shared" si="10"/>
        <v>-3.6941660000000001</v>
      </c>
      <c r="M23" s="103">
        <f t="shared" si="10"/>
        <v>-3.6941660000000001</v>
      </c>
      <c r="N23" s="103">
        <f t="shared" si="10"/>
        <v>-3.6941660000000001</v>
      </c>
      <c r="O23" s="103">
        <f t="shared" si="10"/>
        <v>-3.6941660000000001</v>
      </c>
      <c r="P23" s="103">
        <f t="shared" si="10"/>
        <v>-3.6941660000000001</v>
      </c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</row>
    <row r="24" spans="1:44" s="74" customFormat="1" x14ac:dyDescent="0.2">
      <c r="A24" s="71">
        <v>6</v>
      </c>
      <c r="B24" s="101" t="s">
        <v>465</v>
      </c>
      <c r="C24" s="103">
        <f t="shared" ref="C24:P24" si="11">+C27+C30+C32+C33</f>
        <v>201</v>
      </c>
      <c r="D24" s="103">
        <f t="shared" si="11"/>
        <v>201</v>
      </c>
      <c r="E24" s="103">
        <f t="shared" si="11"/>
        <v>201</v>
      </c>
      <c r="F24" s="103">
        <f t="shared" si="11"/>
        <v>201</v>
      </c>
      <c r="G24" s="379">
        <f t="shared" si="11"/>
        <v>201</v>
      </c>
      <c r="H24" s="103">
        <f t="shared" si="11"/>
        <v>120</v>
      </c>
      <c r="I24" s="78">
        <f t="shared" si="11"/>
        <v>120</v>
      </c>
      <c r="J24" s="103">
        <f t="shared" si="11"/>
        <v>150</v>
      </c>
      <c r="K24" s="103">
        <f t="shared" si="11"/>
        <v>150</v>
      </c>
      <c r="L24" s="103">
        <f t="shared" si="11"/>
        <v>150</v>
      </c>
      <c r="M24" s="103">
        <f t="shared" si="11"/>
        <v>150</v>
      </c>
      <c r="N24" s="103">
        <f t="shared" si="11"/>
        <v>150</v>
      </c>
      <c r="O24" s="103">
        <f t="shared" si="11"/>
        <v>150</v>
      </c>
      <c r="P24" s="103">
        <f t="shared" si="11"/>
        <v>150</v>
      </c>
    </row>
    <row r="25" spans="1:44" s="32" customFormat="1" x14ac:dyDescent="0.2">
      <c r="A25" s="33"/>
      <c r="B25" s="205" t="s">
        <v>214</v>
      </c>
      <c r="C25" s="207">
        <f>+C24-C26</f>
        <v>164</v>
      </c>
      <c r="D25" s="207">
        <f t="shared" ref="D25:P25" si="12">+D24-D26</f>
        <v>164</v>
      </c>
      <c r="E25" s="207">
        <f t="shared" si="12"/>
        <v>164</v>
      </c>
      <c r="F25" s="207">
        <f t="shared" si="12"/>
        <v>164</v>
      </c>
      <c r="G25" s="380">
        <f t="shared" si="12"/>
        <v>164</v>
      </c>
      <c r="H25" s="207">
        <f t="shared" si="12"/>
        <v>120</v>
      </c>
      <c r="I25" s="425">
        <f t="shared" si="12"/>
        <v>120</v>
      </c>
      <c r="J25" s="207">
        <f t="shared" si="12"/>
        <v>150</v>
      </c>
      <c r="K25" s="207">
        <f t="shared" si="12"/>
        <v>150</v>
      </c>
      <c r="L25" s="207">
        <f t="shared" si="12"/>
        <v>150</v>
      </c>
      <c r="M25" s="207">
        <f t="shared" si="12"/>
        <v>150</v>
      </c>
      <c r="N25" s="207">
        <f t="shared" si="12"/>
        <v>150</v>
      </c>
      <c r="O25" s="207">
        <f t="shared" si="12"/>
        <v>150</v>
      </c>
      <c r="P25" s="207">
        <f t="shared" si="12"/>
        <v>150</v>
      </c>
    </row>
    <row r="26" spans="1:44" s="32" customFormat="1" x14ac:dyDescent="0.2">
      <c r="A26" s="33"/>
      <c r="B26" s="205" t="s">
        <v>215</v>
      </c>
      <c r="C26" s="207">
        <f>+C29</f>
        <v>37</v>
      </c>
      <c r="D26" s="207">
        <f t="shared" ref="D26:P26" si="13">+D29</f>
        <v>37</v>
      </c>
      <c r="E26" s="207">
        <f t="shared" si="13"/>
        <v>37</v>
      </c>
      <c r="F26" s="207">
        <f t="shared" si="13"/>
        <v>37</v>
      </c>
      <c r="G26" s="380">
        <f t="shared" si="13"/>
        <v>37</v>
      </c>
      <c r="H26" s="380">
        <f t="shared" si="13"/>
        <v>0</v>
      </c>
      <c r="I26" s="380">
        <f t="shared" si="13"/>
        <v>0</v>
      </c>
      <c r="J26" s="380">
        <f t="shared" si="13"/>
        <v>0</v>
      </c>
      <c r="K26" s="380">
        <f t="shared" si="13"/>
        <v>0</v>
      </c>
      <c r="L26" s="380">
        <f t="shared" si="13"/>
        <v>0</v>
      </c>
      <c r="M26" s="380">
        <f t="shared" si="13"/>
        <v>0</v>
      </c>
      <c r="N26" s="380">
        <f t="shared" si="13"/>
        <v>0</v>
      </c>
      <c r="O26" s="380">
        <f t="shared" si="13"/>
        <v>0</v>
      </c>
      <c r="P26" s="380">
        <f t="shared" si="13"/>
        <v>0</v>
      </c>
    </row>
    <row r="27" spans="1:44" s="11" customFormat="1" x14ac:dyDescent="0.2">
      <c r="A27" s="2" t="s">
        <v>171</v>
      </c>
      <c r="B27" s="83" t="s">
        <v>213</v>
      </c>
      <c r="C27" s="106">
        <f>+'[6]ТЭЦ-1'!$G$85</f>
        <v>73</v>
      </c>
      <c r="D27" s="90">
        <f>+C27</f>
        <v>73</v>
      </c>
      <c r="E27" s="90">
        <f t="shared" ref="E27:G29" si="14">+D27</f>
        <v>73</v>
      </c>
      <c r="F27" s="90">
        <f t="shared" si="14"/>
        <v>73</v>
      </c>
      <c r="G27" s="372">
        <f t="shared" si="14"/>
        <v>73</v>
      </c>
      <c r="H27" s="373"/>
      <c r="I27" s="373"/>
      <c r="J27" s="373"/>
      <c r="K27" s="373"/>
      <c r="L27" s="373"/>
      <c r="M27" s="373"/>
      <c r="N27" s="373"/>
      <c r="O27" s="373"/>
      <c r="P27" s="373"/>
    </row>
    <row r="28" spans="1:44" s="32" customFormat="1" x14ac:dyDescent="0.2">
      <c r="A28" s="33"/>
      <c r="B28" s="205" t="s">
        <v>214</v>
      </c>
      <c r="C28" s="207">
        <f>+C27-C29</f>
        <v>36</v>
      </c>
      <c r="D28" s="105">
        <f>+C28</f>
        <v>36</v>
      </c>
      <c r="E28" s="105">
        <f t="shared" si="14"/>
        <v>36</v>
      </c>
      <c r="F28" s="105">
        <f t="shared" si="14"/>
        <v>36</v>
      </c>
      <c r="G28" s="377">
        <f t="shared" si="14"/>
        <v>36</v>
      </c>
      <c r="H28" s="373"/>
      <c r="I28" s="373"/>
      <c r="J28" s="373"/>
      <c r="K28" s="373"/>
      <c r="L28" s="373"/>
      <c r="M28" s="373"/>
      <c r="N28" s="373"/>
      <c r="O28" s="373"/>
      <c r="P28" s="373"/>
    </row>
    <row r="29" spans="1:44" s="32" customFormat="1" x14ac:dyDescent="0.2">
      <c r="A29" s="33"/>
      <c r="B29" s="205" t="s">
        <v>215</v>
      </c>
      <c r="C29" s="204">
        <f>+'[6]ТЭЦ-1'!$G$87</f>
        <v>37</v>
      </c>
      <c r="D29" s="105">
        <f>+C29</f>
        <v>37</v>
      </c>
      <c r="E29" s="105">
        <f t="shared" si="14"/>
        <v>37</v>
      </c>
      <c r="F29" s="105">
        <f t="shared" si="14"/>
        <v>37</v>
      </c>
      <c r="G29" s="377">
        <f t="shared" si="14"/>
        <v>37</v>
      </c>
      <c r="H29" s="373"/>
      <c r="I29" s="373"/>
      <c r="J29" s="373"/>
      <c r="K29" s="373"/>
      <c r="L29" s="373"/>
      <c r="M29" s="373"/>
      <c r="N29" s="373"/>
      <c r="O29" s="373"/>
      <c r="P29" s="373"/>
    </row>
    <row r="30" spans="1:44" s="32" customFormat="1" x14ac:dyDescent="0.2">
      <c r="A30" s="2" t="s">
        <v>172</v>
      </c>
      <c r="B30" s="206" t="s">
        <v>217</v>
      </c>
      <c r="C30" s="270">
        <f>SUM(C31:C31)</f>
        <v>68</v>
      </c>
      <c r="D30" s="270">
        <f>SUM(D31:D31)</f>
        <v>68</v>
      </c>
      <c r="E30" s="270">
        <f>SUM(E31:E31)</f>
        <v>68</v>
      </c>
      <c r="F30" s="270">
        <f>SUM(F31:F31)</f>
        <v>68</v>
      </c>
      <c r="G30" s="270">
        <f>SUM(G31:G31)</f>
        <v>68</v>
      </c>
      <c r="H30" s="373"/>
      <c r="I30" s="373"/>
      <c r="J30" s="373"/>
      <c r="K30" s="373"/>
      <c r="L30" s="373"/>
      <c r="M30" s="373"/>
      <c r="N30" s="373"/>
      <c r="O30" s="373"/>
      <c r="P30" s="373"/>
    </row>
    <row r="31" spans="1:44" s="247" customFormat="1" x14ac:dyDescent="0.2">
      <c r="A31" s="244"/>
      <c r="B31" s="535" t="s">
        <v>504</v>
      </c>
      <c r="C31" s="536">
        <f>+'[6]ТЭЦ-1'!$G$88</f>
        <v>68</v>
      </c>
      <c r="D31" s="530">
        <f>+C31</f>
        <v>68</v>
      </c>
      <c r="E31" s="530">
        <f t="shared" ref="E31:G31" si="15">+D31</f>
        <v>68</v>
      </c>
      <c r="F31" s="530">
        <f t="shared" si="15"/>
        <v>68</v>
      </c>
      <c r="G31" s="530">
        <f t="shared" si="15"/>
        <v>68</v>
      </c>
      <c r="H31" s="373"/>
      <c r="I31" s="373"/>
      <c r="J31" s="373"/>
      <c r="K31" s="373"/>
      <c r="L31" s="373"/>
      <c r="M31" s="373"/>
      <c r="N31" s="373"/>
      <c r="O31" s="373"/>
      <c r="P31" s="373"/>
    </row>
    <row r="32" spans="1:44" s="11" customFormat="1" x14ac:dyDescent="0.2">
      <c r="A32" s="2" t="s">
        <v>204</v>
      </c>
      <c r="B32" s="44" t="s">
        <v>205</v>
      </c>
      <c r="C32" s="208"/>
      <c r="D32" s="211"/>
      <c r="E32" s="211"/>
      <c r="F32" s="211"/>
      <c r="G32" s="381"/>
      <c r="H32" s="89">
        <v>60</v>
      </c>
      <c r="I32" s="90">
        <f t="shared" ref="E32:P33" si="16">+H32</f>
        <v>60</v>
      </c>
      <c r="J32" s="89">
        <v>90</v>
      </c>
      <c r="K32" s="90">
        <f t="shared" si="16"/>
        <v>90</v>
      </c>
      <c r="L32" s="423">
        <f t="shared" ref="L32" si="17">+K32</f>
        <v>90</v>
      </c>
      <c r="M32" s="423">
        <f t="shared" ref="M32" si="18">+L32</f>
        <v>90</v>
      </c>
      <c r="N32" s="423">
        <f t="shared" ref="N32" si="19">+M32</f>
        <v>90</v>
      </c>
      <c r="O32" s="423">
        <f t="shared" ref="O32" si="20">+N32</f>
        <v>90</v>
      </c>
      <c r="P32" s="423">
        <f t="shared" ref="P32" si="21">+O32</f>
        <v>90</v>
      </c>
    </row>
    <row r="33" spans="1:17" s="11" customFormat="1" x14ac:dyDescent="0.2">
      <c r="A33" s="2" t="s">
        <v>216</v>
      </c>
      <c r="B33" s="44" t="s">
        <v>206</v>
      </c>
      <c r="C33" s="107">
        <f>+'[6]ТЭЦ-1'!$G$90</f>
        <v>60</v>
      </c>
      <c r="D33" s="90">
        <f>+C33</f>
        <v>60</v>
      </c>
      <c r="E33" s="90">
        <f t="shared" si="16"/>
        <v>60</v>
      </c>
      <c r="F33" s="90">
        <f t="shared" si="16"/>
        <v>60</v>
      </c>
      <c r="G33" s="372">
        <f t="shared" si="16"/>
        <v>60</v>
      </c>
      <c r="H33" s="90">
        <f t="shared" si="16"/>
        <v>60</v>
      </c>
      <c r="I33" s="90">
        <f t="shared" si="16"/>
        <v>60</v>
      </c>
      <c r="J33" s="90">
        <f t="shared" si="16"/>
        <v>60</v>
      </c>
      <c r="K33" s="90">
        <f t="shared" si="16"/>
        <v>60</v>
      </c>
      <c r="L33" s="90">
        <f t="shared" si="16"/>
        <v>60</v>
      </c>
      <c r="M33" s="90">
        <f t="shared" si="16"/>
        <v>60</v>
      </c>
      <c r="N33" s="90">
        <f t="shared" si="16"/>
        <v>60</v>
      </c>
      <c r="O33" s="90">
        <f t="shared" si="16"/>
        <v>60</v>
      </c>
      <c r="P33" s="90">
        <f t="shared" si="16"/>
        <v>60</v>
      </c>
    </row>
    <row r="34" spans="1:17" s="11" customFormat="1" ht="22.5" x14ac:dyDescent="0.2">
      <c r="A34" s="2" t="s">
        <v>218</v>
      </c>
      <c r="B34" s="44" t="s">
        <v>514</v>
      </c>
      <c r="C34" s="270">
        <f>SUM(C35:C36)</f>
        <v>170</v>
      </c>
      <c r="D34" s="270">
        <f t="shared" ref="D34:P34" si="22">SUM(D35:D36)</f>
        <v>170</v>
      </c>
      <c r="E34" s="270">
        <f t="shared" si="22"/>
        <v>170</v>
      </c>
      <c r="F34" s="270">
        <f t="shared" si="22"/>
        <v>170</v>
      </c>
      <c r="G34" s="382">
        <f t="shared" si="22"/>
        <v>170</v>
      </c>
      <c r="H34" s="270">
        <f t="shared" si="22"/>
        <v>120</v>
      </c>
      <c r="I34" s="270">
        <f t="shared" si="22"/>
        <v>120</v>
      </c>
      <c r="J34" s="270">
        <f t="shared" si="22"/>
        <v>150</v>
      </c>
      <c r="K34" s="270">
        <f t="shared" si="22"/>
        <v>150</v>
      </c>
      <c r="L34" s="382">
        <f t="shared" si="22"/>
        <v>150</v>
      </c>
      <c r="M34" s="382">
        <f t="shared" si="22"/>
        <v>150</v>
      </c>
      <c r="N34" s="382">
        <f t="shared" si="22"/>
        <v>150</v>
      </c>
      <c r="O34" s="382">
        <f t="shared" si="22"/>
        <v>150</v>
      </c>
      <c r="P34" s="382">
        <f t="shared" si="22"/>
        <v>150</v>
      </c>
    </row>
    <row r="35" spans="1:17" s="32" customFormat="1" x14ac:dyDescent="0.2">
      <c r="A35" s="33"/>
      <c r="B35" s="205" t="s">
        <v>214</v>
      </c>
      <c r="C35" s="204">
        <f>+'[6]ТЭЦ-1'!$G$92</f>
        <v>133</v>
      </c>
      <c r="D35" s="105">
        <f>+C35</f>
        <v>133</v>
      </c>
      <c r="E35" s="105">
        <f t="shared" ref="E35:G36" si="23">+D35</f>
        <v>133</v>
      </c>
      <c r="F35" s="105">
        <f t="shared" si="23"/>
        <v>133</v>
      </c>
      <c r="G35" s="377">
        <f t="shared" si="23"/>
        <v>133</v>
      </c>
      <c r="H35" s="540">
        <f>+H25</f>
        <v>120</v>
      </c>
      <c r="I35" s="540">
        <f t="shared" ref="I35:P35" si="24">+I25</f>
        <v>120</v>
      </c>
      <c r="J35" s="540">
        <f t="shared" si="24"/>
        <v>150</v>
      </c>
      <c r="K35" s="540">
        <f t="shared" si="24"/>
        <v>150</v>
      </c>
      <c r="L35" s="540">
        <f t="shared" si="24"/>
        <v>150</v>
      </c>
      <c r="M35" s="540">
        <f t="shared" si="24"/>
        <v>150</v>
      </c>
      <c r="N35" s="540">
        <f t="shared" si="24"/>
        <v>150</v>
      </c>
      <c r="O35" s="540">
        <f t="shared" si="24"/>
        <v>150</v>
      </c>
      <c r="P35" s="540">
        <f t="shared" si="24"/>
        <v>150</v>
      </c>
    </row>
    <row r="36" spans="1:17" s="32" customFormat="1" x14ac:dyDescent="0.2">
      <c r="A36" s="33"/>
      <c r="B36" s="205" t="s">
        <v>215</v>
      </c>
      <c r="C36" s="204">
        <f>+'[6]ТЭЦ-1'!$G$93</f>
        <v>37</v>
      </c>
      <c r="D36" s="105">
        <f>+C36</f>
        <v>37</v>
      </c>
      <c r="E36" s="105">
        <f t="shared" si="23"/>
        <v>37</v>
      </c>
      <c r="F36" s="105">
        <f t="shared" si="23"/>
        <v>37</v>
      </c>
      <c r="G36" s="377">
        <f t="shared" si="23"/>
        <v>37</v>
      </c>
      <c r="H36" s="373"/>
      <c r="I36" s="373"/>
      <c r="J36" s="373"/>
      <c r="K36" s="373"/>
      <c r="L36" s="373"/>
      <c r="M36" s="373"/>
      <c r="N36" s="373"/>
      <c r="O36" s="373"/>
      <c r="P36" s="373"/>
    </row>
    <row r="37" spans="1:17" s="67" customFormat="1" x14ac:dyDescent="0.2">
      <c r="A37" s="108">
        <v>7</v>
      </c>
      <c r="B37" s="109" t="s">
        <v>402</v>
      </c>
      <c r="C37" s="102">
        <f>+C38</f>
        <v>139.041</v>
      </c>
      <c r="D37" s="102">
        <f t="shared" ref="D37:P37" si="25">+D38</f>
        <v>139.041</v>
      </c>
      <c r="E37" s="102">
        <f t="shared" si="25"/>
        <v>139.041</v>
      </c>
      <c r="F37" s="102">
        <f t="shared" si="25"/>
        <v>143.191</v>
      </c>
      <c r="G37" s="383">
        <f t="shared" si="25"/>
        <v>146.57900000000001</v>
      </c>
      <c r="H37" s="102">
        <f t="shared" si="25"/>
        <v>149.96699999999998</v>
      </c>
      <c r="I37" s="426">
        <f t="shared" si="25"/>
        <v>153.35499999999999</v>
      </c>
      <c r="J37" s="102">
        <f t="shared" si="25"/>
        <v>156.74299999999999</v>
      </c>
      <c r="K37" s="102">
        <f t="shared" si="25"/>
        <v>160.131</v>
      </c>
      <c r="L37" s="102">
        <f t="shared" si="25"/>
        <v>160.40699999999998</v>
      </c>
      <c r="M37" s="102">
        <f t="shared" si="25"/>
        <v>160.68299999999999</v>
      </c>
      <c r="N37" s="102">
        <f t="shared" si="25"/>
        <v>160.959</v>
      </c>
      <c r="O37" s="102">
        <f t="shared" si="25"/>
        <v>161.23500000000001</v>
      </c>
      <c r="P37" s="102">
        <f t="shared" si="25"/>
        <v>161.511</v>
      </c>
    </row>
    <row r="38" spans="1:17" s="96" customFormat="1" x14ac:dyDescent="0.2">
      <c r="A38" s="131"/>
      <c r="B38" s="225" t="s">
        <v>214</v>
      </c>
      <c r="C38" s="228">
        <f>SUM(C39:C42)</f>
        <v>139.041</v>
      </c>
      <c r="D38" s="228">
        <f>SUM(D39:D42)</f>
        <v>139.041</v>
      </c>
      <c r="E38" s="228">
        <f t="shared" ref="E38:P38" si="26">SUM(E39:E42)</f>
        <v>139.041</v>
      </c>
      <c r="F38" s="228">
        <f t="shared" si="26"/>
        <v>143.191</v>
      </c>
      <c r="G38" s="228">
        <f t="shared" si="26"/>
        <v>146.57900000000001</v>
      </c>
      <c r="H38" s="228">
        <f t="shared" si="26"/>
        <v>149.96699999999998</v>
      </c>
      <c r="I38" s="228">
        <f t="shared" si="26"/>
        <v>153.35499999999999</v>
      </c>
      <c r="J38" s="228">
        <f t="shared" si="26"/>
        <v>156.74299999999999</v>
      </c>
      <c r="K38" s="228">
        <f t="shared" si="26"/>
        <v>160.131</v>
      </c>
      <c r="L38" s="228">
        <f t="shared" si="26"/>
        <v>160.40699999999998</v>
      </c>
      <c r="M38" s="228">
        <f t="shared" si="26"/>
        <v>160.68299999999999</v>
      </c>
      <c r="N38" s="228">
        <f t="shared" si="26"/>
        <v>160.959</v>
      </c>
      <c r="O38" s="228">
        <f t="shared" si="26"/>
        <v>161.23500000000001</v>
      </c>
      <c r="P38" s="228">
        <f t="shared" si="26"/>
        <v>161.511</v>
      </c>
    </row>
    <row r="39" spans="1:17" s="236" customFormat="1" x14ac:dyDescent="0.2">
      <c r="A39" s="353"/>
      <c r="B39" s="354" t="s">
        <v>415</v>
      </c>
      <c r="C39" s="355">
        <f>+'[6]ТЭЦ-1'!$G$96</f>
        <v>80.367999999999995</v>
      </c>
      <c r="D39" s="356">
        <f>+C39</f>
        <v>80.367999999999995</v>
      </c>
      <c r="E39" s="356">
        <f t="shared" ref="E39:P40" si="27">+D39</f>
        <v>80.367999999999995</v>
      </c>
      <c r="F39" s="356">
        <f t="shared" si="27"/>
        <v>80.367999999999995</v>
      </c>
      <c r="G39" s="384">
        <f t="shared" si="27"/>
        <v>80.367999999999995</v>
      </c>
      <c r="H39" s="384">
        <f t="shared" si="27"/>
        <v>80.367999999999995</v>
      </c>
      <c r="I39" s="242">
        <f t="shared" si="27"/>
        <v>80.367999999999995</v>
      </c>
      <c r="J39" s="356">
        <f t="shared" si="27"/>
        <v>80.367999999999995</v>
      </c>
      <c r="K39" s="356">
        <f t="shared" si="27"/>
        <v>80.367999999999995</v>
      </c>
      <c r="L39" s="356">
        <f t="shared" si="27"/>
        <v>80.367999999999995</v>
      </c>
      <c r="M39" s="356">
        <f t="shared" si="27"/>
        <v>80.367999999999995</v>
      </c>
      <c r="N39" s="356">
        <f t="shared" si="27"/>
        <v>80.367999999999995</v>
      </c>
      <c r="O39" s="356">
        <f t="shared" si="27"/>
        <v>80.367999999999995</v>
      </c>
      <c r="P39" s="356">
        <f t="shared" si="27"/>
        <v>80.367999999999995</v>
      </c>
    </row>
    <row r="40" spans="1:17" s="236" customFormat="1" x14ac:dyDescent="0.2">
      <c r="A40" s="353"/>
      <c r="B40" s="354" t="s">
        <v>416</v>
      </c>
      <c r="C40" s="355">
        <f>+'[6]ТЭЦ-1'!$G$97</f>
        <v>58.673000000000002</v>
      </c>
      <c r="D40" s="356">
        <f>+C40</f>
        <v>58.673000000000002</v>
      </c>
      <c r="E40" s="356">
        <f t="shared" si="27"/>
        <v>58.673000000000002</v>
      </c>
      <c r="F40" s="356">
        <f t="shared" si="27"/>
        <v>58.673000000000002</v>
      </c>
      <c r="G40" s="384">
        <f t="shared" si="27"/>
        <v>58.673000000000002</v>
      </c>
      <c r="H40" s="384">
        <f t="shared" si="27"/>
        <v>58.673000000000002</v>
      </c>
      <c r="I40" s="242">
        <f t="shared" si="27"/>
        <v>58.673000000000002</v>
      </c>
      <c r="J40" s="356">
        <f t="shared" si="27"/>
        <v>58.673000000000002</v>
      </c>
      <c r="K40" s="356">
        <f t="shared" si="27"/>
        <v>58.673000000000002</v>
      </c>
      <c r="L40" s="356">
        <f t="shared" si="27"/>
        <v>58.673000000000002</v>
      </c>
      <c r="M40" s="356">
        <f t="shared" si="27"/>
        <v>58.673000000000002</v>
      </c>
      <c r="N40" s="356">
        <f t="shared" si="27"/>
        <v>58.673000000000002</v>
      </c>
      <c r="O40" s="356">
        <f t="shared" si="27"/>
        <v>58.673000000000002</v>
      </c>
      <c r="P40" s="356">
        <f t="shared" si="27"/>
        <v>58.673000000000002</v>
      </c>
    </row>
    <row r="41" spans="1:17" s="349" customFormat="1" x14ac:dyDescent="0.2">
      <c r="A41" s="357"/>
      <c r="B41" s="358" t="s">
        <v>413</v>
      </c>
      <c r="C41" s="352"/>
      <c r="D41" s="352"/>
      <c r="E41" s="352"/>
      <c r="F41" s="351">
        <f>+'[2]ТЭЦ-1'!K$98-1.5</f>
        <v>2.08</v>
      </c>
      <c r="G41" s="351">
        <f>+'[2]ТЭЦ-1'!L$98-1.5</f>
        <v>3.774</v>
      </c>
      <c r="H41" s="351">
        <f>+'[2]ТЭЦ-1'!M$98-1.5</f>
        <v>5.468</v>
      </c>
      <c r="I41" s="351">
        <f>+'[2]ТЭЦ-1'!N$98-1.5</f>
        <v>7.1620000000000008</v>
      </c>
      <c r="J41" s="351">
        <f>+'[2]ТЭЦ-1'!O$98-1.5</f>
        <v>8.8560000000000016</v>
      </c>
      <c r="K41" s="351">
        <f>+'[2]ТЭЦ-1'!P$98-1.5</f>
        <v>10.550000000000002</v>
      </c>
      <c r="L41" s="351">
        <f>+'[2]ТЭЦ-1'!Q$98-1.5</f>
        <v>10.688000000000002</v>
      </c>
      <c r="M41" s="351">
        <f>+'[2]ТЭЦ-1'!R$98-1.5</f>
        <v>10.826000000000002</v>
      </c>
      <c r="N41" s="351">
        <f>+'[2]ТЭЦ-1'!S$98-1.5</f>
        <v>10.964000000000002</v>
      </c>
      <c r="O41" s="351">
        <f>+'[2]ТЭЦ-1'!T$98-1.5</f>
        <v>11.102000000000002</v>
      </c>
      <c r="P41" s="351">
        <f>+'[2]ТЭЦ-1'!U$98-1.5</f>
        <v>11.240000000000002</v>
      </c>
    </row>
    <row r="42" spans="1:17" s="349" customFormat="1" x14ac:dyDescent="0.2">
      <c r="A42" s="357"/>
      <c r="B42" s="358" t="s">
        <v>414</v>
      </c>
      <c r="C42" s="352"/>
      <c r="D42" s="352"/>
      <c r="E42" s="352"/>
      <c r="F42" s="351">
        <f>+'[2]ТЭЦ-1'!K$99-0.1</f>
        <v>2.0699999999999998</v>
      </c>
      <c r="G42" s="351">
        <f>+'[2]ТЭЦ-1'!L$99-0.1</f>
        <v>3.7639999999999998</v>
      </c>
      <c r="H42" s="351">
        <f>+'[2]ТЭЦ-1'!M$99-0.1</f>
        <v>5.4580000000000002</v>
      </c>
      <c r="I42" s="351">
        <f>+'[2]ТЭЦ-1'!N$99-0.1</f>
        <v>7.1520000000000001</v>
      </c>
      <c r="J42" s="351">
        <f>+'[2]ТЭЦ-1'!O$99-0.1</f>
        <v>8.8460000000000001</v>
      </c>
      <c r="K42" s="351">
        <f>+'[2]ТЭЦ-1'!P$99-0.1</f>
        <v>10.540000000000001</v>
      </c>
      <c r="L42" s="351">
        <f>+'[2]ТЭЦ-1'!Q$99-0.1</f>
        <v>10.678000000000001</v>
      </c>
      <c r="M42" s="351">
        <f>+'[2]ТЭЦ-1'!R$99-0.1</f>
        <v>10.816000000000001</v>
      </c>
      <c r="N42" s="351">
        <f>+'[2]ТЭЦ-1'!S$99-0.1</f>
        <v>10.954000000000001</v>
      </c>
      <c r="O42" s="351">
        <f>+'[2]ТЭЦ-1'!T$99-0.1</f>
        <v>11.092000000000001</v>
      </c>
      <c r="P42" s="351">
        <f>+'[2]ТЭЦ-1'!U$99-0.1</f>
        <v>11.23</v>
      </c>
    </row>
    <row r="43" spans="1:17" s="96" customFormat="1" x14ac:dyDescent="0.2">
      <c r="A43" s="131"/>
      <c r="B43" s="225" t="s">
        <v>215</v>
      </c>
      <c r="C43" s="226">
        <v>0</v>
      </c>
      <c r="D43" s="226">
        <v>0</v>
      </c>
      <c r="E43" s="226">
        <v>0</v>
      </c>
      <c r="F43" s="226">
        <v>0</v>
      </c>
      <c r="G43" s="385">
        <v>0</v>
      </c>
      <c r="H43" s="226">
        <v>0</v>
      </c>
      <c r="I43" s="229">
        <v>0</v>
      </c>
      <c r="J43" s="226">
        <v>0</v>
      </c>
      <c r="K43" s="226">
        <v>0</v>
      </c>
      <c r="L43" s="226">
        <v>0</v>
      </c>
      <c r="M43" s="226">
        <v>0</v>
      </c>
      <c r="N43" s="226">
        <v>0</v>
      </c>
      <c r="O43" s="226">
        <v>0</v>
      </c>
      <c r="P43" s="226">
        <v>0</v>
      </c>
    </row>
    <row r="44" spans="1:17" s="453" customFormat="1" ht="22.5" x14ac:dyDescent="0.2">
      <c r="A44" s="451"/>
      <c r="B44" s="452" t="s">
        <v>458</v>
      </c>
      <c r="C44" s="454">
        <f>(+'[5]1'!K$55/744+'[5]1'!L$55/744+[7]январь!$K$55/744)/3</f>
        <v>54.371191756272395</v>
      </c>
      <c r="D44" s="461">
        <f>+$C44+D41*($C44/$C39)</f>
        <v>54.371191756272395</v>
      </c>
      <c r="E44" s="461">
        <f>+$C44+E41*($C44/$C39)</f>
        <v>54.371191756272395</v>
      </c>
      <c r="F44" s="461">
        <f t="shared" ref="F44:J45" si="28">+$C44+F41*($C44/$C39)</f>
        <v>55.778369723287213</v>
      </c>
      <c r="G44" s="461">
        <f t="shared" si="28"/>
        <v>56.924407932961778</v>
      </c>
      <c r="H44" s="461">
        <f t="shared" si="28"/>
        <v>58.070446142636342</v>
      </c>
      <c r="I44" s="461">
        <f t="shared" si="28"/>
        <v>59.216484352310907</v>
      </c>
      <c r="J44" s="461">
        <f t="shared" si="28"/>
        <v>60.362522561985472</v>
      </c>
      <c r="K44" s="461">
        <f>+$C44+K41*($C44/$C39)</f>
        <v>61.508560771660036</v>
      </c>
      <c r="L44" s="461">
        <f>+$C44+L41*($C44/$C39)</f>
        <v>61.60192161754852</v>
      </c>
      <c r="M44" s="461">
        <f t="shared" ref="M44:M45" si="29">+$C44+M41*($C44/$C39)</f>
        <v>61.695282463437003</v>
      </c>
      <c r="N44" s="461">
        <f>+$C44+N41*($C44/$C39)</f>
        <v>61.788643309325487</v>
      </c>
      <c r="O44" s="461">
        <f>+$C44+O41*($C44/$C39)</f>
        <v>61.88200415521397</v>
      </c>
      <c r="P44" s="461">
        <f t="shared" ref="P44:P45" si="30">+$C44+P41*($C44/$C39)</f>
        <v>61.975365001102453</v>
      </c>
    </row>
    <row r="45" spans="1:17" s="453" customFormat="1" x14ac:dyDescent="0.2">
      <c r="A45" s="451"/>
      <c r="B45" s="452" t="s">
        <v>457</v>
      </c>
      <c r="C45" s="454">
        <f>(+'[5]1'!Q$55/744+'[5]1'!R$55/744+[7]январь!$Q$55/744)/3</f>
        <v>27.565170250896056</v>
      </c>
      <c r="D45" s="461">
        <f>+$C45+D42*($C45/$C40)</f>
        <v>27.565170250896056</v>
      </c>
      <c r="E45" s="461">
        <f>+$C45+E42*($C45/$C40)</f>
        <v>27.565170250896056</v>
      </c>
      <c r="F45" s="461">
        <f t="shared" si="28"/>
        <v>28.53767723740356</v>
      </c>
      <c r="G45" s="461">
        <f t="shared" si="28"/>
        <v>29.333535611869124</v>
      </c>
      <c r="H45" s="461">
        <f t="shared" si="28"/>
        <v>30.129393986334684</v>
      </c>
      <c r="I45" s="461">
        <f t="shared" si="28"/>
        <v>30.925252360800247</v>
      </c>
      <c r="J45" s="461">
        <f t="shared" si="28"/>
        <v>31.72111073526581</v>
      </c>
      <c r="K45" s="461">
        <f>+$C45+K42*($C45/$C40)</f>
        <v>32.51696910973137</v>
      </c>
      <c r="L45" s="461">
        <f>+$C45+L42*($C45/$C40)</f>
        <v>32.581802908831875</v>
      </c>
      <c r="M45" s="461">
        <f t="shared" si="29"/>
        <v>32.646636707932373</v>
      </c>
      <c r="N45" s="461">
        <f>+$C45+N42*($C45/$C40)</f>
        <v>32.711470507032871</v>
      </c>
      <c r="O45" s="461">
        <f>+$C45+O42*($C45/$C40)</f>
        <v>32.776304306133369</v>
      </c>
      <c r="P45" s="461">
        <f t="shared" si="30"/>
        <v>32.841138105233874</v>
      </c>
    </row>
    <row r="46" spans="1:17" s="35" customFormat="1" x14ac:dyDescent="0.2">
      <c r="A46" s="33" t="s">
        <v>175</v>
      </c>
      <c r="B46" s="110" t="s">
        <v>220</v>
      </c>
      <c r="C46" s="174">
        <f t="shared" ref="C46:P46" si="31">C37/C25</f>
        <v>0.84781097560975605</v>
      </c>
      <c r="D46" s="174">
        <f t="shared" si="31"/>
        <v>0.84781097560975605</v>
      </c>
      <c r="E46" s="174">
        <f t="shared" si="31"/>
        <v>0.84781097560975605</v>
      </c>
      <c r="F46" s="174">
        <f t="shared" si="31"/>
        <v>0.87311585365853661</v>
      </c>
      <c r="G46" s="386">
        <f t="shared" si="31"/>
        <v>0.89377439024390248</v>
      </c>
      <c r="H46" s="174">
        <f t="shared" si="31"/>
        <v>1.249725</v>
      </c>
      <c r="I46" s="70">
        <f t="shared" si="31"/>
        <v>1.2779583333333333</v>
      </c>
      <c r="J46" s="174">
        <f t="shared" si="31"/>
        <v>1.0449533333333334</v>
      </c>
      <c r="K46" s="174">
        <f t="shared" si="31"/>
        <v>1.0675399999999999</v>
      </c>
      <c r="L46" s="174">
        <f t="shared" si="31"/>
        <v>1.0693799999999998</v>
      </c>
      <c r="M46" s="174">
        <f t="shared" si="31"/>
        <v>1.0712200000000001</v>
      </c>
      <c r="N46" s="174">
        <f t="shared" si="31"/>
        <v>1.0730600000000001</v>
      </c>
      <c r="O46" s="174">
        <f t="shared" si="31"/>
        <v>1.0749000000000002</v>
      </c>
      <c r="P46" s="174">
        <f t="shared" si="31"/>
        <v>1.07674</v>
      </c>
      <c r="Q46" s="32"/>
    </row>
    <row r="47" spans="1:17" s="35" customFormat="1" x14ac:dyDescent="0.2">
      <c r="A47" s="33" t="s">
        <v>221</v>
      </c>
      <c r="B47" s="110" t="s">
        <v>222</v>
      </c>
      <c r="C47" s="174">
        <f t="shared" ref="C47:P47" si="32">+C38/C35</f>
        <v>1.045421052631579</v>
      </c>
      <c r="D47" s="174">
        <f t="shared" si="32"/>
        <v>1.045421052631579</v>
      </c>
      <c r="E47" s="174">
        <f t="shared" si="32"/>
        <v>1.045421052631579</v>
      </c>
      <c r="F47" s="174">
        <f t="shared" si="32"/>
        <v>1.076624060150376</v>
      </c>
      <c r="G47" s="386">
        <f t="shared" si="32"/>
        <v>1.1020977443609024</v>
      </c>
      <c r="H47" s="174">
        <f t="shared" si="32"/>
        <v>1.249725</v>
      </c>
      <c r="I47" s="70">
        <f t="shared" si="32"/>
        <v>1.2779583333333333</v>
      </c>
      <c r="J47" s="174">
        <f t="shared" si="32"/>
        <v>1.0449533333333334</v>
      </c>
      <c r="K47" s="174">
        <f t="shared" si="32"/>
        <v>1.0675399999999999</v>
      </c>
      <c r="L47" s="174">
        <f t="shared" si="32"/>
        <v>1.0693799999999998</v>
      </c>
      <c r="M47" s="174">
        <f t="shared" si="32"/>
        <v>1.0712200000000001</v>
      </c>
      <c r="N47" s="174">
        <f t="shared" si="32"/>
        <v>1.0730600000000001</v>
      </c>
      <c r="O47" s="174">
        <f t="shared" si="32"/>
        <v>1.0749000000000002</v>
      </c>
      <c r="P47" s="174">
        <f t="shared" si="32"/>
        <v>1.07674</v>
      </c>
      <c r="Q47" s="32"/>
    </row>
    <row r="48" spans="1:17" s="35" customFormat="1" ht="22.5" x14ac:dyDescent="0.2">
      <c r="A48" s="33" t="s">
        <v>223</v>
      </c>
      <c r="B48" s="110" t="s">
        <v>459</v>
      </c>
      <c r="C48" s="331">
        <f>+(C44+C45)/C35</f>
        <v>0.6160628722343493</v>
      </c>
      <c r="D48" s="331">
        <f t="shared" ref="D48:P48" si="33">+(D44+D45)/D35</f>
        <v>0.6160628722343493</v>
      </c>
      <c r="E48" s="331">
        <f t="shared" si="33"/>
        <v>0.6160628722343493</v>
      </c>
      <c r="F48" s="331">
        <f t="shared" si="33"/>
        <v>0.63395524030594563</v>
      </c>
      <c r="G48" s="331">
        <f t="shared" si="33"/>
        <v>0.64855596650248803</v>
      </c>
      <c r="H48" s="331">
        <f t="shared" si="33"/>
        <v>0.7349986677414253</v>
      </c>
      <c r="I48" s="331">
        <f t="shared" si="33"/>
        <v>0.75118113927592634</v>
      </c>
      <c r="J48" s="331">
        <f t="shared" si="33"/>
        <v>0.61389088864834185</v>
      </c>
      <c r="K48" s="331">
        <f t="shared" si="33"/>
        <v>0.62683686587594267</v>
      </c>
      <c r="L48" s="331">
        <f t="shared" si="33"/>
        <v>0.62789149684253587</v>
      </c>
      <c r="M48" s="331">
        <f t="shared" si="33"/>
        <v>0.62894612780912917</v>
      </c>
      <c r="N48" s="331">
        <f t="shared" si="33"/>
        <v>0.63000075877572237</v>
      </c>
      <c r="O48" s="331">
        <f t="shared" si="33"/>
        <v>0.63105538974231556</v>
      </c>
      <c r="P48" s="331">
        <f t="shared" si="33"/>
        <v>0.63211002070890887</v>
      </c>
      <c r="Q48" s="32"/>
    </row>
    <row r="49" spans="1:17" s="74" customFormat="1" x14ac:dyDescent="0.2">
      <c r="A49" s="71">
        <v>8</v>
      </c>
      <c r="B49" s="101" t="s">
        <v>176</v>
      </c>
      <c r="C49" s="103">
        <f>+C50+C54</f>
        <v>308.33985999999999</v>
      </c>
      <c r="D49" s="103">
        <f t="shared" ref="D49:P49" si="34">+D50+D54</f>
        <v>339.47571333333332</v>
      </c>
      <c r="E49" s="103">
        <f t="shared" si="34"/>
        <v>339.47571333333332</v>
      </c>
      <c r="F49" s="103">
        <f t="shared" si="34"/>
        <v>329.38125995466856</v>
      </c>
      <c r="G49" s="379">
        <f t="shared" si="34"/>
        <v>327.40112225294774</v>
      </c>
      <c r="H49" s="103">
        <f t="shared" si="34"/>
        <v>323.48642057016622</v>
      </c>
      <c r="I49" s="78">
        <f t="shared" si="34"/>
        <v>320.55908281240841</v>
      </c>
      <c r="J49" s="103">
        <f t="shared" si="34"/>
        <v>318.14490323490048</v>
      </c>
      <c r="K49" s="103">
        <f t="shared" si="34"/>
        <v>326.09187070833246</v>
      </c>
      <c r="L49" s="103">
        <f t="shared" si="34"/>
        <v>334.03883818176439</v>
      </c>
      <c r="M49" s="103">
        <f t="shared" si="34"/>
        <v>334.68622986496018</v>
      </c>
      <c r="N49" s="103">
        <f t="shared" si="34"/>
        <v>335.33362154815586</v>
      </c>
      <c r="O49" s="103">
        <f t="shared" si="34"/>
        <v>335.98101323135165</v>
      </c>
      <c r="P49" s="103">
        <f t="shared" si="34"/>
        <v>336.62840491454739</v>
      </c>
    </row>
    <row r="50" spans="1:17" s="130" customFormat="1" x14ac:dyDescent="0.2">
      <c r="A50" s="29" t="s">
        <v>177</v>
      </c>
      <c r="B50" s="149" t="s">
        <v>405</v>
      </c>
      <c r="C50" s="198">
        <f>SUM(C51:C53)</f>
        <v>206.78731999999999</v>
      </c>
      <c r="D50" s="198">
        <f t="shared" ref="D50:P50" si="35">SUM(D51:D53)</f>
        <v>237.9231733333333</v>
      </c>
      <c r="E50" s="198">
        <f t="shared" si="35"/>
        <v>237.9231733333333</v>
      </c>
      <c r="F50" s="198">
        <f t="shared" si="35"/>
        <v>230.84842752210923</v>
      </c>
      <c r="G50" s="388">
        <f t="shared" si="35"/>
        <v>228.79165425301719</v>
      </c>
      <c r="H50" s="228">
        <f t="shared" si="35"/>
        <v>225.49330123775539</v>
      </c>
      <c r="I50" s="198">
        <f t="shared" si="35"/>
        <v>222.88694694007441</v>
      </c>
      <c r="J50" s="198">
        <f t="shared" si="35"/>
        <v>220.64024200130686</v>
      </c>
      <c r="K50" s="198">
        <f t="shared" si="35"/>
        <v>225.65519640637689</v>
      </c>
      <c r="L50" s="198">
        <f t="shared" si="35"/>
        <v>230.67015081144689</v>
      </c>
      <c r="M50" s="198">
        <f t="shared" si="35"/>
        <v>231.07868900973477</v>
      </c>
      <c r="N50" s="198">
        <f t="shared" si="35"/>
        <v>231.48722720802263</v>
      </c>
      <c r="O50" s="198">
        <f t="shared" si="35"/>
        <v>231.89576540631052</v>
      </c>
      <c r="P50" s="198">
        <f t="shared" si="35"/>
        <v>232.30430360459837</v>
      </c>
    </row>
    <row r="51" spans="1:17" s="341" customFormat="1" x14ac:dyDescent="0.2">
      <c r="A51" s="339"/>
      <c r="B51" s="340" t="s">
        <v>404</v>
      </c>
      <c r="C51" s="111">
        <f>+'[4]4.4.Р_т'!$E$17</f>
        <v>206.78731999999999</v>
      </c>
      <c r="D51" s="111">
        <f>+'[4]4.4.Р_т'!$Y$17</f>
        <v>237.9231733333333</v>
      </c>
      <c r="E51" s="111">
        <f>+'[4]4.4.Р_т'!$Y$17</f>
        <v>237.9231733333333</v>
      </c>
      <c r="F51" s="198">
        <f t="shared" ref="F51:P56" si="36">+E51</f>
        <v>237.9231733333333</v>
      </c>
      <c r="G51" s="388">
        <f t="shared" si="36"/>
        <v>237.9231733333333</v>
      </c>
      <c r="H51" s="228">
        <f t="shared" si="36"/>
        <v>237.9231733333333</v>
      </c>
      <c r="I51" s="198">
        <f t="shared" si="36"/>
        <v>237.9231733333333</v>
      </c>
      <c r="J51" s="198">
        <f t="shared" si="36"/>
        <v>237.9231733333333</v>
      </c>
      <c r="K51" s="198">
        <f t="shared" si="36"/>
        <v>237.9231733333333</v>
      </c>
      <c r="L51" s="198">
        <f t="shared" si="36"/>
        <v>237.9231733333333</v>
      </c>
      <c r="M51" s="198">
        <f t="shared" si="36"/>
        <v>237.9231733333333</v>
      </c>
      <c r="N51" s="198">
        <f t="shared" si="36"/>
        <v>237.9231733333333</v>
      </c>
      <c r="O51" s="198">
        <f t="shared" si="36"/>
        <v>237.9231733333333</v>
      </c>
      <c r="P51" s="198">
        <f t="shared" si="36"/>
        <v>237.9231733333333</v>
      </c>
    </row>
    <row r="52" spans="1:17" s="240" customFormat="1" ht="22.5" x14ac:dyDescent="0.2">
      <c r="A52" s="237"/>
      <c r="B52" s="238" t="s">
        <v>357</v>
      </c>
      <c r="C52" s="241"/>
      <c r="D52" s="241"/>
      <c r="E52" s="241"/>
      <c r="F52" s="462">
        <f>F51*Сети!F$31</f>
        <v>-7.0747458112240755</v>
      </c>
      <c r="G52" s="462">
        <f>G51*Сети!G31</f>
        <v>-15.289196271901481</v>
      </c>
      <c r="H52" s="462">
        <f>H51*Сети!H31</f>
        <v>-23.602503692233284</v>
      </c>
      <c r="I52" s="462">
        <f>I51*Сети!I31</f>
        <v>-31.223812394984307</v>
      </c>
      <c r="J52" s="462">
        <f>J51*Сети!J31</f>
        <v>-38.485471738821829</v>
      </c>
      <c r="K52" s="198">
        <f t="shared" si="36"/>
        <v>-38.485471738821829</v>
      </c>
      <c r="L52" s="198">
        <f t="shared" si="36"/>
        <v>-38.485471738821829</v>
      </c>
      <c r="M52" s="198">
        <f t="shared" si="36"/>
        <v>-38.485471738821829</v>
      </c>
      <c r="N52" s="198">
        <f t="shared" si="36"/>
        <v>-38.485471738821829</v>
      </c>
      <c r="O52" s="198">
        <f t="shared" si="36"/>
        <v>-38.485471738821829</v>
      </c>
      <c r="P52" s="198">
        <f t="shared" si="36"/>
        <v>-38.485471738821829</v>
      </c>
    </row>
    <row r="53" spans="1:17" s="265" customFormat="1" x14ac:dyDescent="0.2">
      <c r="A53" s="359"/>
      <c r="B53" s="360" t="s">
        <v>358</v>
      </c>
      <c r="C53" s="241"/>
      <c r="D53" s="117">
        <f>D51/C39*C41</f>
        <v>0</v>
      </c>
      <c r="E53" s="117">
        <f>E51/D39*D41</f>
        <v>0</v>
      </c>
      <c r="F53" s="117">
        <f>F51/E39*E41</f>
        <v>0</v>
      </c>
      <c r="G53" s="117">
        <f>G51/F39*F41</f>
        <v>6.1576771915853739</v>
      </c>
      <c r="H53" s="117">
        <f t="shared" ref="H53:P53" si="37">H51/G39*G41</f>
        <v>11.172631596655386</v>
      </c>
      <c r="I53" s="117">
        <f t="shared" si="37"/>
        <v>16.187586001725396</v>
      </c>
      <c r="J53" s="117">
        <f t="shared" si="37"/>
        <v>21.202540406795411</v>
      </c>
      <c r="K53" s="117">
        <f t="shared" si="37"/>
        <v>26.217494811865421</v>
      </c>
      <c r="L53" s="117">
        <f t="shared" si="37"/>
        <v>31.232449216935436</v>
      </c>
      <c r="M53" s="117">
        <f t="shared" si="37"/>
        <v>31.640987415223311</v>
      </c>
      <c r="N53" s="117">
        <f t="shared" si="37"/>
        <v>32.049525613511186</v>
      </c>
      <c r="O53" s="117">
        <f t="shared" si="37"/>
        <v>32.458063811799065</v>
      </c>
      <c r="P53" s="117">
        <f t="shared" si="37"/>
        <v>32.866602010086936</v>
      </c>
    </row>
    <row r="54" spans="1:17" s="130" customFormat="1" x14ac:dyDescent="0.2">
      <c r="A54" s="29" t="s">
        <v>180</v>
      </c>
      <c r="B54" s="149" t="s">
        <v>210</v>
      </c>
      <c r="C54" s="198">
        <f>SUM(C55:C57)</f>
        <v>101.55254000000001</v>
      </c>
      <c r="D54" s="198">
        <f>SUM(D55:D57)</f>
        <v>101.55254000000001</v>
      </c>
      <c r="E54" s="198">
        <f>SUM(E55:E57)</f>
        <v>101.55254000000001</v>
      </c>
      <c r="F54" s="198">
        <f t="shared" ref="F54:P54" si="38">SUM(F55:F57)</f>
        <v>98.532832432559331</v>
      </c>
      <c r="G54" s="388">
        <f t="shared" si="38"/>
        <v>98.609467999930544</v>
      </c>
      <c r="H54" s="228">
        <f t="shared" si="38"/>
        <v>97.993119332410814</v>
      </c>
      <c r="I54" s="198">
        <f t="shared" si="38"/>
        <v>97.672135872333982</v>
      </c>
      <c r="J54" s="198">
        <f t="shared" si="38"/>
        <v>97.504661233593623</v>
      </c>
      <c r="K54" s="198">
        <f t="shared" si="38"/>
        <v>100.43667430195556</v>
      </c>
      <c r="L54" s="198">
        <f t="shared" si="38"/>
        <v>103.3686873703175</v>
      </c>
      <c r="M54" s="198">
        <f t="shared" si="38"/>
        <v>103.60754085522538</v>
      </c>
      <c r="N54" s="198">
        <f t="shared" si="38"/>
        <v>103.84639434013326</v>
      </c>
      <c r="O54" s="198">
        <f t="shared" si="38"/>
        <v>104.08524782504114</v>
      </c>
      <c r="P54" s="198">
        <f t="shared" si="38"/>
        <v>104.32410130994901</v>
      </c>
    </row>
    <row r="55" spans="1:17" s="341" customFormat="1" x14ac:dyDescent="0.2">
      <c r="A55" s="339"/>
      <c r="B55" s="340" t="s">
        <v>406</v>
      </c>
      <c r="C55" s="111">
        <f>+'[4]4.4.Р_т'!$I$17</f>
        <v>101.55254000000001</v>
      </c>
      <c r="D55" s="111">
        <f>+C55</f>
        <v>101.55254000000001</v>
      </c>
      <c r="E55" s="198">
        <f t="shared" ref="E55" si="39">+D55</f>
        <v>101.55254000000001</v>
      </c>
      <c r="F55" s="198">
        <f t="shared" si="36"/>
        <v>101.55254000000001</v>
      </c>
      <c r="G55" s="388">
        <f t="shared" si="36"/>
        <v>101.55254000000001</v>
      </c>
      <c r="H55" s="228">
        <f t="shared" si="36"/>
        <v>101.55254000000001</v>
      </c>
      <c r="I55" s="198">
        <f t="shared" si="36"/>
        <v>101.55254000000001</v>
      </c>
      <c r="J55" s="198">
        <f t="shared" si="36"/>
        <v>101.55254000000001</v>
      </c>
      <c r="K55" s="198">
        <f t="shared" si="36"/>
        <v>101.55254000000001</v>
      </c>
      <c r="L55" s="198">
        <f t="shared" si="36"/>
        <v>101.55254000000001</v>
      </c>
      <c r="M55" s="198">
        <f t="shared" si="36"/>
        <v>101.55254000000001</v>
      </c>
      <c r="N55" s="198">
        <f t="shared" si="36"/>
        <v>101.55254000000001</v>
      </c>
      <c r="O55" s="198">
        <f t="shared" si="36"/>
        <v>101.55254000000001</v>
      </c>
      <c r="P55" s="198">
        <f t="shared" si="36"/>
        <v>101.55254000000001</v>
      </c>
    </row>
    <row r="56" spans="1:17" s="240" customFormat="1" ht="22.5" x14ac:dyDescent="0.2">
      <c r="A56" s="237"/>
      <c r="B56" s="238" t="s">
        <v>357</v>
      </c>
      <c r="C56" s="241"/>
      <c r="D56" s="241"/>
      <c r="E56" s="241"/>
      <c r="F56" s="462">
        <f>F55*Сети!F$31</f>
        <v>-3.0197075674406726</v>
      </c>
      <c r="G56" s="462">
        <f>G55*Сети!G$31</f>
        <v>-6.5258742736876449</v>
      </c>
      <c r="H56" s="462">
        <f>H55*Сети!H$31</f>
        <v>-10.074236009569317</v>
      </c>
      <c r="I56" s="462">
        <f>I55*Сети!I$31</f>
        <v>-13.327232538008097</v>
      </c>
      <c r="J56" s="462">
        <f>J55*Сети!J$31</f>
        <v>-16.426720245110385</v>
      </c>
      <c r="K56" s="198">
        <f t="shared" si="36"/>
        <v>-16.426720245110385</v>
      </c>
      <c r="L56" s="198">
        <f t="shared" si="36"/>
        <v>-16.426720245110385</v>
      </c>
      <c r="M56" s="198">
        <f t="shared" si="36"/>
        <v>-16.426720245110385</v>
      </c>
      <c r="N56" s="198">
        <f t="shared" si="36"/>
        <v>-16.426720245110385</v>
      </c>
      <c r="O56" s="198">
        <f t="shared" si="36"/>
        <v>-16.426720245110385</v>
      </c>
      <c r="P56" s="198">
        <f t="shared" si="36"/>
        <v>-16.426720245110385</v>
      </c>
    </row>
    <row r="57" spans="1:17" s="265" customFormat="1" x14ac:dyDescent="0.2">
      <c r="A57" s="359"/>
      <c r="B57" s="360" t="s">
        <v>358</v>
      </c>
      <c r="C57" s="241"/>
      <c r="D57" s="117">
        <f>D55/C40*C42</f>
        <v>0</v>
      </c>
      <c r="E57" s="117">
        <f t="shared" ref="E57:P57" si="40">E55/D40*D42</f>
        <v>0</v>
      </c>
      <c r="F57" s="117">
        <f t="shared" si="40"/>
        <v>0</v>
      </c>
      <c r="G57" s="117">
        <f t="shared" si="40"/>
        <v>3.582802273618189</v>
      </c>
      <c r="H57" s="117">
        <f t="shared" si="40"/>
        <v>6.5148153419801274</v>
      </c>
      <c r="I57" s="117">
        <f t="shared" si="40"/>
        <v>9.4468284103420661</v>
      </c>
      <c r="J57" s="117">
        <f t="shared" si="40"/>
        <v>12.378841478704006</v>
      </c>
      <c r="K57" s="117">
        <f t="shared" si="40"/>
        <v>15.310854547065944</v>
      </c>
      <c r="L57" s="117">
        <f t="shared" si="40"/>
        <v>18.242867615427883</v>
      </c>
      <c r="M57" s="117">
        <f t="shared" si="40"/>
        <v>18.481721100335761</v>
      </c>
      <c r="N57" s="117">
        <f t="shared" si="40"/>
        <v>18.720574585243643</v>
      </c>
      <c r="O57" s="117">
        <f t="shared" si="40"/>
        <v>18.959428070151521</v>
      </c>
      <c r="P57" s="117">
        <f t="shared" si="40"/>
        <v>19.198281555059399</v>
      </c>
    </row>
    <row r="58" spans="1:17" x14ac:dyDescent="0.2">
      <c r="A58" s="29" t="s">
        <v>207</v>
      </c>
      <c r="B58" s="3" t="s">
        <v>178</v>
      </c>
      <c r="C58" s="111">
        <f>+'[4]4.4.Р_т'!$E$18</f>
        <v>0.71899999999999997</v>
      </c>
      <c r="D58" s="111">
        <f>+'[4]4.4.Р_т'!$Y$18</f>
        <v>0.82499999999999996</v>
      </c>
      <c r="E58" s="90">
        <f t="shared" ref="E58:P58" si="41">+D58</f>
        <v>0.82499999999999996</v>
      </c>
      <c r="F58" s="90">
        <f t="shared" si="41"/>
        <v>0.82499999999999996</v>
      </c>
      <c r="G58" s="372">
        <f t="shared" si="41"/>
        <v>0.82499999999999996</v>
      </c>
      <c r="H58" s="90">
        <f t="shared" si="41"/>
        <v>0.82499999999999996</v>
      </c>
      <c r="I58" s="423">
        <f t="shared" si="41"/>
        <v>0.82499999999999996</v>
      </c>
      <c r="J58" s="90">
        <f t="shared" si="41"/>
        <v>0.82499999999999996</v>
      </c>
      <c r="K58" s="90">
        <f t="shared" si="41"/>
        <v>0.82499999999999996</v>
      </c>
      <c r="L58" s="90">
        <f t="shared" si="41"/>
        <v>0.82499999999999996</v>
      </c>
      <c r="M58" s="90">
        <f t="shared" si="41"/>
        <v>0.82499999999999996</v>
      </c>
      <c r="N58" s="90">
        <f t="shared" si="41"/>
        <v>0.82499999999999996</v>
      </c>
      <c r="O58" s="90">
        <f t="shared" si="41"/>
        <v>0.82499999999999996</v>
      </c>
      <c r="P58" s="90">
        <f t="shared" si="41"/>
        <v>0.82499999999999996</v>
      </c>
    </row>
    <row r="59" spans="1:17" s="35" customFormat="1" x14ac:dyDescent="0.2">
      <c r="A59" s="112" t="s">
        <v>208</v>
      </c>
      <c r="B59" s="34" t="s">
        <v>179</v>
      </c>
      <c r="C59" s="70">
        <f t="shared" ref="C59:P59" si="42">C58/C49</f>
        <v>2.3318425324575292E-3</v>
      </c>
      <c r="D59" s="70">
        <f t="shared" si="42"/>
        <v>2.4302180320921142E-3</v>
      </c>
      <c r="E59" s="70">
        <f t="shared" si="42"/>
        <v>2.4302180320921142E-3</v>
      </c>
      <c r="F59" s="70">
        <f t="shared" si="42"/>
        <v>2.5046962298751951E-3</v>
      </c>
      <c r="G59" s="375">
        <f t="shared" si="42"/>
        <v>2.5198447528918698E-3</v>
      </c>
      <c r="H59" s="174">
        <f t="shared" si="42"/>
        <v>2.5503388938116255E-3</v>
      </c>
      <c r="I59" s="70">
        <f t="shared" si="42"/>
        <v>2.5736285266413461E-3</v>
      </c>
      <c r="J59" s="70">
        <f t="shared" si="42"/>
        <v>2.5931579969108161E-3</v>
      </c>
      <c r="K59" s="70">
        <f t="shared" si="42"/>
        <v>2.5299618730388641E-3</v>
      </c>
      <c r="L59" s="70">
        <f t="shared" si="42"/>
        <v>2.4697726901776709E-3</v>
      </c>
      <c r="M59" s="70">
        <f t="shared" si="42"/>
        <v>2.464995349025481E-3</v>
      </c>
      <c r="N59" s="70">
        <f t="shared" si="42"/>
        <v>2.4602364540458857E-3</v>
      </c>
      <c r="O59" s="70">
        <f t="shared" si="42"/>
        <v>2.4554958986087614E-3</v>
      </c>
      <c r="P59" s="70">
        <f t="shared" si="42"/>
        <v>2.4507735769042573E-3</v>
      </c>
      <c r="Q59" s="32"/>
    </row>
    <row r="60" spans="1:17" s="114" customFormat="1" x14ac:dyDescent="0.2">
      <c r="A60" s="113">
        <v>9</v>
      </c>
      <c r="B60" s="72" t="s">
        <v>77</v>
      </c>
      <c r="C60" s="78">
        <f>+C49-C58</f>
        <v>307.62085999999999</v>
      </c>
      <c r="D60" s="78">
        <f t="shared" ref="D60:P60" si="43">+D49-D58</f>
        <v>338.65071333333333</v>
      </c>
      <c r="E60" s="78">
        <f t="shared" si="43"/>
        <v>338.65071333333333</v>
      </c>
      <c r="F60" s="78">
        <f t="shared" si="43"/>
        <v>328.55625995466858</v>
      </c>
      <c r="G60" s="389">
        <f t="shared" si="43"/>
        <v>326.57612225294775</v>
      </c>
      <c r="H60" s="103">
        <f t="shared" si="43"/>
        <v>322.66142057016623</v>
      </c>
      <c r="I60" s="78">
        <f t="shared" si="43"/>
        <v>319.73408281240842</v>
      </c>
      <c r="J60" s="78">
        <f t="shared" si="43"/>
        <v>317.31990323490049</v>
      </c>
      <c r="K60" s="78">
        <f t="shared" si="43"/>
        <v>325.26687070833248</v>
      </c>
      <c r="L60" s="78">
        <f t="shared" si="43"/>
        <v>333.2138381817644</v>
      </c>
      <c r="M60" s="78">
        <f t="shared" si="43"/>
        <v>333.86122986496019</v>
      </c>
      <c r="N60" s="78">
        <f t="shared" si="43"/>
        <v>334.50862154815587</v>
      </c>
      <c r="O60" s="78">
        <f t="shared" si="43"/>
        <v>335.15601323135166</v>
      </c>
      <c r="P60" s="78">
        <f t="shared" si="43"/>
        <v>335.8034049145474</v>
      </c>
      <c r="Q60" s="74"/>
    </row>
    <row r="61" spans="1:17" s="32" customFormat="1" x14ac:dyDescent="0.2">
      <c r="A61" s="30"/>
      <c r="B61" s="31" t="s">
        <v>21</v>
      </c>
      <c r="C61" s="116">
        <f>+('[5]6 мес.'!$K$55+'[5]6 мес.'!$Q$55)/1000</f>
        <v>195.32070000000002</v>
      </c>
      <c r="D61" s="118">
        <f>+C61*D60/C60</f>
        <v>215.02278611328899</v>
      </c>
      <c r="E61" s="118">
        <f>+D61*E60/D60</f>
        <v>215.02278611328902</v>
      </c>
      <c r="F61" s="118">
        <f t="shared" ref="F61:P61" si="44">+E61*F60/E60</f>
        <v>208.61341680056373</v>
      </c>
      <c r="G61" s="390">
        <f t="shared" si="44"/>
        <v>207.35614874014516</v>
      </c>
      <c r="H61" s="445">
        <f t="shared" si="44"/>
        <v>204.87054918434106</v>
      </c>
      <c r="I61" s="118">
        <f t="shared" si="44"/>
        <v>203.01186619391677</v>
      </c>
      <c r="J61" s="118">
        <f t="shared" si="44"/>
        <v>201.4790077102478</v>
      </c>
      <c r="K61" s="118">
        <f t="shared" si="44"/>
        <v>206.52485294255087</v>
      </c>
      <c r="L61" s="118">
        <f t="shared" si="44"/>
        <v>211.5706981748539</v>
      </c>
      <c r="M61" s="118">
        <f t="shared" si="44"/>
        <v>211.98175286319974</v>
      </c>
      <c r="N61" s="118">
        <f t="shared" si="44"/>
        <v>212.3928075515455</v>
      </c>
      <c r="O61" s="118">
        <f t="shared" si="44"/>
        <v>212.80386223989134</v>
      </c>
      <c r="P61" s="118">
        <f t="shared" si="44"/>
        <v>213.21491692823713</v>
      </c>
    </row>
    <row r="62" spans="1:17" s="32" customFormat="1" x14ac:dyDescent="0.2">
      <c r="A62" s="33"/>
      <c r="B62" s="34" t="s">
        <v>22</v>
      </c>
      <c r="C62" s="117">
        <f>+C60-C61</f>
        <v>112.30015999999998</v>
      </c>
      <c r="D62" s="117">
        <f t="shared" ref="D62:P62" si="45">+D60-D61</f>
        <v>123.62792722004434</v>
      </c>
      <c r="E62" s="117">
        <f t="shared" si="45"/>
        <v>123.62792722004431</v>
      </c>
      <c r="F62" s="117">
        <f t="shared" si="45"/>
        <v>119.94284315410485</v>
      </c>
      <c r="G62" s="391">
        <f t="shared" si="45"/>
        <v>119.2199735128026</v>
      </c>
      <c r="H62" s="445">
        <f t="shared" si="45"/>
        <v>117.79087138582517</v>
      </c>
      <c r="I62" s="117">
        <f t="shared" si="45"/>
        <v>116.72221661849164</v>
      </c>
      <c r="J62" s="117">
        <f t="shared" si="45"/>
        <v>115.84089552465269</v>
      </c>
      <c r="K62" s="117">
        <f t="shared" si="45"/>
        <v>118.74201776578161</v>
      </c>
      <c r="L62" s="117">
        <f t="shared" si="45"/>
        <v>121.6431400069105</v>
      </c>
      <c r="M62" s="117">
        <f t="shared" si="45"/>
        <v>121.87947700176045</v>
      </c>
      <c r="N62" s="117">
        <f t="shared" si="45"/>
        <v>122.11581399661037</v>
      </c>
      <c r="O62" s="117">
        <f t="shared" si="45"/>
        <v>122.35215099146032</v>
      </c>
      <c r="P62" s="117">
        <f t="shared" si="45"/>
        <v>122.58848798631027</v>
      </c>
    </row>
    <row r="63" spans="1:17" s="24" customFormat="1" x14ac:dyDescent="0.2">
      <c r="A63" s="1"/>
      <c r="B63" s="728"/>
      <c r="C63" s="115"/>
      <c r="D63" s="115"/>
      <c r="E63" s="115"/>
      <c r="F63" s="115"/>
      <c r="G63" s="392"/>
      <c r="H63" s="115"/>
      <c r="I63" s="427"/>
      <c r="J63" s="115"/>
      <c r="K63" s="115"/>
      <c r="L63" s="115"/>
      <c r="M63" s="115"/>
      <c r="N63" s="115"/>
      <c r="O63" s="115"/>
      <c r="P63" s="115"/>
    </row>
    <row r="64" spans="1:17" s="37" customFormat="1" x14ac:dyDescent="0.2">
      <c r="A64" s="1">
        <v>12</v>
      </c>
      <c r="B64" s="728" t="s">
        <v>183</v>
      </c>
      <c r="C64" s="481">
        <f t="shared" ref="C64:P64" si="46">C65+C66</f>
        <v>47063.201911145006</v>
      </c>
      <c r="D64" s="481">
        <f t="shared" si="46"/>
        <v>51962.080863644973</v>
      </c>
      <c r="E64" s="481">
        <f t="shared" si="46"/>
        <v>52044.416406041506</v>
      </c>
      <c r="F64" s="481">
        <f t="shared" si="46"/>
        <v>50671.857127020514</v>
      </c>
      <c r="G64" s="482">
        <f t="shared" si="46"/>
        <v>50376.441154838787</v>
      </c>
      <c r="H64" s="481">
        <f t="shared" si="46"/>
        <v>46605.164239703532</v>
      </c>
      <c r="I64" s="483">
        <f t="shared" si="46"/>
        <v>41910.561953507146</v>
      </c>
      <c r="J64" s="481">
        <f t="shared" si="46"/>
        <v>41597.285287052924</v>
      </c>
      <c r="K64" s="481">
        <f t="shared" si="46"/>
        <v>42638.407953875882</v>
      </c>
      <c r="L64" s="481">
        <f t="shared" si="46"/>
        <v>43679.530620698839</v>
      </c>
      <c r="M64" s="481">
        <f t="shared" si="46"/>
        <v>43764.344627795399</v>
      </c>
      <c r="N64" s="481">
        <f t="shared" si="46"/>
        <v>43849.158634891952</v>
      </c>
      <c r="O64" s="481">
        <f t="shared" si="46"/>
        <v>43933.972641988512</v>
      </c>
      <c r="P64" s="481">
        <f t="shared" si="46"/>
        <v>44018.786649085072</v>
      </c>
      <c r="Q64" s="36"/>
    </row>
    <row r="65" spans="1:19" s="37" customFormat="1" x14ac:dyDescent="0.2">
      <c r="A65" s="1" t="s">
        <v>48</v>
      </c>
      <c r="B65" s="3" t="s">
        <v>181</v>
      </c>
      <c r="C65" s="484">
        <f t="shared" ref="C65:H65" si="47">+(C15-C17)*C68</f>
        <v>6608.4118430174822</v>
      </c>
      <c r="D65" s="484">
        <f t="shared" si="47"/>
        <v>5881.5402755010537</v>
      </c>
      <c r="E65" s="484">
        <f t="shared" si="47"/>
        <v>4540.1440110944377</v>
      </c>
      <c r="F65" s="484">
        <f t="shared" si="47"/>
        <v>3198.7477466878227</v>
      </c>
      <c r="G65" s="485">
        <f t="shared" si="47"/>
        <v>3198.7477466878227</v>
      </c>
      <c r="H65" s="486">
        <f t="shared" si="47"/>
        <v>0</v>
      </c>
      <c r="I65" s="427"/>
      <c r="J65" s="115"/>
      <c r="K65" s="115"/>
      <c r="L65" s="115"/>
      <c r="M65" s="115"/>
      <c r="N65" s="115"/>
      <c r="O65" s="115"/>
      <c r="P65" s="115"/>
      <c r="Q65" s="36"/>
    </row>
    <row r="66" spans="1:19" s="32" customFormat="1" ht="12" thickBot="1" x14ac:dyDescent="0.25">
      <c r="A66" s="39" t="s">
        <v>49</v>
      </c>
      <c r="B66" s="3" t="s">
        <v>182</v>
      </c>
      <c r="C66" s="487">
        <f t="shared" ref="C66:P66" si="48">+C50*C70+C54*C79</f>
        <v>40454.79006812752</v>
      </c>
      <c r="D66" s="487">
        <f t="shared" si="48"/>
        <v>46080.540588143922</v>
      </c>
      <c r="E66" s="487">
        <f t="shared" si="48"/>
        <v>47504.272394947067</v>
      </c>
      <c r="F66" s="487">
        <f t="shared" si="48"/>
        <v>47473.109380332695</v>
      </c>
      <c r="G66" s="485">
        <f t="shared" si="48"/>
        <v>47177.693408150968</v>
      </c>
      <c r="H66" s="486">
        <f t="shared" si="48"/>
        <v>46605.164239703532</v>
      </c>
      <c r="I66" s="484">
        <f t="shared" si="48"/>
        <v>41910.561953507146</v>
      </c>
      <c r="J66" s="484">
        <f t="shared" si="48"/>
        <v>41597.285287052924</v>
      </c>
      <c r="K66" s="484">
        <f t="shared" si="48"/>
        <v>42638.407953875882</v>
      </c>
      <c r="L66" s="484">
        <f t="shared" si="48"/>
        <v>43679.530620698839</v>
      </c>
      <c r="M66" s="484">
        <f t="shared" si="48"/>
        <v>43764.344627795399</v>
      </c>
      <c r="N66" s="484">
        <f t="shared" si="48"/>
        <v>43849.158634891952</v>
      </c>
      <c r="O66" s="484">
        <f t="shared" si="48"/>
        <v>43933.972641988512</v>
      </c>
      <c r="P66" s="484">
        <f t="shared" si="48"/>
        <v>44018.786649085072</v>
      </c>
    </row>
    <row r="67" spans="1:19" s="32" customFormat="1" ht="23.25" thickBot="1" x14ac:dyDescent="0.25">
      <c r="A67" s="33" t="s">
        <v>39</v>
      </c>
      <c r="B67" s="455" t="s">
        <v>242</v>
      </c>
      <c r="C67" s="458">
        <f>+'[4]4.4.Р_т'!$E$22</f>
        <v>387.277988797901</v>
      </c>
      <c r="D67" s="459">
        <f>+'[4]4.4.Р_т'!$O$22</f>
        <v>336.85</v>
      </c>
      <c r="E67" s="459">
        <f>+'[4]4.4.Р_т'!$Y$22</f>
        <v>260.02499999999998</v>
      </c>
      <c r="F67" s="460">
        <f>+'[4]4.4.Р_т'!$Y$164</f>
        <v>183.2</v>
      </c>
      <c r="G67" s="122">
        <f t="shared" ref="G67:H67" si="49">F67</f>
        <v>183.2</v>
      </c>
      <c r="H67" s="122">
        <f t="shared" si="49"/>
        <v>183.2</v>
      </c>
      <c r="I67" s="427"/>
      <c r="J67" s="115"/>
      <c r="K67" s="115"/>
      <c r="L67" s="115"/>
      <c r="M67" s="115"/>
      <c r="N67" s="115"/>
      <c r="O67" s="115"/>
      <c r="P67" s="115"/>
    </row>
    <row r="68" spans="1:19" s="32" customFormat="1" ht="23.25" thickBot="1" x14ac:dyDescent="0.25">
      <c r="A68" s="33"/>
      <c r="B68" s="121" t="s">
        <v>243</v>
      </c>
      <c r="C68" s="457">
        <f>+C67/C$80</f>
        <v>333.44902622439798</v>
      </c>
      <c r="D68" s="457">
        <f t="shared" ref="D68:P68" si="50">+D67/D80</f>
        <v>290.03017918042138</v>
      </c>
      <c r="E68" s="457">
        <f t="shared" si="50"/>
        <v>223.88332296686676</v>
      </c>
      <c r="F68" s="457">
        <f t="shared" si="50"/>
        <v>157.73646675331216</v>
      </c>
      <c r="G68" s="122">
        <f t="shared" si="50"/>
        <v>157.73646675331216</v>
      </c>
      <c r="H68" s="122">
        <f t="shared" si="50"/>
        <v>157.73646675331216</v>
      </c>
      <c r="I68" s="122">
        <f t="shared" si="50"/>
        <v>0</v>
      </c>
      <c r="J68" s="122">
        <f t="shared" si="50"/>
        <v>0</v>
      </c>
      <c r="K68" s="122">
        <f t="shared" si="50"/>
        <v>0</v>
      </c>
      <c r="L68" s="122">
        <f t="shared" si="50"/>
        <v>0</v>
      </c>
      <c r="M68" s="122">
        <f t="shared" si="50"/>
        <v>0</v>
      </c>
      <c r="N68" s="122">
        <f t="shared" si="50"/>
        <v>0</v>
      </c>
      <c r="O68" s="122">
        <f t="shared" si="50"/>
        <v>0</v>
      </c>
      <c r="P68" s="122">
        <f t="shared" si="50"/>
        <v>0</v>
      </c>
    </row>
    <row r="69" spans="1:19" s="32" customFormat="1" ht="23.25" thickBot="1" x14ac:dyDescent="0.25">
      <c r="A69" s="33"/>
      <c r="B69" s="455" t="s">
        <v>244</v>
      </c>
      <c r="C69" s="458">
        <f>+'[4]4.4.Р_т'!$E$25</f>
        <v>152.56357381952233</v>
      </c>
      <c r="D69" s="459">
        <f>+'[4]4.4.Р_т'!$O$25</f>
        <v>158.69999999999999</v>
      </c>
      <c r="E69" s="459">
        <f>+'[4]4.4.Р_т'!$Y$25</f>
        <v>165.65</v>
      </c>
      <c r="F69" s="460">
        <f>+'[4]4.4.Р_т'!$Z$164</f>
        <v>172.6</v>
      </c>
      <c r="G69" s="122">
        <f t="shared" ref="G69:P69" si="51">F69</f>
        <v>172.6</v>
      </c>
      <c r="H69" s="122">
        <f t="shared" si="51"/>
        <v>172.6</v>
      </c>
      <c r="I69" s="729">
        <f>142.86/0.95</f>
        <v>150.37894736842108</v>
      </c>
      <c r="J69" s="122">
        <f t="shared" si="51"/>
        <v>150.37894736842108</v>
      </c>
      <c r="K69" s="122">
        <f t="shared" si="51"/>
        <v>150.37894736842108</v>
      </c>
      <c r="L69" s="122">
        <f t="shared" si="51"/>
        <v>150.37894736842108</v>
      </c>
      <c r="M69" s="122">
        <f t="shared" si="51"/>
        <v>150.37894736842108</v>
      </c>
      <c r="N69" s="122">
        <f t="shared" si="51"/>
        <v>150.37894736842108</v>
      </c>
      <c r="O69" s="122">
        <f t="shared" si="51"/>
        <v>150.37894736842108</v>
      </c>
      <c r="P69" s="122">
        <f t="shared" si="51"/>
        <v>150.37894736842108</v>
      </c>
    </row>
    <row r="70" spans="1:19" s="32" customFormat="1" ht="22.5" x14ac:dyDescent="0.2">
      <c r="A70" s="33"/>
      <c r="B70" s="121" t="s">
        <v>245</v>
      </c>
      <c r="C70" s="456">
        <f t="shared" ref="C70:P70" si="52">+C69/C$80</f>
        <v>131.35829197352385</v>
      </c>
      <c r="D70" s="456">
        <f t="shared" si="52"/>
        <v>136.64179734580043</v>
      </c>
      <c r="E70" s="456">
        <f t="shared" si="52"/>
        <v>142.62579540221702</v>
      </c>
      <c r="F70" s="456">
        <f t="shared" si="52"/>
        <v>148.60979345863362</v>
      </c>
      <c r="G70" s="394">
        <f t="shared" si="52"/>
        <v>148.60979345863362</v>
      </c>
      <c r="H70" s="446">
        <f t="shared" si="52"/>
        <v>148.60979345863362</v>
      </c>
      <c r="I70" s="122">
        <f t="shared" si="52"/>
        <v>129.4773134933244</v>
      </c>
      <c r="J70" s="122">
        <f t="shared" si="52"/>
        <v>129.4773134933244</v>
      </c>
      <c r="K70" s="122">
        <f t="shared" si="52"/>
        <v>129.4773134933244</v>
      </c>
      <c r="L70" s="122">
        <f t="shared" si="52"/>
        <v>129.4773134933244</v>
      </c>
      <c r="M70" s="122">
        <f t="shared" si="52"/>
        <v>129.4773134933244</v>
      </c>
      <c r="N70" s="122">
        <f t="shared" si="52"/>
        <v>129.4773134933244</v>
      </c>
      <c r="O70" s="122">
        <f t="shared" si="52"/>
        <v>129.4773134933244</v>
      </c>
      <c r="P70" s="122">
        <f t="shared" si="52"/>
        <v>129.4773134933244</v>
      </c>
    </row>
    <row r="71" spans="1:19" s="295" customFormat="1" ht="22.5" x14ac:dyDescent="0.2">
      <c r="A71" s="293"/>
      <c r="B71" s="246" t="s">
        <v>518</v>
      </c>
      <c r="C71" s="344"/>
      <c r="D71" s="344"/>
      <c r="E71" s="541"/>
      <c r="F71" s="541"/>
      <c r="G71" s="546">
        <f>SUM(G72:G72)</f>
        <v>0</v>
      </c>
      <c r="H71" s="546">
        <f>SUM(H72:H72)</f>
        <v>0</v>
      </c>
      <c r="I71" s="546">
        <f>SUM(I72:I72)</f>
        <v>0</v>
      </c>
      <c r="J71" s="542"/>
      <c r="K71" s="542"/>
      <c r="L71" s="542"/>
      <c r="M71" s="345"/>
      <c r="N71" s="345"/>
      <c r="O71" s="345"/>
      <c r="P71" s="345"/>
      <c r="S71" s="545" t="e">
        <f>1826/(H65*7000*H80/1000)</f>
        <v>#DIV/0!</v>
      </c>
    </row>
    <row r="72" spans="1:19" s="247" customFormat="1" x14ac:dyDescent="0.2">
      <c r="A72" s="244"/>
      <c r="B72" s="246"/>
      <c r="C72" s="342"/>
      <c r="D72" s="342"/>
      <c r="E72" s="547"/>
      <c r="F72" s="547"/>
      <c r="G72" s="547"/>
      <c r="H72" s="547"/>
      <c r="I72" s="548"/>
      <c r="J72" s="548"/>
      <c r="K72" s="548"/>
      <c r="L72" s="548"/>
      <c r="M72" s="243"/>
      <c r="N72" s="243"/>
      <c r="O72" s="243"/>
      <c r="P72" s="243"/>
      <c r="Q72" s="343"/>
    </row>
    <row r="73" spans="1:19" s="295" customFormat="1" ht="22.5" x14ac:dyDescent="0.2">
      <c r="A73" s="293"/>
      <c r="B73" s="246" t="s">
        <v>522</v>
      </c>
      <c r="C73" s="344"/>
      <c r="D73" s="344"/>
      <c r="E73" s="541"/>
      <c r="F73" s="541"/>
      <c r="G73" s="546">
        <f>SUM(G74:G74)</f>
        <v>0</v>
      </c>
      <c r="H73" s="546">
        <f>SUM(H74:H74)</f>
        <v>0</v>
      </c>
      <c r="I73" s="546">
        <f>SUM(I74:I74)</f>
        <v>0</v>
      </c>
      <c r="J73" s="542"/>
      <c r="K73" s="542"/>
      <c r="L73" s="542"/>
      <c r="M73" s="345"/>
      <c r="N73" s="345"/>
      <c r="O73" s="345"/>
      <c r="P73" s="345"/>
      <c r="S73" s="545">
        <f>1826/(H69*7000*H84/1000)</f>
        <v>1.5113391822545936</v>
      </c>
    </row>
    <row r="74" spans="1:19" s="247" customFormat="1" x14ac:dyDescent="0.2">
      <c r="A74" s="244"/>
      <c r="B74" s="246"/>
      <c r="C74" s="342"/>
      <c r="D74" s="342"/>
      <c r="E74" s="547"/>
      <c r="F74" s="547"/>
      <c r="G74" s="547"/>
      <c r="H74" s="547"/>
      <c r="I74" s="548"/>
      <c r="J74" s="548"/>
      <c r="K74" s="548"/>
      <c r="L74" s="548"/>
      <c r="M74" s="243"/>
      <c r="N74" s="243"/>
      <c r="O74" s="243"/>
      <c r="P74" s="243"/>
      <c r="Q74" s="343"/>
    </row>
    <row r="75" spans="1:19" s="32" customFormat="1" ht="22.5" x14ac:dyDescent="0.2">
      <c r="A75" s="33"/>
      <c r="B75" s="121" t="s">
        <v>211</v>
      </c>
      <c r="C75" s="122">
        <f>SUM(C76:C78)</f>
        <v>152.01223918180676</v>
      </c>
      <c r="D75" s="122">
        <f t="shared" ref="D75:P75" si="53">SUM(D76:D78)</f>
        <v>155.19999999999999</v>
      </c>
      <c r="E75" s="122">
        <f t="shared" si="53"/>
        <v>155.19999999999999</v>
      </c>
      <c r="F75" s="122">
        <f t="shared" si="53"/>
        <v>155.19999999999999</v>
      </c>
      <c r="G75" s="394">
        <f t="shared" si="53"/>
        <v>155.19999999999999</v>
      </c>
      <c r="H75" s="446">
        <f t="shared" si="53"/>
        <v>155.19999999999999</v>
      </c>
      <c r="I75" s="122">
        <f t="shared" si="53"/>
        <v>155.19999999999999</v>
      </c>
      <c r="J75" s="122">
        <f t="shared" si="53"/>
        <v>155.19999999999999</v>
      </c>
      <c r="K75" s="122">
        <f t="shared" si="53"/>
        <v>155.19999999999999</v>
      </c>
      <c r="L75" s="122">
        <f t="shared" si="53"/>
        <v>155.19999999999999</v>
      </c>
      <c r="M75" s="122">
        <f t="shared" si="53"/>
        <v>155.19999999999999</v>
      </c>
      <c r="N75" s="122">
        <f t="shared" si="53"/>
        <v>155.19999999999999</v>
      </c>
      <c r="O75" s="122">
        <f t="shared" si="53"/>
        <v>155.19999999999999</v>
      </c>
      <c r="P75" s="122">
        <f t="shared" si="53"/>
        <v>155.19999999999999</v>
      </c>
    </row>
    <row r="76" spans="1:19" s="247" customFormat="1" x14ac:dyDescent="0.2">
      <c r="A76" s="244"/>
      <c r="B76" s="246" t="s">
        <v>407</v>
      </c>
      <c r="C76" s="346">
        <f>+'[4]4.4.Р_т'!$I$25</f>
        <v>152.01223918180676</v>
      </c>
      <c r="D76" s="346">
        <f>+'[4]4.4.Р_т'!$S$25</f>
        <v>155.19999999999999</v>
      </c>
      <c r="E76" s="346">
        <f>+D76</f>
        <v>155.19999999999999</v>
      </c>
      <c r="F76" s="347">
        <f>+E76</f>
        <v>155.19999999999999</v>
      </c>
      <c r="G76" s="395">
        <f t="shared" ref="G76:P77" si="54">+F76</f>
        <v>155.19999999999999</v>
      </c>
      <c r="H76" s="446">
        <f t="shared" si="54"/>
        <v>155.19999999999999</v>
      </c>
      <c r="I76" s="347">
        <f t="shared" si="54"/>
        <v>155.19999999999999</v>
      </c>
      <c r="J76" s="347">
        <f t="shared" si="54"/>
        <v>155.19999999999999</v>
      </c>
      <c r="K76" s="347">
        <f t="shared" si="54"/>
        <v>155.19999999999999</v>
      </c>
      <c r="L76" s="347">
        <f t="shared" si="54"/>
        <v>155.19999999999999</v>
      </c>
      <c r="M76" s="347">
        <f t="shared" si="54"/>
        <v>155.19999999999999</v>
      </c>
      <c r="N76" s="347">
        <f t="shared" si="54"/>
        <v>155.19999999999999</v>
      </c>
      <c r="O76" s="347">
        <f t="shared" si="54"/>
        <v>155.19999999999999</v>
      </c>
      <c r="P76" s="347">
        <f t="shared" si="54"/>
        <v>155.19999999999999</v>
      </c>
    </row>
    <row r="77" spans="1:19" s="343" customFormat="1" ht="22.5" x14ac:dyDescent="0.2">
      <c r="A77" s="551"/>
      <c r="B77" s="552" t="s">
        <v>524</v>
      </c>
      <c r="C77" s="342"/>
      <c r="D77" s="342"/>
      <c r="E77" s="342"/>
      <c r="F77" s="553"/>
      <c r="G77" s="446">
        <f>+F77</f>
        <v>0</v>
      </c>
      <c r="H77" s="446">
        <f>+G77</f>
        <v>0</v>
      </c>
      <c r="I77" s="446">
        <f t="shared" si="54"/>
        <v>0</v>
      </c>
      <c r="J77" s="446">
        <f t="shared" si="54"/>
        <v>0</v>
      </c>
      <c r="K77" s="446">
        <f t="shared" si="54"/>
        <v>0</v>
      </c>
      <c r="L77" s="446">
        <f t="shared" si="54"/>
        <v>0</v>
      </c>
      <c r="M77" s="446">
        <f t="shared" si="54"/>
        <v>0</v>
      </c>
      <c r="N77" s="446">
        <f t="shared" si="54"/>
        <v>0</v>
      </c>
      <c r="O77" s="446">
        <f t="shared" si="54"/>
        <v>0</v>
      </c>
      <c r="P77" s="446">
        <f t="shared" si="54"/>
        <v>0</v>
      </c>
    </row>
    <row r="78" spans="1:19" s="247" customFormat="1" x14ac:dyDescent="0.2">
      <c r="A78" s="244"/>
      <c r="B78" s="246"/>
      <c r="C78" s="342"/>
      <c r="D78" s="342"/>
      <c r="E78" s="342"/>
      <c r="F78" s="342"/>
      <c r="G78" s="342"/>
      <c r="H78" s="342"/>
      <c r="I78" s="342"/>
      <c r="J78" s="342"/>
      <c r="K78" s="342"/>
      <c r="L78" s="342"/>
      <c r="M78" s="342"/>
      <c r="N78" s="342"/>
      <c r="O78" s="342"/>
      <c r="P78" s="342"/>
    </row>
    <row r="79" spans="1:19" s="32" customFormat="1" ht="22.5" x14ac:dyDescent="0.2">
      <c r="A79" s="33"/>
      <c r="B79" s="121" t="s">
        <v>212</v>
      </c>
      <c r="C79" s="122">
        <f>+C75/C80</f>
        <v>130.8835890381965</v>
      </c>
      <c r="D79" s="122">
        <f t="shared" ref="D79:P79" si="55">+D75/D80</f>
        <v>133.62827314472733</v>
      </c>
      <c r="E79" s="122">
        <f t="shared" si="55"/>
        <v>133.62827314472733</v>
      </c>
      <c r="F79" s="122">
        <f t="shared" si="55"/>
        <v>133.62827314472733</v>
      </c>
      <c r="G79" s="394">
        <f t="shared" si="55"/>
        <v>133.62827314472733</v>
      </c>
      <c r="H79" s="446">
        <f t="shared" si="55"/>
        <v>133.62827314472733</v>
      </c>
      <c r="I79" s="122">
        <f t="shared" si="55"/>
        <v>133.62827314472733</v>
      </c>
      <c r="J79" s="122">
        <f t="shared" si="55"/>
        <v>133.62827314472733</v>
      </c>
      <c r="K79" s="122">
        <f t="shared" si="55"/>
        <v>133.62827314472733</v>
      </c>
      <c r="L79" s="122">
        <f t="shared" si="55"/>
        <v>133.62827314472733</v>
      </c>
      <c r="M79" s="122">
        <f t="shared" si="55"/>
        <v>133.62827314472733</v>
      </c>
      <c r="N79" s="122">
        <f t="shared" si="55"/>
        <v>133.62827314472733</v>
      </c>
      <c r="O79" s="122">
        <f t="shared" si="55"/>
        <v>133.62827314472733</v>
      </c>
      <c r="P79" s="122">
        <f t="shared" si="55"/>
        <v>133.62827314472733</v>
      </c>
    </row>
    <row r="80" spans="1:19" s="32" customFormat="1" x14ac:dyDescent="0.2">
      <c r="A80" s="39" t="s">
        <v>40</v>
      </c>
      <c r="B80" s="46" t="s">
        <v>41</v>
      </c>
      <c r="C80" s="161">
        <f>+'[4]4.4.Р_т'!$E$49</f>
        <v>1.1614308585123241</v>
      </c>
      <c r="D80" s="162">
        <f>+C80</f>
        <v>1.1614308585123241</v>
      </c>
      <c r="E80" s="162">
        <f t="shared" ref="E80:P80" si="56">+D80</f>
        <v>1.1614308585123241</v>
      </c>
      <c r="F80" s="162">
        <f t="shared" si="56"/>
        <v>1.1614308585123241</v>
      </c>
      <c r="G80" s="396">
        <f t="shared" si="56"/>
        <v>1.1614308585123241</v>
      </c>
      <c r="H80" s="162">
        <f t="shared" si="56"/>
        <v>1.1614308585123241</v>
      </c>
      <c r="I80" s="429">
        <f t="shared" si="56"/>
        <v>1.1614308585123241</v>
      </c>
      <c r="J80" s="162">
        <f t="shared" si="56"/>
        <v>1.1614308585123241</v>
      </c>
      <c r="K80" s="162">
        <f t="shared" si="56"/>
        <v>1.1614308585123241</v>
      </c>
      <c r="L80" s="162">
        <f t="shared" si="56"/>
        <v>1.1614308585123241</v>
      </c>
      <c r="M80" s="162">
        <f t="shared" si="56"/>
        <v>1.1614308585123241</v>
      </c>
      <c r="N80" s="162">
        <f t="shared" si="56"/>
        <v>1.1614308585123241</v>
      </c>
      <c r="O80" s="162">
        <f t="shared" si="56"/>
        <v>1.1614308585123241</v>
      </c>
      <c r="P80" s="162">
        <f t="shared" si="56"/>
        <v>1.1614308585123241</v>
      </c>
      <c r="Q80" s="38"/>
    </row>
    <row r="81" spans="1:17" s="32" customFormat="1" x14ac:dyDescent="0.2">
      <c r="A81" s="39"/>
      <c r="B81" s="46" t="s">
        <v>236</v>
      </c>
      <c r="C81" s="123">
        <f t="shared" ref="C81:P81" si="57">C82+C83</f>
        <v>54660.654999999992</v>
      </c>
      <c r="D81" s="123">
        <f t="shared" si="57"/>
        <v>60350.364187549989</v>
      </c>
      <c r="E81" s="123">
        <f t="shared" si="57"/>
        <v>60445.99122724167</v>
      </c>
      <c r="F81" s="123">
        <f t="shared" si="57"/>
        <v>58851.858525449265</v>
      </c>
      <c r="G81" s="393">
        <f t="shared" si="57"/>
        <v>58508.753299259988</v>
      </c>
      <c r="H81" s="123">
        <f t="shared" si="57"/>
        <v>54128.675914026739</v>
      </c>
      <c r="I81" s="428">
        <f t="shared" si="57"/>
        <v>48676.219950395753</v>
      </c>
      <c r="J81" s="123">
        <f t="shared" si="57"/>
        <v>48312.370762723942</v>
      </c>
      <c r="K81" s="123">
        <f t="shared" si="57"/>
        <v>49521.562755468774</v>
      </c>
      <c r="L81" s="123">
        <f t="shared" si="57"/>
        <v>50730.7547482136</v>
      </c>
      <c r="M81" s="123">
        <f t="shared" si="57"/>
        <v>50829.260353289632</v>
      </c>
      <c r="N81" s="123">
        <f t="shared" si="57"/>
        <v>50927.76595836565</v>
      </c>
      <c r="O81" s="123">
        <f t="shared" si="57"/>
        <v>51026.271563441675</v>
      </c>
      <c r="P81" s="123">
        <f t="shared" si="57"/>
        <v>51124.777168517707</v>
      </c>
      <c r="Q81" s="217"/>
    </row>
    <row r="82" spans="1:17" s="8" customFormat="1" x14ac:dyDescent="0.2">
      <c r="A82" s="1"/>
      <c r="B82" s="83" t="s">
        <v>237</v>
      </c>
      <c r="C82" s="175">
        <f t="shared" ref="C82:P82" si="58">+C65*C$80</f>
        <v>7675.2134402388037</v>
      </c>
      <c r="D82" s="175">
        <f t="shared" si="58"/>
        <v>6831.0023715500001</v>
      </c>
      <c r="E82" s="175">
        <f t="shared" si="58"/>
        <v>5273.0633565749995</v>
      </c>
      <c r="F82" s="175">
        <f t="shared" si="58"/>
        <v>3715.1243416000002</v>
      </c>
      <c r="G82" s="397">
        <f t="shared" si="58"/>
        <v>3715.1243416000002</v>
      </c>
      <c r="H82" s="175">
        <f t="shared" si="58"/>
        <v>0</v>
      </c>
      <c r="I82" s="95">
        <f t="shared" si="58"/>
        <v>0</v>
      </c>
      <c r="J82" s="175">
        <f t="shared" si="58"/>
        <v>0</v>
      </c>
      <c r="K82" s="175">
        <f t="shared" si="58"/>
        <v>0</v>
      </c>
      <c r="L82" s="175">
        <f t="shared" si="58"/>
        <v>0</v>
      </c>
      <c r="M82" s="175">
        <f t="shared" si="58"/>
        <v>0</v>
      </c>
      <c r="N82" s="175">
        <f t="shared" si="58"/>
        <v>0</v>
      </c>
      <c r="O82" s="175">
        <f t="shared" si="58"/>
        <v>0</v>
      </c>
      <c r="P82" s="175">
        <f t="shared" si="58"/>
        <v>0</v>
      </c>
      <c r="Q82" s="13"/>
    </row>
    <row r="83" spans="1:17" s="8" customFormat="1" x14ac:dyDescent="0.2">
      <c r="A83" s="1"/>
      <c r="B83" s="83" t="s">
        <v>238</v>
      </c>
      <c r="C83" s="175">
        <f t="shared" ref="C83:P83" si="59">+C66*C$80</f>
        <v>46985.441559761188</v>
      </c>
      <c r="D83" s="175">
        <f t="shared" si="59"/>
        <v>53519.36181599999</v>
      </c>
      <c r="E83" s="175">
        <f t="shared" si="59"/>
        <v>55172.927870666674</v>
      </c>
      <c r="F83" s="175">
        <f t="shared" si="59"/>
        <v>55136.734183849265</v>
      </c>
      <c r="G83" s="397">
        <f t="shared" si="59"/>
        <v>54793.628957659988</v>
      </c>
      <c r="H83" s="175">
        <f t="shared" si="59"/>
        <v>54128.675914026739</v>
      </c>
      <c r="I83" s="95">
        <f t="shared" si="59"/>
        <v>48676.219950395753</v>
      </c>
      <c r="J83" s="175">
        <f t="shared" si="59"/>
        <v>48312.370762723942</v>
      </c>
      <c r="K83" s="175">
        <f t="shared" si="59"/>
        <v>49521.562755468774</v>
      </c>
      <c r="L83" s="175">
        <f t="shared" si="59"/>
        <v>50730.7547482136</v>
      </c>
      <c r="M83" s="175">
        <f t="shared" si="59"/>
        <v>50829.260353289632</v>
      </c>
      <c r="N83" s="175">
        <f t="shared" si="59"/>
        <v>50927.76595836565</v>
      </c>
      <c r="O83" s="175">
        <f t="shared" si="59"/>
        <v>51026.271563441675</v>
      </c>
      <c r="P83" s="175">
        <f t="shared" si="59"/>
        <v>51124.777168517707</v>
      </c>
      <c r="Q83" s="13"/>
    </row>
    <row r="84" spans="1:17" s="37" customFormat="1" x14ac:dyDescent="0.2">
      <c r="A84" s="1"/>
      <c r="B84" s="100" t="s">
        <v>239</v>
      </c>
      <c r="C84" s="174">
        <f>+C83/C81</f>
        <v>0.85958431269733582</v>
      </c>
      <c r="D84" s="174">
        <f t="shared" ref="D84:P84" si="60">+D83/D81</f>
        <v>0.88681091715832261</v>
      </c>
      <c r="E84" s="174">
        <f t="shared" si="60"/>
        <v>0.9127640518500002</v>
      </c>
      <c r="F84" s="174">
        <f t="shared" si="60"/>
        <v>0.93687328769755895</v>
      </c>
      <c r="G84" s="386">
        <f t="shared" si="60"/>
        <v>0.9365031019786404</v>
      </c>
      <c r="H84" s="174">
        <f t="shared" si="60"/>
        <v>1</v>
      </c>
      <c r="I84" s="70">
        <f t="shared" si="60"/>
        <v>1</v>
      </c>
      <c r="J84" s="174">
        <f t="shared" si="60"/>
        <v>1</v>
      </c>
      <c r="K84" s="174">
        <f t="shared" si="60"/>
        <v>1</v>
      </c>
      <c r="L84" s="174">
        <f t="shared" si="60"/>
        <v>1</v>
      </c>
      <c r="M84" s="174">
        <f t="shared" si="60"/>
        <v>1</v>
      </c>
      <c r="N84" s="174">
        <f t="shared" si="60"/>
        <v>1</v>
      </c>
      <c r="O84" s="174">
        <f t="shared" si="60"/>
        <v>1</v>
      </c>
      <c r="P84" s="174">
        <f t="shared" si="60"/>
        <v>1</v>
      </c>
      <c r="Q84" s="36"/>
    </row>
    <row r="85" spans="1:17" s="144" customFormat="1" x14ac:dyDescent="0.2">
      <c r="A85" s="64"/>
      <c r="B85" s="148"/>
      <c r="C85" s="215"/>
      <c r="D85" s="215"/>
      <c r="E85" s="215"/>
      <c r="F85" s="215"/>
      <c r="G85" s="387"/>
      <c r="H85" s="215"/>
      <c r="I85" s="367"/>
      <c r="J85" s="215"/>
      <c r="K85" s="215"/>
      <c r="L85" s="215"/>
      <c r="M85" s="215"/>
      <c r="N85" s="215"/>
      <c r="O85" s="215"/>
      <c r="P85" s="215"/>
      <c r="Q85" s="143"/>
    </row>
    <row r="86" spans="1:17" s="16" customFormat="1" ht="12" thickBot="1" x14ac:dyDescent="0.25">
      <c r="A86" s="1"/>
      <c r="B86" s="163" t="s">
        <v>9</v>
      </c>
      <c r="C86" s="47"/>
      <c r="D86" s="26"/>
      <c r="E86" s="26"/>
      <c r="F86" s="26"/>
      <c r="G86" s="398"/>
      <c r="H86" s="26"/>
      <c r="I86" s="25"/>
      <c r="J86" s="26"/>
      <c r="K86" s="26"/>
      <c r="L86" s="26"/>
      <c r="M86" s="26"/>
      <c r="N86" s="26"/>
      <c r="O86" s="26"/>
      <c r="P86" s="26"/>
      <c r="Q86" s="24"/>
    </row>
    <row r="87" spans="1:17" s="82" customFormat="1" x14ac:dyDescent="0.2">
      <c r="A87" s="2">
        <v>17</v>
      </c>
      <c r="B87" s="80" t="s">
        <v>192</v>
      </c>
      <c r="C87" s="464">
        <f>+[8]ГОД!$L$19</f>
        <v>129230.14983892316</v>
      </c>
      <c r="D87" s="464">
        <f>+[9]ГОД!$J$19</f>
        <v>133495.08264229706</v>
      </c>
      <c r="E87" s="128">
        <f>D87*(E88)</f>
        <v>138842.4365235001</v>
      </c>
      <c r="F87" s="128">
        <f t="shared" ref="F87:G87" si="61">E87*(F88)</f>
        <v>144403.98701003758</v>
      </c>
      <c r="G87" s="128">
        <f t="shared" si="61"/>
        <v>150188.31408123308</v>
      </c>
      <c r="H87" s="469">
        <f>+C87*103.9%*106%</f>
        <v>142326.33322359965</v>
      </c>
      <c r="I87" s="469">
        <f>+H87/106%*113%</f>
        <v>151725.2420213845</v>
      </c>
      <c r="J87" s="469">
        <f>+I87/113%*120%</f>
        <v>161124.15081916939</v>
      </c>
      <c r="K87" s="128">
        <f t="shared" ref="K87:P87" si="62">J87*(K88)</f>
        <v>167578.23014692316</v>
      </c>
      <c r="L87" s="128">
        <f t="shared" si="62"/>
        <v>174290.83769504094</v>
      </c>
      <c r="M87" s="128">
        <f t="shared" si="62"/>
        <v>181272.32921487474</v>
      </c>
      <c r="N87" s="128">
        <f t="shared" si="62"/>
        <v>188533.47527355925</v>
      </c>
      <c r="O87" s="128">
        <f t="shared" si="62"/>
        <v>196085.47787010539</v>
      </c>
      <c r="P87" s="128">
        <f t="shared" si="62"/>
        <v>203939.9877170774</v>
      </c>
      <c r="Q87" s="81"/>
    </row>
    <row r="88" spans="1:17" s="41" customFormat="1" ht="12" thickBot="1" x14ac:dyDescent="0.25">
      <c r="A88" s="2">
        <v>18</v>
      </c>
      <c r="B88" s="40" t="s">
        <v>8</v>
      </c>
      <c r="C88" s="43"/>
      <c r="D88" s="70">
        <f>+D87/C87</f>
        <v>1.0330026143952464</v>
      </c>
      <c r="E88" s="467">
        <f>+'[10]1.пч1-СPI баз'!$M$5/100</f>
        <v>1.040056560701426</v>
      </c>
      <c r="F88" s="70">
        <f t="shared" ref="F88:P88" si="63">+E88</f>
        <v>1.040056560701426</v>
      </c>
      <c r="G88" s="70">
        <f t="shared" si="63"/>
        <v>1.040056560701426</v>
      </c>
      <c r="H88" s="468">
        <f>+G88*106%</f>
        <v>1.1024599543435116</v>
      </c>
      <c r="I88" s="468">
        <f>+G88/106%*113%</f>
        <v>1.1087395411251049</v>
      </c>
      <c r="J88" s="468">
        <f>+G88/113%*120%</f>
        <v>1.1044848432227534</v>
      </c>
      <c r="K88" s="465">
        <f>+G88</f>
        <v>1.040056560701426</v>
      </c>
      <c r="L88" s="70">
        <f t="shared" si="63"/>
        <v>1.040056560701426</v>
      </c>
      <c r="M88" s="70">
        <f t="shared" si="63"/>
        <v>1.040056560701426</v>
      </c>
      <c r="N88" s="70">
        <f t="shared" si="63"/>
        <v>1.040056560701426</v>
      </c>
      <c r="O88" s="70">
        <f t="shared" si="63"/>
        <v>1.040056560701426</v>
      </c>
      <c r="P88" s="70">
        <f t="shared" si="63"/>
        <v>1.040056560701426</v>
      </c>
      <c r="Q88" s="11"/>
    </row>
    <row r="89" spans="1:17" s="11" customFormat="1" x14ac:dyDescent="0.2">
      <c r="A89" s="2" t="s">
        <v>50</v>
      </c>
      <c r="B89" s="80" t="s">
        <v>461</v>
      </c>
      <c r="C89" s="127">
        <f>+[8]ГОД!$L$12*10</f>
        <v>1189.9545217965053</v>
      </c>
      <c r="D89" s="127">
        <f>+[9]ГОД!$J$12*10</f>
        <v>1205.0791085144335</v>
      </c>
      <c r="E89" s="128">
        <f>D89*(E90)</f>
        <v>1220.3959320945257</v>
      </c>
      <c r="F89" s="128">
        <f t="shared" ref="F89:G89" si="64">E89*(F90)</f>
        <v>1235.9074359100698</v>
      </c>
      <c r="G89" s="128">
        <f t="shared" si="64"/>
        <v>1251.6160943901716</v>
      </c>
      <c r="H89" s="742">
        <f>+Кот.!H202</f>
        <v>4997.8122914000369</v>
      </c>
      <c r="I89" s="742">
        <f>+Кот.!I202</f>
        <v>5147.7466601420383</v>
      </c>
      <c r="J89" s="742">
        <f>+Кот.!J202</f>
        <v>5302.1790599462993</v>
      </c>
      <c r="K89" s="742">
        <f>+Кот.!K202</f>
        <v>5461.244431744688</v>
      </c>
      <c r="L89" s="742">
        <f>+Кот.!L202</f>
        <v>5625.081764697029</v>
      </c>
      <c r="M89" s="742">
        <f>+Кот.!M202</f>
        <v>5793.8342176379401</v>
      </c>
      <c r="N89" s="742">
        <f>+Кот.!N202</f>
        <v>5967.6492441670789</v>
      </c>
      <c r="O89" s="742">
        <f>+Кот.!O202</f>
        <v>6146.6787214920914</v>
      </c>
      <c r="P89" s="742">
        <f>+Кот.!P202</f>
        <v>6331.079083136854</v>
      </c>
    </row>
    <row r="90" spans="1:17" s="11" customFormat="1" x14ac:dyDescent="0.2">
      <c r="A90" s="2" t="s">
        <v>51</v>
      </c>
      <c r="B90" s="40" t="s">
        <v>8</v>
      </c>
      <c r="C90" s="43"/>
      <c r="D90" s="70">
        <f>+D89/C89</f>
        <v>1.0127102224840443</v>
      </c>
      <c r="E90" s="465">
        <f>+D90</f>
        <v>1.0127102224840443</v>
      </c>
      <c r="F90" s="465">
        <f t="shared" ref="F90:G90" si="65">+E90</f>
        <v>1.0127102224840443</v>
      </c>
      <c r="G90" s="465">
        <f t="shared" si="65"/>
        <v>1.0127102224840443</v>
      </c>
      <c r="H90" s="743">
        <f>+Кот.!H203</f>
        <v>1.03</v>
      </c>
      <c r="I90" s="743">
        <f>+Кот.!I203</f>
        <v>1.03</v>
      </c>
      <c r="J90" s="743">
        <f>+Кот.!J203</f>
        <v>1.03</v>
      </c>
      <c r="K90" s="743">
        <f>+Кот.!K203</f>
        <v>1.03</v>
      </c>
      <c r="L90" s="743">
        <f>+Кот.!L203</f>
        <v>1.03</v>
      </c>
      <c r="M90" s="743">
        <f>+Кот.!M203</f>
        <v>1.03</v>
      </c>
      <c r="N90" s="743">
        <f>+Кот.!N203</f>
        <v>1.03</v>
      </c>
      <c r="O90" s="743">
        <f>+Кот.!O203</f>
        <v>1.03</v>
      </c>
      <c r="P90" s="743">
        <f>+Кот.!P203</f>
        <v>1.03</v>
      </c>
    </row>
    <row r="91" spans="1:17" s="11" customFormat="1" ht="22.5" x14ac:dyDescent="0.2">
      <c r="A91" s="2"/>
      <c r="B91" s="40" t="s">
        <v>154</v>
      </c>
      <c r="C91" s="230">
        <f>+C169/C15</f>
        <v>2251.9190082580981</v>
      </c>
      <c r="D91" s="230">
        <f>+D169/D15</f>
        <v>2223.3581253243588</v>
      </c>
      <c r="E91" s="230">
        <f>+E169/E15</f>
        <v>1873.8018948538995</v>
      </c>
      <c r="F91" s="230">
        <f>+F169/F15</f>
        <v>1533.9141750437634</v>
      </c>
      <c r="G91" s="399">
        <f>+G169/G15</f>
        <v>1606.794081456587</v>
      </c>
      <c r="H91" s="509"/>
      <c r="I91" s="730"/>
      <c r="J91" s="730"/>
      <c r="K91" s="730"/>
      <c r="L91" s="730"/>
      <c r="M91" s="730"/>
      <c r="N91" s="730"/>
      <c r="O91" s="730"/>
      <c r="P91" s="730"/>
    </row>
    <row r="92" spans="1:17" s="11" customFormat="1" x14ac:dyDescent="0.2">
      <c r="A92" s="2"/>
      <c r="B92" s="40" t="s">
        <v>78</v>
      </c>
      <c r="C92" s="42"/>
      <c r="D92" s="157">
        <f t="shared" ref="D92:G92" si="66">(D91-C91)/C91</f>
        <v>-1.2682908589963768E-2</v>
      </c>
      <c r="E92" s="157">
        <f t="shared" si="66"/>
        <v>-0.157219939733939</v>
      </c>
      <c r="F92" s="157">
        <f t="shared" si="66"/>
        <v>-0.18138935644348742</v>
      </c>
      <c r="G92" s="400">
        <f t="shared" si="66"/>
        <v>4.7512375593467819E-2</v>
      </c>
      <c r="H92" s="731"/>
      <c r="I92" s="154"/>
      <c r="J92" s="154"/>
      <c r="K92" s="154"/>
      <c r="L92" s="154"/>
      <c r="M92" s="154"/>
      <c r="N92" s="154"/>
      <c r="O92" s="154"/>
      <c r="P92" s="154"/>
    </row>
    <row r="93" spans="1:17" s="96" customFormat="1" x14ac:dyDescent="0.2">
      <c r="A93" s="64">
        <v>21</v>
      </c>
      <c r="B93" s="132" t="s">
        <v>185</v>
      </c>
      <c r="C93" s="195">
        <f>+[8]ГОД!$L$22</f>
        <v>891.40301952264429</v>
      </c>
      <c r="D93" s="196">
        <f>+[9]ГОД!$J$22</f>
        <v>977.58454786238337</v>
      </c>
      <c r="E93" s="606">
        <f>D93*(E94)</f>
        <v>1055.7913116913742</v>
      </c>
      <c r="F93" s="606">
        <f t="shared" ref="F93:P93" si="67">E93*(F94)</f>
        <v>1140.2546166266841</v>
      </c>
      <c r="G93" s="606">
        <f t="shared" si="67"/>
        <v>1231.474985956819</v>
      </c>
      <c r="H93" s="606">
        <f t="shared" si="67"/>
        <v>1329.9929848333645</v>
      </c>
      <c r="I93" s="606">
        <f t="shared" si="67"/>
        <v>1436.3924236200337</v>
      </c>
      <c r="J93" s="606">
        <f t="shared" si="67"/>
        <v>1436.3924236200337</v>
      </c>
      <c r="K93" s="606">
        <f t="shared" si="67"/>
        <v>1436.3924236200337</v>
      </c>
      <c r="L93" s="606">
        <f t="shared" si="67"/>
        <v>1436.3924236200337</v>
      </c>
      <c r="M93" s="606">
        <f t="shared" si="67"/>
        <v>1436.3924236200337</v>
      </c>
      <c r="N93" s="606">
        <f t="shared" si="67"/>
        <v>1436.3924236200337</v>
      </c>
      <c r="O93" s="606">
        <f t="shared" si="67"/>
        <v>1450.756347856234</v>
      </c>
      <c r="P93" s="606">
        <f t="shared" si="67"/>
        <v>1479.7714748133587</v>
      </c>
    </row>
    <row r="94" spans="1:17" s="96" customFormat="1" x14ac:dyDescent="0.2">
      <c r="A94" s="64">
        <v>22</v>
      </c>
      <c r="B94" s="133" t="s">
        <v>7</v>
      </c>
      <c r="C94" s="151"/>
      <c r="D94" s="375">
        <f>+D93/C93</f>
        <v>1.096680767792205</v>
      </c>
      <c r="E94" s="152">
        <f>+СВОД!D61</f>
        <v>1.08</v>
      </c>
      <c r="F94" s="152">
        <f>+СВОД!E61</f>
        <v>1.08</v>
      </c>
      <c r="G94" s="152">
        <f>+СВОД!F61</f>
        <v>1.08</v>
      </c>
      <c r="H94" s="152">
        <f>+СВОД!G61</f>
        <v>1.08</v>
      </c>
      <c r="I94" s="152">
        <f>+СВОД!H61</f>
        <v>1.08</v>
      </c>
      <c r="J94" s="152">
        <f>+СВОД!I61</f>
        <v>1</v>
      </c>
      <c r="K94" s="152">
        <f>+СВОД!J61</f>
        <v>1</v>
      </c>
      <c r="L94" s="152">
        <f>+СВОД!K61</f>
        <v>1</v>
      </c>
      <c r="M94" s="152">
        <f>+СВОД!L61</f>
        <v>1</v>
      </c>
      <c r="N94" s="152">
        <f>+СВОД!M61</f>
        <v>1</v>
      </c>
      <c r="O94" s="152">
        <f>+СВОД!N61</f>
        <v>1.01</v>
      </c>
      <c r="P94" s="152">
        <f>+СВОД!O61</f>
        <v>1.02</v>
      </c>
    </row>
    <row r="95" spans="1:17" s="96" customFormat="1" x14ac:dyDescent="0.2">
      <c r="A95" s="64"/>
      <c r="B95" s="133" t="s">
        <v>630</v>
      </c>
      <c r="C95" s="675"/>
      <c r="D95" s="641">
        <f>+('[11]5.4.ЭРВ'!$L$5+'[11]5.4.ЭРВ'!$L$18)/'[11]4.1.РчПО_ТЭ'!$S$42</f>
        <v>642.55004875058455</v>
      </c>
      <c r="E95" s="640">
        <f t="shared" ref="E95:P95" si="68">+D95*E101</f>
        <v>663.03578918511687</v>
      </c>
      <c r="F95" s="640">
        <f t="shared" si="68"/>
        <v>682.92686286067044</v>
      </c>
      <c r="G95" s="640">
        <f t="shared" si="68"/>
        <v>703.41466874649052</v>
      </c>
      <c r="H95" s="640">
        <f t="shared" si="68"/>
        <v>724.51710880888527</v>
      </c>
      <c r="I95" s="640">
        <f t="shared" si="68"/>
        <v>746.25262207315188</v>
      </c>
      <c r="J95" s="640">
        <f t="shared" si="68"/>
        <v>768.64020073534641</v>
      </c>
      <c r="K95" s="640">
        <f t="shared" si="68"/>
        <v>791.69940675740679</v>
      </c>
      <c r="L95" s="640">
        <f t="shared" si="68"/>
        <v>815.45038896012898</v>
      </c>
      <c r="M95" s="640">
        <f t="shared" si="68"/>
        <v>839.91390062893288</v>
      </c>
      <c r="N95" s="640">
        <f t="shared" si="68"/>
        <v>865.11131764780089</v>
      </c>
      <c r="O95" s="640">
        <f t="shared" si="68"/>
        <v>891.06465717723495</v>
      </c>
      <c r="P95" s="640">
        <f t="shared" si="68"/>
        <v>917.79659689255197</v>
      </c>
    </row>
    <row r="96" spans="1:17" s="96" customFormat="1" ht="22.5" x14ac:dyDescent="0.2">
      <c r="A96" s="64" t="s">
        <v>73</v>
      </c>
      <c r="B96" s="133" t="s">
        <v>72</v>
      </c>
      <c r="C96" s="230">
        <f t="shared" ref="C96:P96" si="69">+C178/C49</f>
        <v>1134.4612417210506</v>
      </c>
      <c r="D96" s="230">
        <f t="shared" si="69"/>
        <v>1153.4959459590962</v>
      </c>
      <c r="E96" s="607">
        <f t="shared" si="69"/>
        <v>1235.7033115851004</v>
      </c>
      <c r="F96" s="607">
        <f t="shared" si="69"/>
        <v>1373.4463572539939</v>
      </c>
      <c r="G96" s="608">
        <f t="shared" si="69"/>
        <v>1456.7571685050273</v>
      </c>
      <c r="H96" s="609">
        <f t="shared" si="69"/>
        <v>1230.8794056553077</v>
      </c>
      <c r="I96" s="607">
        <f t="shared" si="69"/>
        <v>1192.1183780263002</v>
      </c>
      <c r="J96" s="607">
        <f t="shared" si="69"/>
        <v>1269.0359633707733</v>
      </c>
      <c r="K96" s="607">
        <f t="shared" si="69"/>
        <v>1292.034852276367</v>
      </c>
      <c r="L96" s="607">
        <f t="shared" si="69"/>
        <v>1317.0028707900319</v>
      </c>
      <c r="M96" s="607">
        <f t="shared" si="69"/>
        <v>1352.2724064290708</v>
      </c>
      <c r="N96" s="607">
        <f t="shared" si="69"/>
        <v>1388.6604632686488</v>
      </c>
      <c r="O96" s="607">
        <f t="shared" si="69"/>
        <v>1426.2022244196219</v>
      </c>
      <c r="P96" s="607">
        <f t="shared" si="69"/>
        <v>1464.9343270930538</v>
      </c>
    </row>
    <row r="97" spans="1:19" s="96" customFormat="1" x14ac:dyDescent="0.2">
      <c r="A97" s="64" t="s">
        <v>74</v>
      </c>
      <c r="B97" s="133" t="s">
        <v>75</v>
      </c>
      <c r="C97" s="135"/>
      <c r="D97" s="157">
        <f t="shared" ref="D97:P97" si="70">(D96-C96)/C96</f>
        <v>1.6778628954453072E-2</v>
      </c>
      <c r="E97" s="157">
        <f t="shared" si="70"/>
        <v>7.1268014347160444E-2</v>
      </c>
      <c r="F97" s="157">
        <f t="shared" si="70"/>
        <v>0.11146935059371443</v>
      </c>
      <c r="G97" s="400">
        <f t="shared" si="70"/>
        <v>6.0658219966887653E-2</v>
      </c>
      <c r="H97" s="448">
        <f t="shared" si="70"/>
        <v>-0.15505519226757805</v>
      </c>
      <c r="I97" s="157">
        <f t="shared" si="70"/>
        <v>-3.1490516009057348E-2</v>
      </c>
      <c r="J97" s="157">
        <f t="shared" si="70"/>
        <v>6.4521767940378269E-2</v>
      </c>
      <c r="K97" s="157">
        <f t="shared" si="70"/>
        <v>1.8123118311402939E-2</v>
      </c>
      <c r="L97" s="157">
        <f t="shared" si="70"/>
        <v>1.9324570439934408E-2</v>
      </c>
      <c r="M97" s="157">
        <f t="shared" si="70"/>
        <v>2.6780150917880441E-2</v>
      </c>
      <c r="N97" s="157">
        <f t="shared" si="70"/>
        <v>2.6908821526328029E-2</v>
      </c>
      <c r="O97" s="157">
        <f t="shared" si="70"/>
        <v>2.7034514299202256E-2</v>
      </c>
      <c r="P97" s="157">
        <f t="shared" si="70"/>
        <v>2.7157511052959903E-2</v>
      </c>
    </row>
    <row r="98" spans="1:19" s="96" customFormat="1" x14ac:dyDescent="0.2">
      <c r="A98" s="64" t="s">
        <v>20</v>
      </c>
      <c r="B98" s="132" t="s">
        <v>408</v>
      </c>
      <c r="C98" s="155">
        <f>+[8]ГОД!$E$22+[8]ГОД!$E$25</f>
        <v>1437.4878616436636</v>
      </c>
      <c r="D98" s="155">
        <f>+'[11]6.4.Рч_тф'!$C$21</f>
        <v>1494.3340947457748</v>
      </c>
      <c r="E98" s="128">
        <f>D98*(E99)</f>
        <v>1613.8808223254368</v>
      </c>
      <c r="F98" s="128">
        <f t="shared" ref="F98:P98" si="71">E98*(F99)</f>
        <v>1742.9912881114719</v>
      </c>
      <c r="G98" s="128">
        <f t="shared" si="71"/>
        <v>1882.4305911603899</v>
      </c>
      <c r="H98" s="128">
        <f t="shared" si="71"/>
        <v>2033.0250384532212</v>
      </c>
      <c r="I98" s="128">
        <f t="shared" si="71"/>
        <v>2195.6670415294789</v>
      </c>
      <c r="J98" s="128">
        <f t="shared" si="71"/>
        <v>2195.6670415294789</v>
      </c>
      <c r="K98" s="128">
        <f t="shared" si="71"/>
        <v>2195.6670415294789</v>
      </c>
      <c r="L98" s="128">
        <f t="shared" si="71"/>
        <v>2195.6670415294789</v>
      </c>
      <c r="M98" s="128">
        <f t="shared" si="71"/>
        <v>2195.6670415294789</v>
      </c>
      <c r="N98" s="128">
        <f t="shared" si="71"/>
        <v>2195.6670415294789</v>
      </c>
      <c r="O98" s="128">
        <f t="shared" si="71"/>
        <v>2217.6237119447737</v>
      </c>
      <c r="P98" s="128">
        <f t="shared" si="71"/>
        <v>2261.9761861836691</v>
      </c>
    </row>
    <row r="99" spans="1:19" s="96" customFormat="1" x14ac:dyDescent="0.2">
      <c r="A99" s="64"/>
      <c r="B99" s="133" t="s">
        <v>75</v>
      </c>
      <c r="C99" s="154"/>
      <c r="D99" s="157">
        <f>+D98/C98</f>
        <v>1.0395455395617126</v>
      </c>
      <c r="E99" s="157">
        <f>+E94</f>
        <v>1.08</v>
      </c>
      <c r="F99" s="157">
        <f t="shared" ref="F99:P99" si="72">+F94</f>
        <v>1.08</v>
      </c>
      <c r="G99" s="157">
        <f t="shared" si="72"/>
        <v>1.08</v>
      </c>
      <c r="H99" s="157">
        <f t="shared" si="72"/>
        <v>1.08</v>
      </c>
      <c r="I99" s="157">
        <f t="shared" si="72"/>
        <v>1.08</v>
      </c>
      <c r="J99" s="157">
        <f t="shared" si="72"/>
        <v>1</v>
      </c>
      <c r="K99" s="157">
        <f t="shared" si="72"/>
        <v>1</v>
      </c>
      <c r="L99" s="157">
        <f t="shared" si="72"/>
        <v>1</v>
      </c>
      <c r="M99" s="157">
        <f t="shared" si="72"/>
        <v>1</v>
      </c>
      <c r="N99" s="157">
        <f t="shared" si="72"/>
        <v>1</v>
      </c>
      <c r="O99" s="157">
        <f t="shared" si="72"/>
        <v>1.01</v>
      </c>
      <c r="P99" s="157">
        <f t="shared" si="72"/>
        <v>1.02</v>
      </c>
    </row>
    <row r="100" spans="1:19" s="136" customFormat="1" ht="22.5" x14ac:dyDescent="0.2">
      <c r="A100" s="64">
        <v>23</v>
      </c>
      <c r="B100" s="132" t="s">
        <v>184</v>
      </c>
      <c r="C100" s="141">
        <f>+'[4]4.4.Р_т'!$E$150</f>
        <v>5195.375787039784</v>
      </c>
      <c r="D100" s="141">
        <f>+'[4]4.4.Р_т'!$O$150</f>
        <v>5391.8265926278982</v>
      </c>
      <c r="E100" s="141">
        <f>+'[4]4.4.Р_т'!$Y$149</f>
        <v>5563.7284705584352</v>
      </c>
      <c r="F100" s="105">
        <f>E100*(F101)</f>
        <v>5730.6403246751888</v>
      </c>
      <c r="G100" s="105">
        <f t="shared" ref="G100:P100" si="73">F100*(G101)</f>
        <v>5902.5595344154444</v>
      </c>
      <c r="H100" s="105">
        <f t="shared" si="73"/>
        <v>6079.6363204479076</v>
      </c>
      <c r="I100" s="105">
        <f t="shared" si="73"/>
        <v>6262.0254100613447</v>
      </c>
      <c r="J100" s="105">
        <f t="shared" si="73"/>
        <v>6449.8861723631853</v>
      </c>
      <c r="K100" s="105">
        <f t="shared" si="73"/>
        <v>6643.3827575340811</v>
      </c>
      <c r="L100" s="105">
        <f t="shared" si="73"/>
        <v>6842.6842402601033</v>
      </c>
      <c r="M100" s="105">
        <f t="shared" si="73"/>
        <v>7047.9647674679063</v>
      </c>
      <c r="N100" s="105">
        <f t="shared" si="73"/>
        <v>7259.4037104919435</v>
      </c>
      <c r="O100" s="105">
        <f t="shared" si="73"/>
        <v>7477.1858218067018</v>
      </c>
      <c r="P100" s="105">
        <f t="shared" si="73"/>
        <v>7701.5013964609034</v>
      </c>
    </row>
    <row r="101" spans="1:19" s="138" customFormat="1" ht="12" thickBot="1" x14ac:dyDescent="0.25">
      <c r="A101" s="64">
        <v>24</v>
      </c>
      <c r="B101" s="133" t="s">
        <v>6</v>
      </c>
      <c r="C101" s="137"/>
      <c r="D101" s="70">
        <f>+D100/C100</f>
        <v>1.0378126267744046</v>
      </c>
      <c r="E101" s="70">
        <f>+E100/D100</f>
        <v>1.0318819374060684</v>
      </c>
      <c r="F101" s="471">
        <f>+'[4]+Газ'!$H$32</f>
        <v>1.03</v>
      </c>
      <c r="G101" s="70">
        <f t="shared" ref="G101:P101" si="74">+F101</f>
        <v>1.03</v>
      </c>
      <c r="H101" s="70">
        <f t="shared" si="74"/>
        <v>1.03</v>
      </c>
      <c r="I101" s="70">
        <f t="shared" si="74"/>
        <v>1.03</v>
      </c>
      <c r="J101" s="70">
        <f t="shared" si="74"/>
        <v>1.03</v>
      </c>
      <c r="K101" s="70">
        <f t="shared" si="74"/>
        <v>1.03</v>
      </c>
      <c r="L101" s="70">
        <f t="shared" si="74"/>
        <v>1.03</v>
      </c>
      <c r="M101" s="70">
        <f t="shared" si="74"/>
        <v>1.03</v>
      </c>
      <c r="N101" s="70">
        <f t="shared" si="74"/>
        <v>1.03</v>
      </c>
      <c r="O101" s="70">
        <f t="shared" si="74"/>
        <v>1.03</v>
      </c>
      <c r="P101" s="70">
        <f t="shared" si="74"/>
        <v>1.03</v>
      </c>
      <c r="Q101" s="96"/>
    </row>
    <row r="102" spans="1:19" s="96" customFormat="1" x14ac:dyDescent="0.2">
      <c r="A102" s="64"/>
      <c r="B102" s="133" t="s">
        <v>610</v>
      </c>
      <c r="C102" s="137"/>
      <c r="D102" s="641">
        <f>+('[11]5.4.ЭРВ'!$L$5+'[11]5.4.ЭРВ'!$L$18)/'[11]4.1.РчПО_ТЭ'!$S$64</f>
        <v>796.82125602687006</v>
      </c>
      <c r="E102" s="640">
        <f>+D102*E101</f>
        <v>822.2254614353435</v>
      </c>
      <c r="F102" s="640">
        <f t="shared" ref="F102:P102" si="75">+E102*F101</f>
        <v>846.89222527840388</v>
      </c>
      <c r="G102" s="640">
        <f t="shared" si="75"/>
        <v>872.29899203675598</v>
      </c>
      <c r="H102" s="640">
        <f t="shared" si="75"/>
        <v>898.46796179785872</v>
      </c>
      <c r="I102" s="640">
        <f t="shared" si="75"/>
        <v>925.42200065179452</v>
      </c>
      <c r="J102" s="640">
        <f t="shared" si="75"/>
        <v>953.18466067134841</v>
      </c>
      <c r="K102" s="640">
        <f t="shared" si="75"/>
        <v>981.78020049148893</v>
      </c>
      <c r="L102" s="640">
        <f t="shared" si="75"/>
        <v>1011.2336065062336</v>
      </c>
      <c r="M102" s="640">
        <f t="shared" si="75"/>
        <v>1041.5706147014207</v>
      </c>
      <c r="N102" s="640">
        <f t="shared" si="75"/>
        <v>1072.8177331424633</v>
      </c>
      <c r="O102" s="640">
        <f t="shared" si="75"/>
        <v>1105.0022651367374</v>
      </c>
      <c r="P102" s="640">
        <f t="shared" si="75"/>
        <v>1138.1523330908394</v>
      </c>
    </row>
    <row r="103" spans="1:19" s="96" customFormat="1" x14ac:dyDescent="0.2">
      <c r="A103" s="64"/>
      <c r="B103" s="133" t="s">
        <v>611</v>
      </c>
      <c r="C103" s="137"/>
      <c r="D103" s="640">
        <f>+D98-D102</f>
        <v>697.51283871890473</v>
      </c>
      <c r="E103" s="640">
        <f t="shared" ref="E103:P103" si="76">+E98-E102</f>
        <v>791.65536089009333</v>
      </c>
      <c r="F103" s="640">
        <f t="shared" si="76"/>
        <v>896.09906283306805</v>
      </c>
      <c r="G103" s="640">
        <f t="shared" si="76"/>
        <v>1010.1315991236339</v>
      </c>
      <c r="H103" s="640">
        <f t="shared" si="76"/>
        <v>1134.5570766553624</v>
      </c>
      <c r="I103" s="640">
        <f t="shared" si="76"/>
        <v>1270.2450408776845</v>
      </c>
      <c r="J103" s="640">
        <f t="shared" si="76"/>
        <v>1242.4823808581305</v>
      </c>
      <c r="K103" s="640">
        <f t="shared" si="76"/>
        <v>1213.8868410379901</v>
      </c>
      <c r="L103" s="640">
        <f t="shared" si="76"/>
        <v>1184.4334350232452</v>
      </c>
      <c r="M103" s="640">
        <f t="shared" si="76"/>
        <v>1154.0964268280582</v>
      </c>
      <c r="N103" s="640">
        <f t="shared" si="76"/>
        <v>1122.8493083870155</v>
      </c>
      <c r="O103" s="640">
        <f t="shared" si="76"/>
        <v>1112.6214468080364</v>
      </c>
      <c r="P103" s="640">
        <f t="shared" si="76"/>
        <v>1123.8238530928297</v>
      </c>
    </row>
    <row r="104" spans="1:19" s="144" customFormat="1" x14ac:dyDescent="0.2">
      <c r="A104" s="142">
        <v>27</v>
      </c>
      <c r="B104" s="148" t="s">
        <v>5</v>
      </c>
      <c r="C104" s="137"/>
      <c r="D104" s="145">
        <f>1+'[4]5.2.Оп_i1'!$E$6</f>
        <v>1.04</v>
      </c>
      <c r="E104" s="147">
        <f>+D104</f>
        <v>1.04</v>
      </c>
      <c r="F104" s="147">
        <f t="shared" ref="F104:P104" si="77">+E104</f>
        <v>1.04</v>
      </c>
      <c r="G104" s="147">
        <f t="shared" si="77"/>
        <v>1.04</v>
      </c>
      <c r="H104" s="147">
        <f t="shared" si="77"/>
        <v>1.04</v>
      </c>
      <c r="I104" s="147">
        <f t="shared" si="77"/>
        <v>1.04</v>
      </c>
      <c r="J104" s="147">
        <f t="shared" si="77"/>
        <v>1.04</v>
      </c>
      <c r="K104" s="147">
        <f t="shared" si="77"/>
        <v>1.04</v>
      </c>
      <c r="L104" s="147">
        <f t="shared" si="77"/>
        <v>1.04</v>
      </c>
      <c r="M104" s="147">
        <f t="shared" si="77"/>
        <v>1.04</v>
      </c>
      <c r="N104" s="147">
        <f t="shared" si="77"/>
        <v>1.04</v>
      </c>
      <c r="O104" s="147">
        <f t="shared" si="77"/>
        <v>1.04</v>
      </c>
      <c r="P104" s="147">
        <f t="shared" si="77"/>
        <v>1.04</v>
      </c>
      <c r="Q104" s="143"/>
    </row>
    <row r="105" spans="1:19" s="139" customFormat="1" x14ac:dyDescent="0.2">
      <c r="A105" s="64"/>
      <c r="B105" s="149" t="s">
        <v>52</v>
      </c>
      <c r="C105" s="137"/>
      <c r="D105" s="146">
        <f>+D104</f>
        <v>1.04</v>
      </c>
      <c r="E105" s="146">
        <f>+D105*E104</f>
        <v>1.0816000000000001</v>
      </c>
      <c r="F105" s="146">
        <f t="shared" ref="F105:P105" si="78">+E105*F104</f>
        <v>1.1248640000000001</v>
      </c>
      <c r="G105" s="146">
        <f t="shared" si="78"/>
        <v>1.1698585600000002</v>
      </c>
      <c r="H105" s="146">
        <f t="shared" si="78"/>
        <v>1.2166529024000003</v>
      </c>
      <c r="I105" s="146">
        <f t="shared" si="78"/>
        <v>1.2653190184960004</v>
      </c>
      <c r="J105" s="146">
        <f t="shared" si="78"/>
        <v>1.3159317792358405</v>
      </c>
      <c r="K105" s="146">
        <f t="shared" si="78"/>
        <v>1.3685690504052741</v>
      </c>
      <c r="L105" s="146">
        <f t="shared" si="78"/>
        <v>1.4233118124214852</v>
      </c>
      <c r="M105" s="146">
        <f t="shared" si="78"/>
        <v>1.4802442849183446</v>
      </c>
      <c r="N105" s="146">
        <f t="shared" si="78"/>
        <v>1.5394540563150785</v>
      </c>
      <c r="O105" s="146">
        <f t="shared" si="78"/>
        <v>1.6010322185676817</v>
      </c>
      <c r="P105" s="146">
        <f t="shared" si="78"/>
        <v>1.6650735073103891</v>
      </c>
      <c r="Q105" s="96"/>
    </row>
    <row r="106" spans="1:19" s="130" customFormat="1" x14ac:dyDescent="0.2">
      <c r="A106" s="150"/>
      <c r="B106" s="164"/>
      <c r="C106" s="137"/>
      <c r="D106" s="165"/>
      <c r="E106" s="165"/>
      <c r="F106" s="166"/>
      <c r="G106" s="401"/>
      <c r="H106" s="165"/>
      <c r="I106" s="430"/>
      <c r="J106" s="165"/>
      <c r="K106" s="165"/>
      <c r="L106" s="165"/>
      <c r="M106" s="165"/>
      <c r="N106" s="165"/>
      <c r="O106" s="165"/>
      <c r="P106" s="165"/>
    </row>
    <row r="107" spans="1:19" s="18" customFormat="1" ht="12" x14ac:dyDescent="0.2">
      <c r="A107" s="2"/>
      <c r="B107" s="256" t="s">
        <v>10</v>
      </c>
      <c r="C107" s="28"/>
      <c r="D107" s="28"/>
      <c r="E107" s="28"/>
      <c r="F107" s="28"/>
      <c r="G107" s="398"/>
      <c r="H107" s="26"/>
      <c r="I107" s="27"/>
      <c r="J107" s="28"/>
      <c r="K107" s="28"/>
      <c r="L107" s="28"/>
      <c r="M107" s="28"/>
      <c r="N107" s="28"/>
      <c r="O107" s="28"/>
      <c r="P107" s="28"/>
      <c r="Q107" s="17"/>
    </row>
    <row r="108" spans="1:19" s="18" customFormat="1" x14ac:dyDescent="0.2">
      <c r="A108" s="2">
        <v>26</v>
      </c>
      <c r="B108" s="6" t="s">
        <v>412</v>
      </c>
      <c r="C108" s="160">
        <f>SUM(C109:C111)</f>
        <v>0</v>
      </c>
      <c r="D108" s="160">
        <f t="shared" ref="D108:P108" si="79">SUM(D109:D111)</f>
        <v>0</v>
      </c>
      <c r="E108" s="160">
        <f t="shared" si="79"/>
        <v>140000</v>
      </c>
      <c r="F108" s="160">
        <f t="shared" si="79"/>
        <v>140000</v>
      </c>
      <c r="G108" s="160">
        <f t="shared" si="79"/>
        <v>0</v>
      </c>
      <c r="H108" s="160">
        <f t="shared" si="79"/>
        <v>0</v>
      </c>
      <c r="I108" s="160">
        <f t="shared" si="79"/>
        <v>140000</v>
      </c>
      <c r="J108" s="160">
        <f t="shared" si="79"/>
        <v>7315.5114504874891</v>
      </c>
      <c r="K108" s="160">
        <f t="shared" si="79"/>
        <v>10115.511450487489</v>
      </c>
      <c r="L108" s="160">
        <f t="shared" si="79"/>
        <v>10261.82167949724</v>
      </c>
      <c r="M108" s="160">
        <f t="shared" si="79"/>
        <v>10464.131908506988</v>
      </c>
      <c r="N108" s="160">
        <f t="shared" si="79"/>
        <v>10669.368342096932</v>
      </c>
      <c r="O108" s="160">
        <f t="shared" si="79"/>
        <v>10878.650980267072</v>
      </c>
      <c r="P108" s="160">
        <f t="shared" si="79"/>
        <v>11092.03834710901</v>
      </c>
      <c r="Q108" s="17"/>
    </row>
    <row r="109" spans="1:19" s="233" customFormat="1" ht="22.5" x14ac:dyDescent="0.2">
      <c r="A109" s="567">
        <v>1</v>
      </c>
      <c r="B109" s="568" t="s">
        <v>665</v>
      </c>
      <c r="C109" s="564"/>
      <c r="D109" s="564"/>
      <c r="E109" s="569">
        <v>140000</v>
      </c>
      <c r="F109" s="569">
        <v>140000</v>
      </c>
      <c r="G109" s="569">
        <v>0</v>
      </c>
      <c r="H109" s="569">
        <v>0</v>
      </c>
      <c r="I109" s="569">
        <v>140000</v>
      </c>
      <c r="J109" s="564"/>
      <c r="K109" s="564"/>
      <c r="L109" s="564"/>
      <c r="M109" s="564"/>
      <c r="N109" s="564"/>
      <c r="O109" s="564"/>
      <c r="P109" s="564"/>
      <c r="Q109" s="235"/>
    </row>
    <row r="110" spans="1:19" s="717" customFormat="1" ht="12.75" customHeight="1" x14ac:dyDescent="0.2">
      <c r="A110" s="714"/>
      <c r="B110" s="715" t="s">
        <v>658</v>
      </c>
      <c r="C110" s="716"/>
      <c r="D110" s="716"/>
      <c r="E110" s="716"/>
      <c r="F110" s="716"/>
      <c r="G110" s="716"/>
      <c r="H110" s="716"/>
      <c r="I110" s="716"/>
      <c r="J110" s="718">
        <f>+I114*$R110</f>
        <v>7315.5114504874891</v>
      </c>
      <c r="K110" s="718">
        <f t="shared" ref="K110:P110" si="80">+J114*$R110</f>
        <v>10115.511450487489</v>
      </c>
      <c r="L110" s="718">
        <f t="shared" si="80"/>
        <v>10261.82167949724</v>
      </c>
      <c r="M110" s="718">
        <f t="shared" si="80"/>
        <v>10464.131908506988</v>
      </c>
      <c r="N110" s="718">
        <f t="shared" si="80"/>
        <v>10669.368342096932</v>
      </c>
      <c r="O110" s="718">
        <f t="shared" si="80"/>
        <v>10878.650980267072</v>
      </c>
      <c r="P110" s="718">
        <f t="shared" si="80"/>
        <v>11092.03834710901</v>
      </c>
      <c r="R110" s="719">
        <v>0.2</v>
      </c>
      <c r="S110" s="717" t="s">
        <v>657</v>
      </c>
    </row>
    <row r="111" spans="1:19" s="11" customFormat="1" x14ac:dyDescent="0.2">
      <c r="A111" s="2"/>
      <c r="B111" s="46"/>
      <c r="C111" s="158"/>
      <c r="D111" s="158"/>
      <c r="E111" s="158"/>
      <c r="F111" s="158"/>
      <c r="G111" s="403"/>
      <c r="H111" s="158"/>
      <c r="I111" s="431"/>
      <c r="J111" s="158"/>
      <c r="K111" s="158"/>
      <c r="L111" s="158"/>
      <c r="M111" s="158"/>
      <c r="N111" s="158"/>
      <c r="O111" s="158"/>
      <c r="P111" s="158"/>
    </row>
    <row r="112" spans="1:19" s="18" customFormat="1" ht="12" x14ac:dyDescent="0.2">
      <c r="A112" s="2"/>
      <c r="B112" s="256" t="s">
        <v>42</v>
      </c>
      <c r="C112" s="28"/>
      <c r="D112" s="28"/>
      <c r="E112" s="28"/>
      <c r="F112" s="28"/>
      <c r="G112" s="398"/>
      <c r="H112" s="26"/>
      <c r="I112" s="27"/>
      <c r="J112" s="28"/>
      <c r="K112" s="28"/>
      <c r="L112" s="28"/>
      <c r="M112" s="28"/>
      <c r="N112" s="28"/>
      <c r="O112" s="28"/>
      <c r="P112" s="28"/>
      <c r="Q112" s="17"/>
    </row>
    <row r="113" spans="1:17" s="13" customFormat="1" x14ac:dyDescent="0.2">
      <c r="A113" s="1">
        <v>29</v>
      </c>
      <c r="B113" s="44" t="s">
        <v>4</v>
      </c>
      <c r="C113" s="570">
        <v>120</v>
      </c>
      <c r="D113" s="180">
        <f>+C113</f>
        <v>120</v>
      </c>
      <c r="E113" s="180">
        <f t="shared" ref="E113:I113" si="81">+D113</f>
        <v>120</v>
      </c>
      <c r="F113" s="180">
        <f t="shared" si="81"/>
        <v>120</v>
      </c>
      <c r="G113" s="404">
        <f t="shared" si="81"/>
        <v>120</v>
      </c>
      <c r="H113" s="180">
        <f t="shared" si="81"/>
        <v>120</v>
      </c>
      <c r="I113" s="180">
        <f t="shared" si="81"/>
        <v>120</v>
      </c>
      <c r="J113" s="180">
        <f t="shared" ref="J113" si="82">+I113</f>
        <v>120</v>
      </c>
      <c r="K113" s="180">
        <f t="shared" ref="K113" si="83">+J113</f>
        <v>120</v>
      </c>
      <c r="L113" s="180">
        <f t="shared" ref="L113" si="84">+K113</f>
        <v>120</v>
      </c>
      <c r="M113" s="180">
        <f t="shared" ref="M113" si="85">+L113</f>
        <v>120</v>
      </c>
      <c r="N113" s="180">
        <f t="shared" ref="N113" si="86">+M113</f>
        <v>120</v>
      </c>
      <c r="O113" s="180">
        <f t="shared" ref="O113" si="87">+N113</f>
        <v>120</v>
      </c>
      <c r="P113" s="180">
        <f t="shared" ref="P113" si="88">+O113</f>
        <v>120</v>
      </c>
    </row>
    <row r="114" spans="1:17" s="130" customFormat="1" x14ac:dyDescent="0.2">
      <c r="A114" s="150">
        <v>30</v>
      </c>
      <c r="B114" s="168" t="s">
        <v>186</v>
      </c>
      <c r="C114" s="176">
        <f>+'[4]+Ам'!$D$97</f>
        <v>8577.5572524374402</v>
      </c>
      <c r="D114" s="177">
        <f>IF(D115-C117-C114&lt;0,0,IF(C117+C114*2&gt;D115,D115-C117-C114,IF(C113=0,C114,+C114+C116/C113*12)))</f>
        <v>8577.5572524374402</v>
      </c>
      <c r="E114" s="177">
        <f>IF(E115-D117-D114&lt;0,0,IF(D117+D114*2&gt;E115,E115-D117-D114,IF(D113=0,D114,+D114+D116/D113*12)))</f>
        <v>8577.5572524374402</v>
      </c>
      <c r="F114" s="177">
        <f>IF(F115-E117-E114&lt;0,0,IF(E117+E114*2&gt;F115,F115-E117-E114,IF(E113=0,E114,+E114+E116/E113*12)))</f>
        <v>22577.55725243744</v>
      </c>
      <c r="G114" s="405">
        <f t="shared" ref="G114:P114" si="89">IF(G115-F117-F114&lt;0,0,IF(F117+F114*2&gt;G115,G115-F117-F114,IF(F113=0,F114,+F114+F116/F113*12)))</f>
        <v>36577.557252437444</v>
      </c>
      <c r="H114" s="177">
        <f t="shared" si="89"/>
        <v>36577.557252437444</v>
      </c>
      <c r="I114" s="432">
        <f t="shared" si="89"/>
        <v>36577.557252437444</v>
      </c>
      <c r="J114" s="177">
        <f t="shared" si="89"/>
        <v>50577.557252437444</v>
      </c>
      <c r="K114" s="177">
        <f t="shared" si="89"/>
        <v>51309.10839748619</v>
      </c>
      <c r="L114" s="177">
        <f t="shared" si="89"/>
        <v>52320.659542534937</v>
      </c>
      <c r="M114" s="177">
        <f t="shared" si="89"/>
        <v>53346.841710484659</v>
      </c>
      <c r="N114" s="177">
        <f t="shared" si="89"/>
        <v>54393.254901335356</v>
      </c>
      <c r="O114" s="177">
        <f t="shared" si="89"/>
        <v>55460.19173554505</v>
      </c>
      <c r="P114" s="177">
        <f t="shared" si="89"/>
        <v>56548.056833571754</v>
      </c>
    </row>
    <row r="115" spans="1:17" s="96" customFormat="1" x14ac:dyDescent="0.2">
      <c r="A115" s="64">
        <v>31</v>
      </c>
      <c r="B115" s="149" t="s">
        <v>187</v>
      </c>
      <c r="C115" s="178">
        <f>+'[13]Расчет ТЭЦ-1'!$O$216/1000</f>
        <v>96394.211569999999</v>
      </c>
      <c r="D115" s="179">
        <f>+C115+C116</f>
        <v>96394.211569999999</v>
      </c>
      <c r="E115" s="179">
        <f t="shared" ref="E115:P115" si="90">+D115+D116</f>
        <v>96394.211569999999</v>
      </c>
      <c r="F115" s="179">
        <f t="shared" si="90"/>
        <v>236394.21156999998</v>
      </c>
      <c r="G115" s="406">
        <f t="shared" si="90"/>
        <v>376394.21156999998</v>
      </c>
      <c r="H115" s="179">
        <f t="shared" si="90"/>
        <v>376394.21156999998</v>
      </c>
      <c r="I115" s="433">
        <f t="shared" si="90"/>
        <v>376394.21156999998</v>
      </c>
      <c r="J115" s="179">
        <f t="shared" si="90"/>
        <v>516394.21156999998</v>
      </c>
      <c r="K115" s="179">
        <f t="shared" si="90"/>
        <v>523709.72302048746</v>
      </c>
      <c r="L115" s="179">
        <f t="shared" si="90"/>
        <v>533825.234470975</v>
      </c>
      <c r="M115" s="179">
        <f t="shared" si="90"/>
        <v>544087.05615047226</v>
      </c>
      <c r="N115" s="179">
        <f t="shared" si="90"/>
        <v>554551.18805897923</v>
      </c>
      <c r="O115" s="179">
        <f t="shared" si="90"/>
        <v>565220.55640107614</v>
      </c>
      <c r="P115" s="179">
        <f t="shared" si="90"/>
        <v>576099.20738134324</v>
      </c>
    </row>
    <row r="116" spans="1:17" s="96" customFormat="1" x14ac:dyDescent="0.2">
      <c r="A116" s="64"/>
      <c r="B116" s="149" t="s">
        <v>191</v>
      </c>
      <c r="C116" s="179">
        <f>+C108</f>
        <v>0</v>
      </c>
      <c r="D116" s="179">
        <f>+D108</f>
        <v>0</v>
      </c>
      <c r="E116" s="179">
        <f>+E108</f>
        <v>140000</v>
      </c>
      <c r="F116" s="179">
        <f>+F108</f>
        <v>140000</v>
      </c>
      <c r="G116" s="406">
        <f>+G108</f>
        <v>0</v>
      </c>
      <c r="H116" s="179">
        <f t="shared" ref="H116:P116" si="91">+H108</f>
        <v>0</v>
      </c>
      <c r="I116" s="433">
        <f t="shared" si="91"/>
        <v>140000</v>
      </c>
      <c r="J116" s="179">
        <f t="shared" si="91"/>
        <v>7315.5114504874891</v>
      </c>
      <c r="K116" s="179">
        <f t="shared" si="91"/>
        <v>10115.511450487489</v>
      </c>
      <c r="L116" s="179">
        <f t="shared" si="91"/>
        <v>10261.82167949724</v>
      </c>
      <c r="M116" s="179">
        <f t="shared" si="91"/>
        <v>10464.131908506988</v>
      </c>
      <c r="N116" s="179">
        <f t="shared" si="91"/>
        <v>10669.368342096932</v>
      </c>
      <c r="O116" s="179">
        <f t="shared" si="91"/>
        <v>10878.650980267072</v>
      </c>
      <c r="P116" s="179">
        <f t="shared" si="91"/>
        <v>11092.03834710901</v>
      </c>
    </row>
    <row r="117" spans="1:17" s="96" customFormat="1" x14ac:dyDescent="0.2">
      <c r="A117" s="64"/>
      <c r="B117" s="149" t="s">
        <v>190</v>
      </c>
      <c r="C117" s="178">
        <f>+'[13]Расчет ТЭЦ-1'!$P$216/1000-C114/12*7</f>
        <v>19295.506466078161</v>
      </c>
      <c r="D117" s="179">
        <f>IF(+C117+C114&gt;C115,C115,+C117+C114)</f>
        <v>27873.063718515601</v>
      </c>
      <c r="E117" s="179">
        <f t="shared" ref="E117:P117" si="92">IF(+D117+D114&gt;D115,D115,+D117+D114)</f>
        <v>36450.620970953038</v>
      </c>
      <c r="F117" s="179">
        <f t="shared" si="92"/>
        <v>45028.178223390481</v>
      </c>
      <c r="G117" s="406">
        <f t="shared" si="92"/>
        <v>67605.735475827925</v>
      </c>
      <c r="H117" s="179">
        <f t="shared" si="92"/>
        <v>104183.29272826537</v>
      </c>
      <c r="I117" s="433">
        <f t="shared" si="92"/>
        <v>140760.8499807028</v>
      </c>
      <c r="J117" s="179">
        <f t="shared" si="92"/>
        <v>177338.40723314026</v>
      </c>
      <c r="K117" s="179">
        <f t="shared" si="92"/>
        <v>227915.96448557772</v>
      </c>
      <c r="L117" s="179">
        <f t="shared" si="92"/>
        <v>279225.07288306393</v>
      </c>
      <c r="M117" s="179">
        <f t="shared" si="92"/>
        <v>331545.73242559889</v>
      </c>
      <c r="N117" s="179">
        <f t="shared" si="92"/>
        <v>384892.57413608354</v>
      </c>
      <c r="O117" s="179">
        <f t="shared" si="92"/>
        <v>439285.82903741888</v>
      </c>
      <c r="P117" s="179">
        <f t="shared" si="92"/>
        <v>494746.02077296394</v>
      </c>
    </row>
    <row r="118" spans="1:17" s="96" customFormat="1" x14ac:dyDescent="0.2">
      <c r="A118" s="64"/>
      <c r="B118" s="149" t="s">
        <v>189</v>
      </c>
      <c r="C118" s="174">
        <f>+C117/C115</f>
        <v>0.20017287502855977</v>
      </c>
      <c r="D118" s="174">
        <f t="shared" ref="D118:P118" si="93">+D117/D115</f>
        <v>0.28915702783952552</v>
      </c>
      <c r="E118" s="174">
        <f t="shared" si="93"/>
        <v>0.37814118065049118</v>
      </c>
      <c r="F118" s="174">
        <f t="shared" si="93"/>
        <v>0.19047919119651091</v>
      </c>
      <c r="G118" s="386">
        <f t="shared" si="93"/>
        <v>0.17961417417614814</v>
      </c>
      <c r="H118" s="174">
        <f t="shared" si="93"/>
        <v>0.27679302583772564</v>
      </c>
      <c r="I118" s="70">
        <f t="shared" si="93"/>
        <v>0.37397187749930305</v>
      </c>
      <c r="J118" s="174">
        <f t="shared" si="93"/>
        <v>0.34341672168240617</v>
      </c>
      <c r="K118" s="174">
        <f t="shared" si="93"/>
        <v>0.4351952130487019</v>
      </c>
      <c r="L118" s="174">
        <f t="shared" si="93"/>
        <v>0.52306458153814739</v>
      </c>
      <c r="M118" s="174">
        <f t="shared" si="93"/>
        <v>0.60936155101970835</v>
      </c>
      <c r="N118" s="174">
        <f t="shared" si="93"/>
        <v>0.69406140032495667</v>
      </c>
      <c r="O118" s="174">
        <f t="shared" si="93"/>
        <v>0.77719365310150723</v>
      </c>
      <c r="P118" s="174">
        <f t="shared" si="93"/>
        <v>0.85878615077745046</v>
      </c>
    </row>
    <row r="119" spans="1:17" s="96" customFormat="1" x14ac:dyDescent="0.2">
      <c r="A119" s="64">
        <v>32</v>
      </c>
      <c r="B119" s="149" t="s">
        <v>188</v>
      </c>
      <c r="C119" s="180">
        <f>IF(+C115+C116-C117-C114&lt;0,0,+C115+C116-C117-C114)</f>
        <v>68521.147851484391</v>
      </c>
      <c r="D119" s="180">
        <f t="shared" ref="D119:P119" si="94">IF(+D115+D116-D117-D114&lt;0,0,+D115+D116-D117-D114)</f>
        <v>59943.590599046947</v>
      </c>
      <c r="E119" s="180">
        <f t="shared" si="94"/>
        <v>191366.03334660953</v>
      </c>
      <c r="F119" s="180">
        <f t="shared" si="94"/>
        <v>308788.47609417205</v>
      </c>
      <c r="G119" s="404">
        <f t="shared" si="94"/>
        <v>272210.91884173459</v>
      </c>
      <c r="H119" s="180">
        <f t="shared" si="94"/>
        <v>235633.36158929719</v>
      </c>
      <c r="I119" s="434">
        <f t="shared" si="94"/>
        <v>339055.80433685973</v>
      </c>
      <c r="J119" s="180">
        <f t="shared" si="94"/>
        <v>295793.75853490975</v>
      </c>
      <c r="K119" s="180">
        <f t="shared" si="94"/>
        <v>254600.16158791111</v>
      </c>
      <c r="L119" s="180">
        <f t="shared" si="94"/>
        <v>212541.32372487339</v>
      </c>
      <c r="M119" s="180">
        <f t="shared" si="94"/>
        <v>169658.61392289569</v>
      </c>
      <c r="N119" s="180">
        <f t="shared" si="94"/>
        <v>125934.72736365725</v>
      </c>
      <c r="O119" s="180">
        <f t="shared" si="94"/>
        <v>81353.186608379299</v>
      </c>
      <c r="P119" s="180">
        <f t="shared" si="94"/>
        <v>35897.168121916533</v>
      </c>
    </row>
    <row r="120" spans="1:17" s="96" customFormat="1" x14ac:dyDescent="0.2">
      <c r="A120" s="64">
        <v>34</v>
      </c>
      <c r="B120" s="65" t="s">
        <v>11</v>
      </c>
      <c r="C120" s="199">
        <f>+'[13]Налог на имущество'!$D$78/1000</f>
        <v>1540.7661580000001</v>
      </c>
      <c r="D120" s="181">
        <f t="shared" ref="D120:P120" si="95">+D119*2.2%</f>
        <v>1318.758993179033</v>
      </c>
      <c r="E120" s="181">
        <f t="shared" si="95"/>
        <v>4210.0527336254099</v>
      </c>
      <c r="F120" s="181">
        <f t="shared" si="95"/>
        <v>6793.3464740717855</v>
      </c>
      <c r="G120" s="407">
        <f t="shared" si="95"/>
        <v>5988.6402145181619</v>
      </c>
      <c r="H120" s="160">
        <f t="shared" si="95"/>
        <v>5183.9339549645383</v>
      </c>
      <c r="I120" s="181">
        <f t="shared" si="95"/>
        <v>7459.2276954109147</v>
      </c>
      <c r="J120" s="181">
        <f t="shared" si="95"/>
        <v>6507.4626877680148</v>
      </c>
      <c r="K120" s="181">
        <f t="shared" si="95"/>
        <v>5601.2035549340453</v>
      </c>
      <c r="L120" s="181">
        <f t="shared" si="95"/>
        <v>4675.9091219472148</v>
      </c>
      <c r="M120" s="181">
        <f t="shared" si="95"/>
        <v>3732.4895063037056</v>
      </c>
      <c r="N120" s="181">
        <f t="shared" si="95"/>
        <v>2770.5640020004598</v>
      </c>
      <c r="O120" s="181">
        <f t="shared" si="95"/>
        <v>1789.7701053843448</v>
      </c>
      <c r="P120" s="181">
        <f t="shared" si="95"/>
        <v>789.7376986821638</v>
      </c>
    </row>
    <row r="121" spans="1:17" s="96" customFormat="1" x14ac:dyDescent="0.2">
      <c r="A121" s="64">
        <v>35</v>
      </c>
      <c r="B121" s="65" t="s">
        <v>43</v>
      </c>
      <c r="C121" s="171"/>
      <c r="D121" s="171"/>
      <c r="E121" s="171"/>
      <c r="F121" s="171"/>
      <c r="G121" s="408"/>
      <c r="H121" s="449"/>
      <c r="I121" s="171"/>
      <c r="J121" s="171"/>
      <c r="K121" s="171"/>
      <c r="L121" s="171"/>
      <c r="M121" s="171"/>
      <c r="N121" s="171"/>
      <c r="O121" s="171"/>
      <c r="P121" s="171"/>
    </row>
    <row r="122" spans="1:17" s="96" customFormat="1" x14ac:dyDescent="0.2">
      <c r="A122" s="64">
        <v>36</v>
      </c>
      <c r="B122" s="65" t="s">
        <v>44</v>
      </c>
      <c r="C122" s="171"/>
      <c r="D122" s="171"/>
      <c r="E122" s="171"/>
      <c r="F122" s="171"/>
      <c r="G122" s="408"/>
      <c r="H122" s="449"/>
      <c r="I122" s="171"/>
      <c r="J122" s="171"/>
      <c r="K122" s="171"/>
      <c r="L122" s="171"/>
      <c r="M122" s="171"/>
      <c r="N122" s="171"/>
      <c r="O122" s="171"/>
      <c r="P122" s="171"/>
    </row>
    <row r="123" spans="1:17" s="96" customFormat="1" x14ac:dyDescent="0.2">
      <c r="A123" s="64">
        <v>37</v>
      </c>
      <c r="B123" s="65" t="s">
        <v>45</v>
      </c>
      <c r="C123" s="171"/>
      <c r="D123" s="171"/>
      <c r="E123" s="171"/>
      <c r="F123" s="171"/>
      <c r="G123" s="408"/>
      <c r="H123" s="449"/>
      <c r="I123" s="171"/>
      <c r="J123" s="171"/>
      <c r="K123" s="171"/>
      <c r="L123" s="171"/>
      <c r="M123" s="171"/>
      <c r="N123" s="171"/>
      <c r="O123" s="171"/>
      <c r="P123" s="171"/>
    </row>
    <row r="124" spans="1:17" s="96" customFormat="1" x14ac:dyDescent="0.2">
      <c r="A124" s="64">
        <v>38</v>
      </c>
      <c r="B124" s="129" t="s">
        <v>46</v>
      </c>
      <c r="C124" s="171"/>
      <c r="D124" s="171"/>
      <c r="E124" s="171"/>
      <c r="F124" s="171"/>
      <c r="G124" s="408"/>
      <c r="H124" s="449"/>
      <c r="I124" s="171"/>
      <c r="J124" s="171"/>
      <c r="K124" s="171"/>
      <c r="L124" s="171"/>
      <c r="M124" s="171"/>
      <c r="N124" s="171"/>
      <c r="O124" s="171"/>
      <c r="P124" s="171"/>
    </row>
    <row r="125" spans="1:17" s="96" customFormat="1" x14ac:dyDescent="0.2">
      <c r="A125" s="64">
        <v>39</v>
      </c>
      <c r="B125" s="129" t="s">
        <v>360</v>
      </c>
      <c r="C125" s="182">
        <f>C114+C120+C124</f>
        <v>10118.323410437441</v>
      </c>
      <c r="D125" s="182">
        <f t="shared" ref="D125:P125" si="96">D114+D120+D124</f>
        <v>9896.3162456164737</v>
      </c>
      <c r="E125" s="182">
        <f t="shared" si="96"/>
        <v>12787.609986062849</v>
      </c>
      <c r="F125" s="182">
        <f t="shared" si="96"/>
        <v>29370.903726509227</v>
      </c>
      <c r="G125" s="409">
        <f t="shared" si="96"/>
        <v>42566.197466955608</v>
      </c>
      <c r="H125" s="450">
        <f t="shared" si="96"/>
        <v>41761.491207401981</v>
      </c>
      <c r="I125" s="182">
        <f t="shared" si="96"/>
        <v>44036.784947848355</v>
      </c>
      <c r="J125" s="182">
        <f t="shared" si="96"/>
        <v>57085.019940205457</v>
      </c>
      <c r="K125" s="182">
        <f t="shared" si="96"/>
        <v>56910.311952420234</v>
      </c>
      <c r="L125" s="182">
        <f t="shared" si="96"/>
        <v>56996.568664482154</v>
      </c>
      <c r="M125" s="182">
        <f t="shared" si="96"/>
        <v>57079.331216788363</v>
      </c>
      <c r="N125" s="182">
        <f t="shared" si="96"/>
        <v>57163.818903335814</v>
      </c>
      <c r="O125" s="182">
        <f t="shared" si="96"/>
        <v>57249.961840929391</v>
      </c>
      <c r="P125" s="182">
        <f t="shared" si="96"/>
        <v>57337.794532253916</v>
      </c>
    </row>
    <row r="126" spans="1:17" s="96" customFormat="1" x14ac:dyDescent="0.2">
      <c r="A126" s="64">
        <v>40</v>
      </c>
      <c r="B126" s="129" t="s">
        <v>13</v>
      </c>
      <c r="C126" s="172"/>
      <c r="D126" s="172"/>
      <c r="E126" s="172"/>
      <c r="F126" s="172"/>
      <c r="G126" s="410"/>
      <c r="H126" s="169"/>
      <c r="I126" s="172"/>
      <c r="J126" s="172"/>
      <c r="K126" s="172"/>
      <c r="L126" s="172"/>
      <c r="M126" s="172"/>
      <c r="N126" s="172"/>
      <c r="O126" s="172"/>
      <c r="P126" s="172"/>
    </row>
    <row r="127" spans="1:17" s="96" customFormat="1" x14ac:dyDescent="0.2">
      <c r="A127" s="64"/>
      <c r="B127" s="168"/>
      <c r="C127" s="169"/>
      <c r="D127" s="169"/>
      <c r="E127" s="169"/>
      <c r="F127" s="169"/>
      <c r="G127" s="411"/>
      <c r="H127" s="169"/>
      <c r="I127" s="172"/>
      <c r="J127" s="169"/>
      <c r="K127" s="169"/>
      <c r="L127" s="169"/>
      <c r="M127" s="169"/>
      <c r="N127" s="169"/>
      <c r="O127" s="169"/>
      <c r="P127" s="169"/>
    </row>
    <row r="128" spans="1:17" s="18" customFormat="1" ht="12" x14ac:dyDescent="0.2">
      <c r="A128" s="56"/>
      <c r="B128" s="256" t="s">
        <v>386</v>
      </c>
      <c r="C128" s="48"/>
      <c r="D128" s="28"/>
      <c r="E128" s="28"/>
      <c r="F128" s="28"/>
      <c r="G128" s="398"/>
      <c r="H128" s="26"/>
      <c r="I128" s="27"/>
      <c r="J128" s="28"/>
      <c r="K128" s="28"/>
      <c r="L128" s="28"/>
      <c r="M128" s="28"/>
      <c r="N128" s="28"/>
      <c r="O128" s="28"/>
      <c r="P128" s="28"/>
      <c r="Q128" s="17"/>
    </row>
    <row r="129" spans="1:18" s="139" customFormat="1" ht="22.5" x14ac:dyDescent="0.2">
      <c r="A129" s="64">
        <v>43</v>
      </c>
      <c r="B129" s="168" t="s">
        <v>231</v>
      </c>
      <c r="C129" s="189">
        <f>SUM(C130:C135)</f>
        <v>314380.34920906881</v>
      </c>
      <c r="D129" s="189">
        <f t="shared" ref="D129:P129" si="97">SUM(D130:D135)</f>
        <v>373843.56761762506</v>
      </c>
      <c r="E129" s="189">
        <f t="shared" si="97"/>
        <v>401136.79141697747</v>
      </c>
      <c r="F129" s="189">
        <f t="shared" si="97"/>
        <v>419059.4255103707</v>
      </c>
      <c r="G129" s="412">
        <f t="shared" si="97"/>
        <v>447442.8466456873</v>
      </c>
      <c r="H129" s="189">
        <f t="shared" si="97"/>
        <v>430247.05629035784</v>
      </c>
      <c r="I129" s="435">
        <f t="shared" si="97"/>
        <v>460417.62979873957</v>
      </c>
      <c r="J129" s="189">
        <f t="shared" si="97"/>
        <v>456996.08117130474</v>
      </c>
      <c r="K129" s="189">
        <f t="shared" si="97"/>
        <v>468459.05209293135</v>
      </c>
      <c r="L129" s="189">
        <f t="shared" si="97"/>
        <v>479923.94329663925</v>
      </c>
      <c r="M129" s="189">
        <f t="shared" si="97"/>
        <v>480905.77623297635</v>
      </c>
      <c r="N129" s="189">
        <f t="shared" si="97"/>
        <v>481889.68614641251</v>
      </c>
      <c r="O129" s="189">
        <f t="shared" si="97"/>
        <v>487689.91169739404</v>
      </c>
      <c r="P129" s="189">
        <f t="shared" si="97"/>
        <v>498430.90563676285</v>
      </c>
      <c r="Q129" s="96"/>
    </row>
    <row r="130" spans="1:18" s="139" customFormat="1" x14ac:dyDescent="0.2">
      <c r="A130" s="64" t="s">
        <v>79</v>
      </c>
      <c r="B130" s="149" t="s">
        <v>193</v>
      </c>
      <c r="C130" s="160">
        <f t="shared" ref="C130:P130" si="98">+C15*C89</f>
        <v>31189.395810000005</v>
      </c>
      <c r="D130" s="160">
        <f t="shared" si="98"/>
        <v>33104.005142534894</v>
      </c>
      <c r="E130" s="160">
        <f t="shared" si="98"/>
        <v>33524.764413009456</v>
      </c>
      <c r="F130" s="160">
        <f t="shared" si="98"/>
        <v>33950.871627423978</v>
      </c>
      <c r="G130" s="160">
        <f t="shared" si="98"/>
        <v>34382.394759335766</v>
      </c>
      <c r="H130" s="160">
        <f t="shared" si="98"/>
        <v>0</v>
      </c>
      <c r="I130" s="160">
        <f t="shared" si="98"/>
        <v>0</v>
      </c>
      <c r="J130" s="160">
        <f t="shared" si="98"/>
        <v>0</v>
      </c>
      <c r="K130" s="160">
        <f t="shared" si="98"/>
        <v>0</v>
      </c>
      <c r="L130" s="160">
        <f t="shared" si="98"/>
        <v>0</v>
      </c>
      <c r="M130" s="160">
        <f t="shared" si="98"/>
        <v>0</v>
      </c>
      <c r="N130" s="160">
        <f t="shared" si="98"/>
        <v>0</v>
      </c>
      <c r="O130" s="160">
        <f t="shared" si="98"/>
        <v>0</v>
      </c>
      <c r="P130" s="160">
        <f t="shared" si="98"/>
        <v>0</v>
      </c>
      <c r="Q130" s="96"/>
    </row>
    <row r="131" spans="1:18" s="139" customFormat="1" x14ac:dyDescent="0.2">
      <c r="A131" s="64" t="s">
        <v>80</v>
      </c>
      <c r="B131" s="149" t="s">
        <v>194</v>
      </c>
      <c r="C131" s="160">
        <f t="shared" ref="C131:P131" si="99">+C8*C87*12/1000</f>
        <v>8064.7545769161507</v>
      </c>
      <c r="D131" s="160">
        <f t="shared" si="99"/>
        <v>8731.3412338498983</v>
      </c>
      <c r="E131" s="160">
        <f t="shared" si="99"/>
        <v>9081.0887339884703</v>
      </c>
      <c r="F131" s="160">
        <f t="shared" si="99"/>
        <v>9444.8459160965158</v>
      </c>
      <c r="G131" s="160">
        <f t="shared" si="99"/>
        <v>9823.1739598502518</v>
      </c>
      <c r="H131" s="160">
        <f t="shared" si="99"/>
        <v>0</v>
      </c>
      <c r="I131" s="160">
        <f t="shared" si="99"/>
        <v>0</v>
      </c>
      <c r="J131" s="160">
        <f t="shared" si="99"/>
        <v>0</v>
      </c>
      <c r="K131" s="160">
        <f t="shared" si="99"/>
        <v>0</v>
      </c>
      <c r="L131" s="160">
        <f t="shared" si="99"/>
        <v>0</v>
      </c>
      <c r="M131" s="160">
        <f t="shared" si="99"/>
        <v>0</v>
      </c>
      <c r="N131" s="160">
        <f t="shared" si="99"/>
        <v>0</v>
      </c>
      <c r="O131" s="160">
        <f t="shared" si="99"/>
        <v>0</v>
      </c>
      <c r="P131" s="160">
        <f t="shared" si="99"/>
        <v>0</v>
      </c>
      <c r="Q131" s="96"/>
    </row>
    <row r="132" spans="1:18" s="139" customFormat="1" x14ac:dyDescent="0.2">
      <c r="A132" s="64" t="s">
        <v>81</v>
      </c>
      <c r="B132" s="149" t="s">
        <v>36</v>
      </c>
      <c r="C132" s="160">
        <f t="shared" ref="C132:P132" si="100">+C93*C60</f>
        <v>274214.16347215261</v>
      </c>
      <c r="D132" s="160">
        <f t="shared" si="100"/>
        <v>331059.70447724027</v>
      </c>
      <c r="E132" s="160">
        <f t="shared" si="100"/>
        <v>357544.48083541956</v>
      </c>
      <c r="F132" s="160">
        <f t="shared" si="100"/>
        <v>374637.7922349078</v>
      </c>
      <c r="G132" s="402">
        <f t="shared" si="100"/>
        <v>402170.32556528121</v>
      </c>
      <c r="H132" s="160">
        <f t="shared" si="100"/>
        <v>429137.42583468894</v>
      </c>
      <c r="I132" s="181">
        <f t="shared" si="100"/>
        <v>459263.61412484391</v>
      </c>
      <c r="J132" s="160">
        <f t="shared" si="100"/>
        <v>455795.90487045329</v>
      </c>
      <c r="K132" s="160">
        <f t="shared" si="100"/>
        <v>467210.86874004581</v>
      </c>
      <c r="L132" s="160">
        <f t="shared" si="100"/>
        <v>478625.83260963828</v>
      </c>
      <c r="M132" s="160">
        <f t="shared" si="100"/>
        <v>479555.74111849535</v>
      </c>
      <c r="N132" s="160">
        <f t="shared" si="100"/>
        <v>480485.64962735225</v>
      </c>
      <c r="O132" s="160">
        <f t="shared" si="100"/>
        <v>486229.7137175714</v>
      </c>
      <c r="P132" s="160">
        <f t="shared" si="100"/>
        <v>496912.29973774729</v>
      </c>
      <c r="Q132" s="96"/>
    </row>
    <row r="133" spans="1:18" s="139" customFormat="1" x14ac:dyDescent="0.2">
      <c r="A133" s="64" t="s">
        <v>195</v>
      </c>
      <c r="B133" s="149" t="s">
        <v>269</v>
      </c>
      <c r="C133" s="187"/>
      <c r="D133" s="186"/>
      <c r="E133" s="186"/>
      <c r="F133" s="186"/>
      <c r="G133" s="413"/>
      <c r="H133" s="186"/>
      <c r="I133" s="170"/>
      <c r="J133" s="186"/>
      <c r="K133" s="186"/>
      <c r="L133" s="186"/>
      <c r="M133" s="186"/>
      <c r="N133" s="186"/>
      <c r="O133" s="186"/>
      <c r="P133" s="186"/>
      <c r="Q133" s="96"/>
    </row>
    <row r="134" spans="1:18" s="139" customFormat="1" x14ac:dyDescent="0.2">
      <c r="A134" s="64" t="s">
        <v>362</v>
      </c>
      <c r="B134" s="149" t="s">
        <v>270</v>
      </c>
      <c r="C134" s="257">
        <f>+[8]ГОД!$L$28-[8]ГОД!$L$31</f>
        <v>912.03534999999988</v>
      </c>
      <c r="D134" s="160">
        <f t="shared" ref="D134:P134" si="101">+C134*(D104)</f>
        <v>948.51676399999985</v>
      </c>
      <c r="E134" s="160">
        <f t="shared" si="101"/>
        <v>986.45743455999991</v>
      </c>
      <c r="F134" s="160">
        <f t="shared" si="101"/>
        <v>1025.9157319424</v>
      </c>
      <c r="G134" s="160">
        <f t="shared" si="101"/>
        <v>1066.952361220096</v>
      </c>
      <c r="H134" s="160">
        <f t="shared" si="101"/>
        <v>1109.6304556688999</v>
      </c>
      <c r="I134" s="160">
        <f t="shared" si="101"/>
        <v>1154.0156738956559</v>
      </c>
      <c r="J134" s="160">
        <f t="shared" si="101"/>
        <v>1200.1763008514822</v>
      </c>
      <c r="K134" s="160">
        <f t="shared" si="101"/>
        <v>1248.1833528855416</v>
      </c>
      <c r="L134" s="160">
        <f t="shared" si="101"/>
        <v>1298.1106870009633</v>
      </c>
      <c r="M134" s="160">
        <f t="shared" si="101"/>
        <v>1350.0351144810018</v>
      </c>
      <c r="N134" s="160">
        <f t="shared" si="101"/>
        <v>1404.036519060242</v>
      </c>
      <c r="O134" s="160">
        <f t="shared" si="101"/>
        <v>1460.1979798226516</v>
      </c>
      <c r="P134" s="160">
        <f t="shared" si="101"/>
        <v>1518.6058990155577</v>
      </c>
      <c r="Q134" s="96"/>
    </row>
    <row r="135" spans="1:18" s="139" customFormat="1" x14ac:dyDescent="0.2">
      <c r="A135" s="64"/>
      <c r="B135" s="149"/>
      <c r="C135" s="187"/>
      <c r="D135" s="186"/>
      <c r="E135" s="186"/>
      <c r="F135" s="186"/>
      <c r="G135" s="413"/>
      <c r="H135" s="186"/>
      <c r="I135" s="170"/>
      <c r="J135" s="186"/>
      <c r="K135" s="186"/>
      <c r="L135" s="186"/>
      <c r="M135" s="186"/>
      <c r="N135" s="186"/>
      <c r="O135" s="186"/>
      <c r="P135" s="186"/>
      <c r="Q135" s="96"/>
    </row>
    <row r="136" spans="1:18" s="139" customFormat="1" ht="22.5" x14ac:dyDescent="0.2">
      <c r="A136" s="64">
        <v>44</v>
      </c>
      <c r="B136" s="168" t="s">
        <v>232</v>
      </c>
      <c r="C136" s="193">
        <f>+C137+C145+C154</f>
        <v>409735.7546133264</v>
      </c>
      <c r="D136" s="193">
        <f t="shared" ref="D136:P136" si="102">+D137+D145+D154</f>
        <v>453608.91289148253</v>
      </c>
      <c r="E136" s="193">
        <f t="shared" si="102"/>
        <v>471951.80817566882</v>
      </c>
      <c r="F136" s="193">
        <f t="shared" si="102"/>
        <v>495550.64331853495</v>
      </c>
      <c r="G136" s="414">
        <f t="shared" si="102"/>
        <v>522150.16031503759</v>
      </c>
      <c r="H136" s="193">
        <f t="shared" si="102"/>
        <v>399282.40354463796</v>
      </c>
      <c r="I136" s="436">
        <f t="shared" si="102"/>
        <v>383298.38953782246</v>
      </c>
      <c r="J136" s="193">
        <f t="shared" si="102"/>
        <v>404937.50006905489</v>
      </c>
      <c r="K136" s="193">
        <f t="shared" si="102"/>
        <v>422570.24535205006</v>
      </c>
      <c r="L136" s="193">
        <f t="shared" si="102"/>
        <v>441228.21952775161</v>
      </c>
      <c r="M136" s="193">
        <f t="shared" si="102"/>
        <v>453936.98857264384</v>
      </c>
      <c r="N136" s="193">
        <f t="shared" si="102"/>
        <v>467068.57876767602</v>
      </c>
      <c r="O136" s="193">
        <f t="shared" si="102"/>
        <v>480637.0664131348</v>
      </c>
      <c r="P136" s="193">
        <f t="shared" si="102"/>
        <v>494657.11173291609</v>
      </c>
      <c r="Q136" s="96"/>
    </row>
    <row r="137" spans="1:18" s="18" customFormat="1" x14ac:dyDescent="0.2">
      <c r="A137" s="56" t="s">
        <v>156</v>
      </c>
      <c r="B137" s="6" t="s">
        <v>157</v>
      </c>
      <c r="C137" s="193">
        <f>SUM(C138:C144)</f>
        <v>111980.76462502367</v>
      </c>
      <c r="D137" s="193">
        <f t="shared" ref="D137:P137" si="103">SUM(D138:D144)</f>
        <v>117816.3172153542</v>
      </c>
      <c r="E137" s="193">
        <f t="shared" si="103"/>
        <v>122528.96990396836</v>
      </c>
      <c r="F137" s="193">
        <f t="shared" si="103"/>
        <v>127430.1287001271</v>
      </c>
      <c r="G137" s="414">
        <f t="shared" si="103"/>
        <v>132527.33384813217</v>
      </c>
      <c r="H137" s="193">
        <f t="shared" si="103"/>
        <v>41912.036127658284</v>
      </c>
      <c r="I137" s="436">
        <f t="shared" si="103"/>
        <v>43588.51757276462</v>
      </c>
      <c r="J137" s="193">
        <f t="shared" si="103"/>
        <v>45332.058275675197</v>
      </c>
      <c r="K137" s="193">
        <f t="shared" si="103"/>
        <v>47145.340606702201</v>
      </c>
      <c r="L137" s="193">
        <f t="shared" si="103"/>
        <v>49031.154230970293</v>
      </c>
      <c r="M137" s="193">
        <f t="shared" si="103"/>
        <v>50992.400400209117</v>
      </c>
      <c r="N137" s="193">
        <f t="shared" si="103"/>
        <v>53032.096416217479</v>
      </c>
      <c r="O137" s="193">
        <f t="shared" si="103"/>
        <v>55153.380272866183</v>
      </c>
      <c r="P137" s="193">
        <f t="shared" si="103"/>
        <v>57359.515483780837</v>
      </c>
      <c r="Q137" s="17"/>
    </row>
    <row r="138" spans="1:18" x14ac:dyDescent="0.2">
      <c r="A138" s="2"/>
      <c r="B138" s="334" t="s">
        <v>196</v>
      </c>
      <c r="C138" s="194">
        <f>+'[4]+Оп_i0'!$E$6+'[4]+Оп_i0'!$I$6</f>
        <v>3530.0871090760111</v>
      </c>
      <c r="D138" s="194">
        <f>+'[4]+Оп_i0'!$P$6+'[4]+Оп_i0'!$T$6</f>
        <v>3662.3456451544971</v>
      </c>
      <c r="E138" s="160">
        <f>+D138*E$104</f>
        <v>3808.8394709606773</v>
      </c>
      <c r="F138" s="160">
        <f t="shared" ref="F138:P138" si="104">+E138*F$104</f>
        <v>3961.1930497991048</v>
      </c>
      <c r="G138" s="160">
        <f t="shared" si="104"/>
        <v>4119.6407717910688</v>
      </c>
      <c r="H138" s="738">
        <f>+G138*H$104*R138</f>
        <v>1285.3279207988135</v>
      </c>
      <c r="I138" s="160">
        <f t="shared" si="104"/>
        <v>1336.741037630766</v>
      </c>
      <c r="J138" s="160">
        <f t="shared" si="104"/>
        <v>1390.2106791359965</v>
      </c>
      <c r="K138" s="160">
        <f t="shared" si="104"/>
        <v>1445.8191063014365</v>
      </c>
      <c r="L138" s="160">
        <f t="shared" si="104"/>
        <v>1503.6518705534941</v>
      </c>
      <c r="M138" s="160">
        <f t="shared" si="104"/>
        <v>1563.7979453756338</v>
      </c>
      <c r="N138" s="160">
        <f t="shared" si="104"/>
        <v>1626.3498631906593</v>
      </c>
      <c r="O138" s="160">
        <f t="shared" si="104"/>
        <v>1691.4038577182857</v>
      </c>
      <c r="P138" s="160">
        <f t="shared" si="104"/>
        <v>1759.0600120270171</v>
      </c>
      <c r="R138" s="739">
        <v>0.3</v>
      </c>
    </row>
    <row r="139" spans="1:18" x14ac:dyDescent="0.2">
      <c r="A139" s="2"/>
      <c r="B139" s="191" t="s">
        <v>456</v>
      </c>
      <c r="C139" s="194">
        <f>+'[4]+Оп_i0'!$E$12+'[4]+Оп_i0'!$I$12</f>
        <v>15127.499749999997</v>
      </c>
      <c r="D139" s="612">
        <f>+[9]ГОД!$J$51+[9]ГОД!$J$64+[9]ГОД!$J$65</f>
        <v>18500</v>
      </c>
      <c r="E139" s="160">
        <f t="shared" ref="E139:P146" si="105">+D139*E$104</f>
        <v>19240</v>
      </c>
      <c r="F139" s="160">
        <f t="shared" si="105"/>
        <v>20009.600000000002</v>
      </c>
      <c r="G139" s="160">
        <f t="shared" si="105"/>
        <v>20809.984000000004</v>
      </c>
      <c r="H139" s="738">
        <f>+G139*H$104*R139</f>
        <v>6492.715008000001</v>
      </c>
      <c r="I139" s="160">
        <f t="shared" si="105"/>
        <v>6752.4236083200012</v>
      </c>
      <c r="J139" s="160">
        <f t="shared" si="105"/>
        <v>7022.5205526528016</v>
      </c>
      <c r="K139" s="160">
        <f t="shared" si="105"/>
        <v>7303.4213747589138</v>
      </c>
      <c r="L139" s="160">
        <f t="shared" si="105"/>
        <v>7595.5582297492701</v>
      </c>
      <c r="M139" s="160">
        <f t="shared" si="105"/>
        <v>7899.3805589392414</v>
      </c>
      <c r="N139" s="160">
        <f t="shared" si="105"/>
        <v>8215.355781296812</v>
      </c>
      <c r="O139" s="160">
        <f t="shared" si="105"/>
        <v>8543.9700125486852</v>
      </c>
      <c r="P139" s="160">
        <f t="shared" si="105"/>
        <v>8885.7288130506331</v>
      </c>
      <c r="R139" s="739">
        <v>0.3</v>
      </c>
    </row>
    <row r="140" spans="1:18" x14ac:dyDescent="0.2">
      <c r="A140" s="2"/>
      <c r="B140" s="191" t="s">
        <v>197</v>
      </c>
      <c r="C140" s="194">
        <f>+'[4]+Оп_i0'!$E$16+'[4]+Оп_i0'!$I$16</f>
        <v>75564.286783897987</v>
      </c>
      <c r="D140" s="194">
        <f>+'[4]+Оп_i0'!$P$16+'[4]+Оп_i0'!$T$16</f>
        <v>79405.267617175792</v>
      </c>
      <c r="E140" s="160">
        <f t="shared" si="105"/>
        <v>82581.478321862829</v>
      </c>
      <c r="F140" s="160">
        <f t="shared" si="105"/>
        <v>85884.737454737347</v>
      </c>
      <c r="G140" s="160">
        <f t="shared" si="105"/>
        <v>89320.126952926847</v>
      </c>
      <c r="H140" s="738">
        <f>+G140*H$104*R140</f>
        <v>27867.879609313175</v>
      </c>
      <c r="I140" s="160">
        <f t="shared" si="105"/>
        <v>28982.594793685705</v>
      </c>
      <c r="J140" s="160">
        <f t="shared" si="105"/>
        <v>30141.898585433133</v>
      </c>
      <c r="K140" s="160">
        <f t="shared" si="105"/>
        <v>31347.574528850459</v>
      </c>
      <c r="L140" s="160">
        <f t="shared" si="105"/>
        <v>32601.477510004479</v>
      </c>
      <c r="M140" s="160">
        <f t="shared" si="105"/>
        <v>33905.536610404662</v>
      </c>
      <c r="N140" s="160">
        <f t="shared" si="105"/>
        <v>35261.758074820849</v>
      </c>
      <c r="O140" s="160">
        <f t="shared" si="105"/>
        <v>36672.228397813684</v>
      </c>
      <c r="P140" s="160">
        <f t="shared" si="105"/>
        <v>38139.117533726232</v>
      </c>
      <c r="R140" s="739">
        <v>0.3</v>
      </c>
    </row>
    <row r="141" spans="1:18" ht="22.5" x14ac:dyDescent="0.2">
      <c r="A141" s="2"/>
      <c r="B141" s="334" t="s">
        <v>198</v>
      </c>
      <c r="C141" s="194">
        <f>+'[4]+Оп_i0'!$E$17+'[4]+Оп_i0'!$I$17</f>
        <v>5183.5701976367582</v>
      </c>
      <c r="D141" s="194">
        <f>+'[4]+Оп_i0'!$P$17+'[4]+Оп_i0'!$T$17</f>
        <v>5377.7782680939645</v>
      </c>
      <c r="E141" s="160">
        <f t="shared" si="105"/>
        <v>5592.8893988177233</v>
      </c>
      <c r="F141" s="160">
        <f t="shared" si="105"/>
        <v>5816.6049747704328</v>
      </c>
      <c r="G141" s="160">
        <f t="shared" si="105"/>
        <v>6049.2691737612504</v>
      </c>
      <c r="H141" s="738">
        <f>+G141*H$104*R141</f>
        <v>1887.3719822135101</v>
      </c>
      <c r="I141" s="160">
        <f t="shared" si="105"/>
        <v>1962.8668615020506</v>
      </c>
      <c r="J141" s="160">
        <f t="shared" si="105"/>
        <v>2041.3815359621326</v>
      </c>
      <c r="K141" s="160">
        <f t="shared" si="105"/>
        <v>2123.0367974006181</v>
      </c>
      <c r="L141" s="160">
        <f t="shared" si="105"/>
        <v>2207.9582692966428</v>
      </c>
      <c r="M141" s="160">
        <f t="shared" si="105"/>
        <v>2296.2766000685087</v>
      </c>
      <c r="N141" s="160">
        <f t="shared" si="105"/>
        <v>2388.127664071249</v>
      </c>
      <c r="O141" s="160">
        <f t="shared" si="105"/>
        <v>2483.6527706340989</v>
      </c>
      <c r="P141" s="160">
        <f t="shared" si="105"/>
        <v>2582.9988814594631</v>
      </c>
      <c r="R141" s="739">
        <v>0.3</v>
      </c>
    </row>
    <row r="142" spans="1:18" ht="22.5" x14ac:dyDescent="0.2">
      <c r="A142" s="2"/>
      <c r="B142" s="334" t="s">
        <v>199</v>
      </c>
      <c r="C142" s="194">
        <f>+'[4]+Оп_i0'!$E$25+'[4]+Оп_i0'!$I$25</f>
        <v>7035.2942259891797</v>
      </c>
      <c r="D142" s="194">
        <f>+'[4]+Оп_i0'!$P$25+'[4]+Оп_i0'!$T$25</f>
        <v>8327.5489150800349</v>
      </c>
      <c r="E142" s="160">
        <f t="shared" si="105"/>
        <v>8660.6508716832359</v>
      </c>
      <c r="F142" s="160">
        <f t="shared" si="105"/>
        <v>9007.0769065505665</v>
      </c>
      <c r="G142" s="160">
        <f t="shared" si="105"/>
        <v>9367.3599828125898</v>
      </c>
      <c r="H142" s="738">
        <f>+G142*H$104*R142</f>
        <v>2922.6163146375279</v>
      </c>
      <c r="I142" s="160">
        <f t="shared" si="105"/>
        <v>3039.5209672230289</v>
      </c>
      <c r="J142" s="160">
        <f t="shared" si="105"/>
        <v>3161.1018059119501</v>
      </c>
      <c r="K142" s="160">
        <f t="shared" si="105"/>
        <v>3287.5458781484281</v>
      </c>
      <c r="L142" s="160">
        <f t="shared" si="105"/>
        <v>3419.0477132743654</v>
      </c>
      <c r="M142" s="160">
        <f t="shared" si="105"/>
        <v>3555.8096218053402</v>
      </c>
      <c r="N142" s="160">
        <f t="shared" si="105"/>
        <v>3698.0420066775537</v>
      </c>
      <c r="O142" s="160">
        <f t="shared" si="105"/>
        <v>3845.9636869446558</v>
      </c>
      <c r="P142" s="160">
        <f t="shared" si="105"/>
        <v>3999.8022344224423</v>
      </c>
      <c r="R142" s="739">
        <v>0.3</v>
      </c>
    </row>
    <row r="143" spans="1:18" x14ac:dyDescent="0.2">
      <c r="A143" s="2"/>
      <c r="B143" s="191" t="str">
        <f>+'[14]5.1.Опер_i0'!$B$19</f>
        <v>Арендная плата</v>
      </c>
      <c r="C143" s="194">
        <f>+'[4]+Оп_i0'!$E$36+'[4]+Оп_i0'!$I$36</f>
        <v>393.51890083200897</v>
      </c>
      <c r="D143" s="194">
        <f>+'[4]+Оп_i0'!$P$36+'[4]+Оп_i0'!$T$36</f>
        <v>688.12710272188781</v>
      </c>
      <c r="E143" s="160">
        <f t="shared" si="105"/>
        <v>715.6521868307633</v>
      </c>
      <c r="F143" s="160">
        <f t="shared" si="105"/>
        <v>744.27827430399384</v>
      </c>
      <c r="G143" s="160">
        <f t="shared" si="105"/>
        <v>774.04940527615361</v>
      </c>
      <c r="H143" s="160">
        <f t="shared" si="105"/>
        <v>805.01138148719974</v>
      </c>
      <c r="I143" s="160">
        <f t="shared" si="105"/>
        <v>837.21183674668771</v>
      </c>
      <c r="J143" s="160">
        <f t="shared" si="105"/>
        <v>870.70031021655529</v>
      </c>
      <c r="K143" s="160">
        <f t="shared" si="105"/>
        <v>905.52832262521758</v>
      </c>
      <c r="L143" s="160">
        <f t="shared" si="105"/>
        <v>941.74945553022633</v>
      </c>
      <c r="M143" s="160">
        <f t="shared" si="105"/>
        <v>979.41943375143546</v>
      </c>
      <c r="N143" s="160">
        <f t="shared" si="105"/>
        <v>1018.5962111014929</v>
      </c>
      <c r="O143" s="160">
        <f t="shared" si="105"/>
        <v>1059.3400595455528</v>
      </c>
      <c r="P143" s="160">
        <f t="shared" si="105"/>
        <v>1101.7136619273749</v>
      </c>
    </row>
    <row r="144" spans="1:18" x14ac:dyDescent="0.2">
      <c r="A144" s="2"/>
      <c r="B144" s="44" t="s">
        <v>126</v>
      </c>
      <c r="C144" s="194">
        <f>+'[4]+Оп_i0'!$E$33+'[4]+Оп_i0'!$E$34+'[4]+Оп_i0'!$E$37+'[4]+Оп_i0'!$I$33+'[4]+Оп_i0'!$I$34+'[4]+Оп_i0'!$I$37</f>
        <v>5146.5076575917119</v>
      </c>
      <c r="D144" s="194">
        <f>+'[4]+Оп_i0'!$P$33+'[4]+Оп_i0'!$P$34+'[4]+Оп_i0'!$P$37+'[4]+Оп_i0'!$T$33+'[4]+Оп_i0'!$T$34+'[4]+Оп_i0'!$T$37</f>
        <v>1855.2496671280046</v>
      </c>
      <c r="E144" s="160">
        <f t="shared" si="105"/>
        <v>1929.4596538131248</v>
      </c>
      <c r="F144" s="160">
        <f t="shared" si="105"/>
        <v>2006.6380399656498</v>
      </c>
      <c r="G144" s="160">
        <f t="shared" si="105"/>
        <v>2086.9035615642761</v>
      </c>
      <c r="H144" s="738">
        <f>+G144*H$104*R144</f>
        <v>651.11391120805422</v>
      </c>
      <c r="I144" s="160">
        <f t="shared" si="105"/>
        <v>677.15846765637639</v>
      </c>
      <c r="J144" s="160">
        <f t="shared" si="105"/>
        <v>704.24480636263149</v>
      </c>
      <c r="K144" s="160">
        <f t="shared" si="105"/>
        <v>732.41459861713679</v>
      </c>
      <c r="L144" s="160">
        <f t="shared" si="105"/>
        <v>761.71118256182228</v>
      </c>
      <c r="M144" s="160">
        <f t="shared" si="105"/>
        <v>792.17962986429518</v>
      </c>
      <c r="N144" s="160">
        <f t="shared" si="105"/>
        <v>823.86681505886702</v>
      </c>
      <c r="O144" s="160">
        <f t="shared" si="105"/>
        <v>856.82148766122168</v>
      </c>
      <c r="P144" s="160">
        <f t="shared" si="105"/>
        <v>891.09434716767055</v>
      </c>
      <c r="R144" s="739">
        <v>0.3</v>
      </c>
    </row>
    <row r="145" spans="1:18" s="18" customFormat="1" x14ac:dyDescent="0.2">
      <c r="A145" s="56" t="s">
        <v>158</v>
      </c>
      <c r="B145" s="6" t="s">
        <v>159</v>
      </c>
      <c r="C145" s="193">
        <f>SUM(C146:C153)</f>
        <v>37494.808764427187</v>
      </c>
      <c r="D145" s="193">
        <f t="shared" ref="D145:P145" si="106">SUM(D146:D153)</f>
        <v>38474.194320101873</v>
      </c>
      <c r="E145" s="193">
        <f t="shared" si="106"/>
        <v>42364.229723804339</v>
      </c>
      <c r="F145" s="193">
        <f t="shared" si="106"/>
        <v>59986.214794037049</v>
      </c>
      <c r="G145" s="414">
        <f t="shared" si="106"/>
        <v>74261.747517461219</v>
      </c>
      <c r="H145" s="193">
        <f t="shared" si="106"/>
        <v>54241.772160041437</v>
      </c>
      <c r="I145" s="436">
        <f t="shared" si="106"/>
        <v>56871.903678870061</v>
      </c>
      <c r="J145" s="193">
        <f t="shared" si="106"/>
        <v>70289.169960744708</v>
      </c>
      <c r="K145" s="193">
        <f t="shared" si="106"/>
        <v>70498.254514057728</v>
      </c>
      <c r="L145" s="193">
        <f t="shared" si="106"/>
        <v>70983.65546886182</v>
      </c>
      <c r="M145" s="193">
        <f t="shared" si="106"/>
        <v>71481.528033619892</v>
      </c>
      <c r="N145" s="193">
        <f t="shared" si="106"/>
        <v>71997.730133117293</v>
      </c>
      <c r="O145" s="193">
        <f t="shared" si="106"/>
        <v>72532.856060178805</v>
      </c>
      <c r="P145" s="193">
        <f t="shared" si="106"/>
        <v>73087.631060549975</v>
      </c>
      <c r="Q145" s="17"/>
      <c r="R145" s="740"/>
    </row>
    <row r="146" spans="1:18" ht="22.5" x14ac:dyDescent="0.2">
      <c r="A146" s="2"/>
      <c r="B146" s="335" t="s">
        <v>202</v>
      </c>
      <c r="C146" s="194">
        <f>+'[4]+Рег'!$E$14</f>
        <v>131.94003999999998</v>
      </c>
      <c r="D146" s="159">
        <f>+'[4]+Рег'!$H$14</f>
        <v>131.94004000000001</v>
      </c>
      <c r="E146" s="160">
        <f t="shared" si="105"/>
        <v>137.21764160000001</v>
      </c>
      <c r="F146" s="160">
        <f t="shared" si="105"/>
        <v>142.70634726400002</v>
      </c>
      <c r="G146" s="160">
        <f t="shared" si="105"/>
        <v>148.41460115456002</v>
      </c>
      <c r="H146" s="160">
        <f t="shared" si="105"/>
        <v>154.35118520074244</v>
      </c>
      <c r="I146" s="160">
        <f t="shared" si="105"/>
        <v>160.52523260877214</v>
      </c>
      <c r="J146" s="160">
        <f t="shared" si="105"/>
        <v>166.94624191312303</v>
      </c>
      <c r="K146" s="160">
        <f t="shared" si="105"/>
        <v>173.62409158964795</v>
      </c>
      <c r="L146" s="160">
        <f t="shared" si="105"/>
        <v>180.56905525323387</v>
      </c>
      <c r="M146" s="160">
        <f t="shared" si="105"/>
        <v>187.79181746336323</v>
      </c>
      <c r="N146" s="160">
        <f t="shared" si="105"/>
        <v>195.30349016189777</v>
      </c>
      <c r="O146" s="160">
        <f t="shared" si="105"/>
        <v>203.11562976837368</v>
      </c>
      <c r="P146" s="160">
        <f t="shared" si="105"/>
        <v>211.24025495910863</v>
      </c>
      <c r="R146" s="202"/>
    </row>
    <row r="147" spans="1:18" x14ac:dyDescent="0.2">
      <c r="A147" s="2"/>
      <c r="B147" s="191" t="str">
        <f>+B143</f>
        <v>Арендная плата</v>
      </c>
      <c r="C147" s="158"/>
      <c r="D147" s="158"/>
      <c r="E147" s="158"/>
      <c r="F147" s="158"/>
      <c r="G147" s="403"/>
      <c r="H147" s="158"/>
      <c r="I147" s="431"/>
      <c r="J147" s="158"/>
      <c r="K147" s="158"/>
      <c r="L147" s="158"/>
      <c r="M147" s="158"/>
      <c r="N147" s="158"/>
      <c r="O147" s="158"/>
      <c r="P147" s="158"/>
      <c r="R147" s="202"/>
    </row>
    <row r="148" spans="1:18" x14ac:dyDescent="0.2">
      <c r="A148" s="2"/>
      <c r="B148" s="44" t="s">
        <v>200</v>
      </c>
      <c r="C148" s="194">
        <f>+'[4]+А,С,Н'!$E$13+'[4]+А,С,Н'!$I$13</f>
        <v>1348.5984799999999</v>
      </c>
      <c r="D148" s="159">
        <f>+C148</f>
        <v>1348.5984799999999</v>
      </c>
      <c r="E148" s="160">
        <f>+D148</f>
        <v>1348.5984799999999</v>
      </c>
      <c r="F148" s="160">
        <f t="shared" ref="F148:P148" si="107">+E148</f>
        <v>1348.5984799999999</v>
      </c>
      <c r="G148" s="402">
        <f t="shared" si="107"/>
        <v>1348.5984799999999</v>
      </c>
      <c r="H148" s="160">
        <f t="shared" si="107"/>
        <v>1348.5984799999999</v>
      </c>
      <c r="I148" s="181">
        <f t="shared" si="107"/>
        <v>1348.5984799999999</v>
      </c>
      <c r="J148" s="160">
        <f t="shared" si="107"/>
        <v>1348.5984799999999</v>
      </c>
      <c r="K148" s="160">
        <f t="shared" si="107"/>
        <v>1348.5984799999999</v>
      </c>
      <c r="L148" s="160">
        <f t="shared" si="107"/>
        <v>1348.5984799999999</v>
      </c>
      <c r="M148" s="160">
        <f t="shared" si="107"/>
        <v>1348.5984799999999</v>
      </c>
      <c r="N148" s="160">
        <f t="shared" si="107"/>
        <v>1348.5984799999999</v>
      </c>
      <c r="O148" s="160">
        <f t="shared" si="107"/>
        <v>1348.5984799999999</v>
      </c>
      <c r="P148" s="160">
        <f t="shared" si="107"/>
        <v>1348.5984799999999</v>
      </c>
      <c r="R148" s="202"/>
    </row>
    <row r="149" spans="1:18" x14ac:dyDescent="0.2">
      <c r="A149" s="2"/>
      <c r="B149" s="44" t="s">
        <v>34</v>
      </c>
      <c r="C149" s="192">
        <f t="shared" ref="C149:P149" si="108">+C120</f>
        <v>1540.7661580000001</v>
      </c>
      <c r="D149" s="192">
        <f t="shared" si="108"/>
        <v>1318.758993179033</v>
      </c>
      <c r="E149" s="192">
        <f t="shared" si="108"/>
        <v>4210.0527336254099</v>
      </c>
      <c r="F149" s="192">
        <f t="shared" si="108"/>
        <v>6793.3464740717855</v>
      </c>
      <c r="G149" s="415">
        <f t="shared" si="108"/>
        <v>5988.6402145181619</v>
      </c>
      <c r="H149" s="192">
        <f t="shared" si="108"/>
        <v>5183.9339549645383</v>
      </c>
      <c r="I149" s="437">
        <f t="shared" si="108"/>
        <v>7459.2276954109147</v>
      </c>
      <c r="J149" s="192">
        <f t="shared" si="108"/>
        <v>6507.4626877680148</v>
      </c>
      <c r="K149" s="192">
        <f t="shared" si="108"/>
        <v>5601.2035549340453</v>
      </c>
      <c r="L149" s="192">
        <f t="shared" si="108"/>
        <v>4675.9091219472148</v>
      </c>
      <c r="M149" s="192">
        <f t="shared" si="108"/>
        <v>3732.4895063037056</v>
      </c>
      <c r="N149" s="192">
        <f t="shared" si="108"/>
        <v>2770.5640020004598</v>
      </c>
      <c r="O149" s="192">
        <f t="shared" si="108"/>
        <v>1789.7701053843448</v>
      </c>
      <c r="P149" s="192">
        <f t="shared" si="108"/>
        <v>789.7376986821638</v>
      </c>
      <c r="R149" s="202"/>
    </row>
    <row r="150" spans="1:18" x14ac:dyDescent="0.2">
      <c r="A150" s="2"/>
      <c r="B150" s="44" t="s">
        <v>38</v>
      </c>
      <c r="C150" s="472">
        <f>+C140*$R150</f>
        <v>23635.208820906639</v>
      </c>
      <c r="D150" s="472">
        <f t="shared" ref="D150:P150" si="109">+D140*$R150</f>
        <v>24836.601541402291</v>
      </c>
      <c r="E150" s="472">
        <f t="shared" si="109"/>
        <v>25830.065603058385</v>
      </c>
      <c r="F150" s="472">
        <f t="shared" si="109"/>
        <v>26863.268227180721</v>
      </c>
      <c r="G150" s="472">
        <f t="shared" si="109"/>
        <v>27937.79895626795</v>
      </c>
      <c r="H150" s="472">
        <f t="shared" si="109"/>
        <v>8716.5932743556004</v>
      </c>
      <c r="I150" s="472">
        <f t="shared" si="109"/>
        <v>9065.2570053298259</v>
      </c>
      <c r="J150" s="472">
        <f t="shared" si="109"/>
        <v>9427.8672855430177</v>
      </c>
      <c r="K150" s="472">
        <f t="shared" si="109"/>
        <v>9804.9819769647384</v>
      </c>
      <c r="L150" s="472">
        <f t="shared" si="109"/>
        <v>10197.18125604333</v>
      </c>
      <c r="M150" s="472">
        <f t="shared" si="109"/>
        <v>10605.068506285064</v>
      </c>
      <c r="N150" s="472">
        <f t="shared" si="109"/>
        <v>11029.271246536466</v>
      </c>
      <c r="O150" s="472">
        <f t="shared" si="109"/>
        <v>11470.442096397925</v>
      </c>
      <c r="P150" s="472">
        <f t="shared" si="109"/>
        <v>11929.259780253842</v>
      </c>
      <c r="R150" s="741">
        <f>+[15]ГОД!$M$51/[15]ГОД!$M$49</f>
        <v>0.31278279497958644</v>
      </c>
    </row>
    <row r="151" spans="1:18" x14ac:dyDescent="0.2">
      <c r="A151" s="2"/>
      <c r="B151" s="44" t="s">
        <v>203</v>
      </c>
      <c r="C151" s="194">
        <f>+'[4]+А,С,Н'!$E$17+'[4]+А,С,Н'!$E$21+'[4]+А,С,Н'!$I$17+'[4]+А,С,Н'!$I$21</f>
        <v>2260.7380130831066</v>
      </c>
      <c r="D151" s="159">
        <f>+C151</f>
        <v>2260.7380130831066</v>
      </c>
      <c r="E151" s="160">
        <f>+D151</f>
        <v>2260.7380130831066</v>
      </c>
      <c r="F151" s="160">
        <f t="shared" ref="F151:P151" si="110">+E151</f>
        <v>2260.7380130831066</v>
      </c>
      <c r="G151" s="402">
        <f t="shared" si="110"/>
        <v>2260.7380130831066</v>
      </c>
      <c r="H151" s="160">
        <f t="shared" si="110"/>
        <v>2260.7380130831066</v>
      </c>
      <c r="I151" s="181">
        <f t="shared" si="110"/>
        <v>2260.7380130831066</v>
      </c>
      <c r="J151" s="160">
        <f t="shared" si="110"/>
        <v>2260.7380130831066</v>
      </c>
      <c r="K151" s="160">
        <f t="shared" si="110"/>
        <v>2260.7380130831066</v>
      </c>
      <c r="L151" s="160">
        <f t="shared" si="110"/>
        <v>2260.7380130831066</v>
      </c>
      <c r="M151" s="160">
        <f t="shared" si="110"/>
        <v>2260.7380130831066</v>
      </c>
      <c r="N151" s="160">
        <f t="shared" si="110"/>
        <v>2260.7380130831066</v>
      </c>
      <c r="O151" s="160">
        <f t="shared" si="110"/>
        <v>2260.7380130831066</v>
      </c>
      <c r="P151" s="160">
        <f t="shared" si="110"/>
        <v>2260.7380130831066</v>
      </c>
    </row>
    <row r="152" spans="1:18" x14ac:dyDescent="0.2">
      <c r="A152" s="2"/>
      <c r="B152" s="44" t="s">
        <v>25</v>
      </c>
      <c r="C152" s="192">
        <f>+C114</f>
        <v>8577.5572524374402</v>
      </c>
      <c r="D152" s="192">
        <f t="shared" ref="D152:P152" si="111">+D114</f>
        <v>8577.5572524374402</v>
      </c>
      <c r="E152" s="192">
        <f t="shared" si="111"/>
        <v>8577.5572524374402</v>
      </c>
      <c r="F152" s="192">
        <f t="shared" si="111"/>
        <v>22577.55725243744</v>
      </c>
      <c r="G152" s="415">
        <f t="shared" si="111"/>
        <v>36577.557252437444</v>
      </c>
      <c r="H152" s="192">
        <f t="shared" si="111"/>
        <v>36577.557252437444</v>
      </c>
      <c r="I152" s="437">
        <f t="shared" si="111"/>
        <v>36577.557252437444</v>
      </c>
      <c r="J152" s="192">
        <f t="shared" si="111"/>
        <v>50577.557252437444</v>
      </c>
      <c r="K152" s="192">
        <f t="shared" si="111"/>
        <v>51309.10839748619</v>
      </c>
      <c r="L152" s="192">
        <f t="shared" si="111"/>
        <v>52320.659542534937</v>
      </c>
      <c r="M152" s="192">
        <f t="shared" si="111"/>
        <v>53346.841710484659</v>
      </c>
      <c r="N152" s="192">
        <f t="shared" si="111"/>
        <v>54393.254901335356</v>
      </c>
      <c r="O152" s="192">
        <f t="shared" si="111"/>
        <v>55460.19173554505</v>
      </c>
      <c r="P152" s="192">
        <f t="shared" si="111"/>
        <v>56548.056833571754</v>
      </c>
    </row>
    <row r="153" spans="1:18" x14ac:dyDescent="0.2">
      <c r="A153" s="2"/>
      <c r="B153" s="44" t="s">
        <v>201</v>
      </c>
      <c r="C153" s="192">
        <f>+C124</f>
        <v>0</v>
      </c>
      <c r="D153" s="192">
        <f t="shared" ref="D153:P153" si="112">+D124</f>
        <v>0</v>
      </c>
      <c r="E153" s="192">
        <f t="shared" si="112"/>
        <v>0</v>
      </c>
      <c r="F153" s="192">
        <f t="shared" si="112"/>
        <v>0</v>
      </c>
      <c r="G153" s="415">
        <f t="shared" si="112"/>
        <v>0</v>
      </c>
      <c r="H153" s="192">
        <f t="shared" si="112"/>
        <v>0</v>
      </c>
      <c r="I153" s="437">
        <f t="shared" si="112"/>
        <v>0</v>
      </c>
      <c r="J153" s="192">
        <f t="shared" si="112"/>
        <v>0</v>
      </c>
      <c r="K153" s="192">
        <f t="shared" si="112"/>
        <v>0</v>
      </c>
      <c r="L153" s="192">
        <f t="shared" si="112"/>
        <v>0</v>
      </c>
      <c r="M153" s="192">
        <f t="shared" si="112"/>
        <v>0</v>
      </c>
      <c r="N153" s="192">
        <f t="shared" si="112"/>
        <v>0</v>
      </c>
      <c r="O153" s="192">
        <f t="shared" si="112"/>
        <v>0</v>
      </c>
      <c r="P153" s="192">
        <f t="shared" si="112"/>
        <v>0</v>
      </c>
    </row>
    <row r="154" spans="1:18" s="18" customFormat="1" x14ac:dyDescent="0.2">
      <c r="A154" s="56" t="s">
        <v>160</v>
      </c>
      <c r="B154" s="6" t="s">
        <v>234</v>
      </c>
      <c r="C154" s="193">
        <f>SUM(C155:C158)</f>
        <v>260260.18122387552</v>
      </c>
      <c r="D154" s="193">
        <f t="shared" ref="D154:P154" si="113">SUM(D155:D158)</f>
        <v>297318.40135602647</v>
      </c>
      <c r="E154" s="193">
        <f t="shared" si="113"/>
        <v>307058.60854789609</v>
      </c>
      <c r="F154" s="193">
        <f t="shared" si="113"/>
        <v>308134.29982437077</v>
      </c>
      <c r="G154" s="414">
        <f t="shared" si="113"/>
        <v>315361.07894944417</v>
      </c>
      <c r="H154" s="193">
        <f t="shared" si="113"/>
        <v>303128.59525693825</v>
      </c>
      <c r="I154" s="436">
        <f t="shared" si="113"/>
        <v>282837.96828618774</v>
      </c>
      <c r="J154" s="193">
        <f t="shared" si="113"/>
        <v>289316.27183263499</v>
      </c>
      <c r="K154" s="193">
        <f t="shared" si="113"/>
        <v>304926.65023129014</v>
      </c>
      <c r="L154" s="193">
        <f t="shared" si="113"/>
        <v>321213.4098279195</v>
      </c>
      <c r="M154" s="193">
        <f t="shared" si="113"/>
        <v>331463.06013881479</v>
      </c>
      <c r="N154" s="193">
        <f t="shared" si="113"/>
        <v>342038.75221834128</v>
      </c>
      <c r="O154" s="193">
        <f t="shared" si="113"/>
        <v>352950.8300800898</v>
      </c>
      <c r="P154" s="193">
        <f t="shared" si="113"/>
        <v>364209.96518858528</v>
      </c>
      <c r="Q154" s="17"/>
    </row>
    <row r="155" spans="1:18" x14ac:dyDescent="0.2">
      <c r="A155" s="2"/>
      <c r="B155" s="44" t="s">
        <v>161</v>
      </c>
      <c r="C155" s="192">
        <f t="shared" ref="C155:P155" si="114">+C64*C100/1000</f>
        <v>244511.01966972728</v>
      </c>
      <c r="D155" s="192">
        <f t="shared" si="114"/>
        <v>280170.5294088822</v>
      </c>
      <c r="E155" s="192">
        <f t="shared" si="114"/>
        <v>289561.00129189162</v>
      </c>
      <c r="F155" s="192">
        <f t="shared" si="114"/>
        <v>290382.18777828361</v>
      </c>
      <c r="G155" s="415">
        <f t="shared" si="114"/>
        <v>297349.94304841227</v>
      </c>
      <c r="H155" s="192">
        <f t="shared" si="114"/>
        <v>283342.4492321416</v>
      </c>
      <c r="I155" s="437">
        <f t="shared" si="114"/>
        <v>262445.00390281196</v>
      </c>
      <c r="J155" s="192">
        <f t="shared" si="114"/>
        <v>268297.75518080924</v>
      </c>
      <c r="K155" s="192">
        <f t="shared" si="114"/>
        <v>283263.26420948305</v>
      </c>
      <c r="L155" s="192">
        <f t="shared" si="114"/>
        <v>298885.23580021452</v>
      </c>
      <c r="M155" s="192">
        <f t="shared" si="114"/>
        <v>308449.55900802527</v>
      </c>
      <c r="N155" s="192">
        <f t="shared" si="114"/>
        <v>318318.74489608448</v>
      </c>
      <c r="O155" s="192">
        <f t="shared" si="114"/>
        <v>328502.47733432002</v>
      </c>
      <c r="P155" s="192">
        <f t="shared" si="114"/>
        <v>339010.74684844329</v>
      </c>
    </row>
    <row r="156" spans="1:18" x14ac:dyDescent="0.2">
      <c r="A156" s="2"/>
      <c r="B156" s="44" t="s">
        <v>162</v>
      </c>
      <c r="C156" s="192">
        <f t="shared" ref="C156:P156" si="115">+(C17+C20)*C89</f>
        <v>14963.087894148244</v>
      </c>
      <c r="D156" s="192">
        <f t="shared" si="115"/>
        <v>16116.270067210797</v>
      </c>
      <c r="E156" s="192">
        <f t="shared" si="115"/>
        <v>16321.11144537799</v>
      </c>
      <c r="F156" s="192">
        <f t="shared" si="115"/>
        <v>16528.556403035625</v>
      </c>
      <c r="G156" s="192">
        <f t="shared" si="115"/>
        <v>16738.638032258285</v>
      </c>
      <c r="H156" s="192">
        <f t="shared" si="115"/>
        <v>18462.748241272107</v>
      </c>
      <c r="I156" s="192">
        <f t="shared" si="115"/>
        <v>19016.630688510275</v>
      </c>
      <c r="J156" s="192">
        <f t="shared" si="115"/>
        <v>19587.129609165582</v>
      </c>
      <c r="K156" s="192">
        <f t="shared" si="115"/>
        <v>20174.743497440548</v>
      </c>
      <c r="L156" s="192">
        <f t="shared" si="115"/>
        <v>20779.985802363764</v>
      </c>
      <c r="M156" s="192">
        <f t="shared" si="115"/>
        <v>21403.385376434679</v>
      </c>
      <c r="N156" s="192">
        <f t="shared" si="115"/>
        <v>22045.486937727721</v>
      </c>
      <c r="O156" s="192">
        <f t="shared" si="115"/>
        <v>22706.851545859554</v>
      </c>
      <c r="P156" s="192">
        <f t="shared" si="115"/>
        <v>23388.05709223534</v>
      </c>
    </row>
    <row r="157" spans="1:18" x14ac:dyDescent="0.2">
      <c r="A157" s="2"/>
      <c r="B157" s="44" t="s">
        <v>163</v>
      </c>
      <c r="C157" s="194">
        <f>+'[4]+Всн'!$E$9</f>
        <v>786.07366000000002</v>
      </c>
      <c r="D157" s="159">
        <f>+'[4]+Всн'!$H$9</f>
        <v>1031.6018799335002</v>
      </c>
      <c r="E157" s="160">
        <f>+'[4]+Всн'!$K$9</f>
        <v>1176.4958106264771</v>
      </c>
      <c r="F157" s="160">
        <f>+E157*(E$104)</f>
        <v>1223.5556430515362</v>
      </c>
      <c r="G157" s="160">
        <f t="shared" ref="G157:P157" si="116">+F157*(F$104)</f>
        <v>1272.4978687735977</v>
      </c>
      <c r="H157" s="160">
        <f t="shared" si="116"/>
        <v>1323.3977835245416</v>
      </c>
      <c r="I157" s="160">
        <f t="shared" si="116"/>
        <v>1376.3336948655233</v>
      </c>
      <c r="J157" s="160">
        <f t="shared" si="116"/>
        <v>1431.3870426601443</v>
      </c>
      <c r="K157" s="160">
        <f t="shared" si="116"/>
        <v>1488.6425243665501</v>
      </c>
      <c r="L157" s="160">
        <f t="shared" si="116"/>
        <v>1548.1882253412123</v>
      </c>
      <c r="M157" s="160">
        <f t="shared" si="116"/>
        <v>1610.1157543548609</v>
      </c>
      <c r="N157" s="160">
        <f t="shared" si="116"/>
        <v>1674.5203845290553</v>
      </c>
      <c r="O157" s="160">
        <f t="shared" si="116"/>
        <v>1741.5011999102176</v>
      </c>
      <c r="P157" s="160">
        <f t="shared" si="116"/>
        <v>1811.1612479066264</v>
      </c>
    </row>
    <row r="158" spans="1:18" x14ac:dyDescent="0.2">
      <c r="A158" s="2"/>
      <c r="B158" s="44" t="s">
        <v>164</v>
      </c>
      <c r="C158" s="190"/>
      <c r="D158" s="158"/>
      <c r="E158" s="158"/>
      <c r="F158" s="158"/>
      <c r="G158" s="403"/>
      <c r="H158" s="158"/>
      <c r="I158" s="431"/>
      <c r="J158" s="158"/>
      <c r="K158" s="158"/>
      <c r="L158" s="158"/>
      <c r="M158" s="158"/>
      <c r="N158" s="158"/>
      <c r="O158" s="158"/>
      <c r="P158" s="158"/>
    </row>
    <row r="159" spans="1:18" ht="12" thickBot="1" x14ac:dyDescent="0.25">
      <c r="A159" s="2"/>
      <c r="B159" s="6"/>
      <c r="C159" s="188"/>
      <c r="D159" s="158"/>
      <c r="E159" s="158"/>
      <c r="F159" s="158"/>
      <c r="G159" s="403"/>
      <c r="H159" s="158"/>
      <c r="I159" s="431"/>
      <c r="J159" s="158"/>
      <c r="K159" s="158"/>
      <c r="L159" s="158"/>
      <c r="M159" s="158"/>
      <c r="N159" s="158"/>
      <c r="O159" s="158"/>
      <c r="P159" s="158"/>
    </row>
    <row r="160" spans="1:18" s="216" customFormat="1" ht="22.5" x14ac:dyDescent="0.2">
      <c r="A160" s="56">
        <v>52</v>
      </c>
      <c r="B160" s="6" t="s">
        <v>224</v>
      </c>
      <c r="C160" s="189">
        <f t="shared" ref="C160:P160" si="117">C129-C136</f>
        <v>-95355.405404257588</v>
      </c>
      <c r="D160" s="189">
        <f t="shared" si="117"/>
        <v>-79765.345273857471</v>
      </c>
      <c r="E160" s="189">
        <f>E129-E136</f>
        <v>-70815.016758691345</v>
      </c>
      <c r="F160" s="189">
        <f t="shared" si="117"/>
        <v>-76491.217808164249</v>
      </c>
      <c r="G160" s="412">
        <f t="shared" si="117"/>
        <v>-74707.313669350289</v>
      </c>
      <c r="H160" s="189">
        <f t="shared" si="117"/>
        <v>30964.652745719883</v>
      </c>
      <c r="I160" s="435">
        <f t="shared" si="117"/>
        <v>77119.240260917111</v>
      </c>
      <c r="J160" s="189">
        <f t="shared" si="117"/>
        <v>52058.581102249853</v>
      </c>
      <c r="K160" s="189">
        <f t="shared" si="117"/>
        <v>45888.806740881293</v>
      </c>
      <c r="L160" s="189">
        <f t="shared" si="117"/>
        <v>38695.723768887634</v>
      </c>
      <c r="M160" s="189">
        <f t="shared" si="117"/>
        <v>26968.787660332513</v>
      </c>
      <c r="N160" s="189">
        <f t="shared" si="117"/>
        <v>14821.107378736488</v>
      </c>
      <c r="O160" s="189">
        <f t="shared" si="117"/>
        <v>7052.8452842592378</v>
      </c>
      <c r="P160" s="189">
        <f t="shared" si="117"/>
        <v>3773.7939038467593</v>
      </c>
      <c r="Q160" s="17"/>
    </row>
    <row r="161" spans="1:17" s="11" customFormat="1" x14ac:dyDescent="0.2">
      <c r="A161" s="2">
        <v>53</v>
      </c>
      <c r="B161" s="44" t="s">
        <v>225</v>
      </c>
      <c r="C161" s="160">
        <f>+C108</f>
        <v>0</v>
      </c>
      <c r="D161" s="160">
        <f t="shared" ref="D161:P161" si="118">+D108</f>
        <v>0</v>
      </c>
      <c r="E161" s="160">
        <f t="shared" si="118"/>
        <v>140000</v>
      </c>
      <c r="F161" s="160">
        <f t="shared" si="118"/>
        <v>140000</v>
      </c>
      <c r="G161" s="402">
        <f t="shared" si="118"/>
        <v>0</v>
      </c>
      <c r="H161" s="160">
        <f t="shared" si="118"/>
        <v>0</v>
      </c>
      <c r="I161" s="181">
        <f t="shared" si="118"/>
        <v>140000</v>
      </c>
      <c r="J161" s="160">
        <f t="shared" si="118"/>
        <v>7315.5114504874891</v>
      </c>
      <c r="K161" s="160">
        <f t="shared" si="118"/>
        <v>10115.511450487489</v>
      </c>
      <c r="L161" s="160">
        <f t="shared" si="118"/>
        <v>10261.82167949724</v>
      </c>
      <c r="M161" s="160">
        <f t="shared" si="118"/>
        <v>10464.131908506988</v>
      </c>
      <c r="N161" s="160">
        <f t="shared" si="118"/>
        <v>10669.368342096932</v>
      </c>
      <c r="O161" s="160">
        <f t="shared" si="118"/>
        <v>10878.650980267072</v>
      </c>
      <c r="P161" s="160">
        <f t="shared" si="118"/>
        <v>11092.03834710901</v>
      </c>
    </row>
    <row r="162" spans="1:17" s="11" customFormat="1" x14ac:dyDescent="0.2">
      <c r="A162" s="2">
        <v>54</v>
      </c>
      <c r="B162" s="44" t="s">
        <v>226</v>
      </c>
      <c r="C162" s="160">
        <f>IF(C161=0,0,C160-C161)</f>
        <v>0</v>
      </c>
      <c r="D162" s="160">
        <f>IF(D161=0,C162,C161+D160-D161)</f>
        <v>0</v>
      </c>
      <c r="E162" s="160">
        <f>IF(E161=0,D162,D161+E160-E161)</f>
        <v>-210815.01675869134</v>
      </c>
      <c r="F162" s="160">
        <f>IF(F161=0,E162,E162+F160-F161)</f>
        <v>-427306.23456685559</v>
      </c>
      <c r="G162" s="402">
        <f>IF(G161=0,F162,F162+G160-G161)</f>
        <v>-427306.23456685559</v>
      </c>
      <c r="H162" s="160">
        <f t="shared" ref="H162:P162" si="119">IF(H161=0,G162,G162+H160-H161)</f>
        <v>-427306.23456685559</v>
      </c>
      <c r="I162" s="181">
        <f t="shared" si="119"/>
        <v>-490186.99430593848</v>
      </c>
      <c r="J162" s="160">
        <f t="shared" si="119"/>
        <v>-445443.92465417611</v>
      </c>
      <c r="K162" s="160">
        <f t="shared" si="119"/>
        <v>-409670.6293637823</v>
      </c>
      <c r="L162" s="160">
        <f t="shared" si="119"/>
        <v>-381236.72727439192</v>
      </c>
      <c r="M162" s="160">
        <f t="shared" si="119"/>
        <v>-364732.07152256637</v>
      </c>
      <c r="N162" s="160">
        <f t="shared" si="119"/>
        <v>-360580.3324859268</v>
      </c>
      <c r="O162" s="160">
        <f t="shared" si="119"/>
        <v>-364406.13818193466</v>
      </c>
      <c r="P162" s="160">
        <f t="shared" si="119"/>
        <v>-371724.38262519689</v>
      </c>
    </row>
    <row r="163" spans="1:17" s="11" customFormat="1" x14ac:dyDescent="0.2">
      <c r="A163" s="2">
        <v>55</v>
      </c>
      <c r="B163" s="44" t="s">
        <v>227</v>
      </c>
      <c r="C163" s="160">
        <f>IF(C160&gt;0,IF(C160&lt;C161,C160,C161),0)</f>
        <v>0</v>
      </c>
      <c r="D163" s="160">
        <f t="shared" ref="D163:P163" si="120">IF(D160&gt;0,IF(D160&lt;D161,D160,D161),0)</f>
        <v>0</v>
      </c>
      <c r="E163" s="160">
        <f t="shared" si="120"/>
        <v>0</v>
      </c>
      <c r="F163" s="160">
        <f t="shared" si="120"/>
        <v>0</v>
      </c>
      <c r="G163" s="402">
        <f t="shared" si="120"/>
        <v>0</v>
      </c>
      <c r="H163" s="160">
        <f t="shared" si="120"/>
        <v>0</v>
      </c>
      <c r="I163" s="181">
        <f t="shared" si="120"/>
        <v>77119.240260917111</v>
      </c>
      <c r="J163" s="160">
        <f t="shared" si="120"/>
        <v>7315.5114504874891</v>
      </c>
      <c r="K163" s="160">
        <f t="shared" si="120"/>
        <v>10115.511450487489</v>
      </c>
      <c r="L163" s="160">
        <f t="shared" si="120"/>
        <v>10261.82167949724</v>
      </c>
      <c r="M163" s="160">
        <f t="shared" si="120"/>
        <v>10464.131908506988</v>
      </c>
      <c r="N163" s="160">
        <f t="shared" si="120"/>
        <v>10669.368342096932</v>
      </c>
      <c r="O163" s="160">
        <f t="shared" si="120"/>
        <v>7052.8452842592378</v>
      </c>
      <c r="P163" s="160">
        <f t="shared" si="120"/>
        <v>3773.7939038467593</v>
      </c>
    </row>
    <row r="164" spans="1:17" s="11" customFormat="1" x14ac:dyDescent="0.2">
      <c r="A164" s="2">
        <v>56</v>
      </c>
      <c r="B164" s="44" t="s">
        <v>228</v>
      </c>
      <c r="C164" s="158"/>
      <c r="D164" s="158"/>
      <c r="E164" s="158"/>
      <c r="F164" s="158"/>
      <c r="G164" s="403"/>
      <c r="H164" s="158"/>
      <c r="I164" s="431"/>
      <c r="J164" s="158"/>
      <c r="K164" s="158"/>
      <c r="L164" s="158"/>
      <c r="M164" s="158"/>
      <c r="N164" s="158"/>
      <c r="O164" s="158"/>
      <c r="P164" s="158"/>
    </row>
    <row r="165" spans="1:17" s="23" customFormat="1" x14ac:dyDescent="0.2">
      <c r="A165" s="2">
        <v>57</v>
      </c>
      <c r="B165" s="184" t="s">
        <v>229</v>
      </c>
      <c r="C165" s="160">
        <f>+C162</f>
        <v>0</v>
      </c>
      <c r="D165" s="160">
        <f t="shared" ref="D165:P165" si="121">+D162</f>
        <v>0</v>
      </c>
      <c r="E165" s="160">
        <f>+E162</f>
        <v>-210815.01675869134</v>
      </c>
      <c r="F165" s="160">
        <f t="shared" si="121"/>
        <v>-427306.23456685559</v>
      </c>
      <c r="G165" s="402">
        <f t="shared" si="121"/>
        <v>-427306.23456685559</v>
      </c>
      <c r="H165" s="160">
        <f t="shared" si="121"/>
        <v>-427306.23456685559</v>
      </c>
      <c r="I165" s="181">
        <f t="shared" si="121"/>
        <v>-490186.99430593848</v>
      </c>
      <c r="J165" s="160">
        <f t="shared" si="121"/>
        <v>-445443.92465417611</v>
      </c>
      <c r="K165" s="160">
        <f t="shared" si="121"/>
        <v>-409670.6293637823</v>
      </c>
      <c r="L165" s="160">
        <f t="shared" si="121"/>
        <v>-381236.72727439192</v>
      </c>
      <c r="M165" s="160">
        <f t="shared" si="121"/>
        <v>-364732.07152256637</v>
      </c>
      <c r="N165" s="160">
        <f t="shared" si="121"/>
        <v>-360580.3324859268</v>
      </c>
      <c r="O165" s="160">
        <f t="shared" si="121"/>
        <v>-364406.13818193466</v>
      </c>
      <c r="P165" s="160">
        <f t="shared" si="121"/>
        <v>-371724.38262519689</v>
      </c>
      <c r="Q165" s="11"/>
    </row>
    <row r="166" spans="1:17" s="23" customFormat="1" x14ac:dyDescent="0.2">
      <c r="A166" s="2">
        <v>58</v>
      </c>
      <c r="B166" s="184" t="s">
        <v>23</v>
      </c>
      <c r="C166" s="160">
        <f t="shared" ref="C166:P166" si="122">IF(C165&lt;0,0,C165*20%)</f>
        <v>0</v>
      </c>
      <c r="D166" s="160">
        <f t="shared" si="122"/>
        <v>0</v>
      </c>
      <c r="E166" s="160">
        <f t="shared" si="122"/>
        <v>0</v>
      </c>
      <c r="F166" s="160">
        <f t="shared" si="122"/>
        <v>0</v>
      </c>
      <c r="G166" s="402">
        <f t="shared" si="122"/>
        <v>0</v>
      </c>
      <c r="H166" s="160">
        <f t="shared" si="122"/>
        <v>0</v>
      </c>
      <c r="I166" s="181">
        <f t="shared" si="122"/>
        <v>0</v>
      </c>
      <c r="J166" s="160">
        <f t="shared" si="122"/>
        <v>0</v>
      </c>
      <c r="K166" s="160">
        <f t="shared" si="122"/>
        <v>0</v>
      </c>
      <c r="L166" s="160">
        <f t="shared" si="122"/>
        <v>0</v>
      </c>
      <c r="M166" s="160">
        <f t="shared" si="122"/>
        <v>0</v>
      </c>
      <c r="N166" s="160">
        <f t="shared" si="122"/>
        <v>0</v>
      </c>
      <c r="O166" s="160">
        <f t="shared" si="122"/>
        <v>0</v>
      </c>
      <c r="P166" s="160">
        <f t="shared" si="122"/>
        <v>0</v>
      </c>
      <c r="Q166" s="11"/>
    </row>
    <row r="167" spans="1:17" s="54" customFormat="1" ht="12" thickBot="1" x14ac:dyDescent="0.25">
      <c r="A167" s="2">
        <v>59</v>
      </c>
      <c r="B167" s="185" t="s">
        <v>230</v>
      </c>
      <c r="C167" s="160">
        <f t="shared" ref="C167:P167" si="123">C160-C163-C164-C166</f>
        <v>-95355.405404257588</v>
      </c>
      <c r="D167" s="160">
        <f t="shared" si="123"/>
        <v>-79765.345273857471</v>
      </c>
      <c r="E167" s="160">
        <f t="shared" si="123"/>
        <v>-70815.016758691345</v>
      </c>
      <c r="F167" s="160">
        <f t="shared" si="123"/>
        <v>-76491.217808164249</v>
      </c>
      <c r="G167" s="402">
        <f t="shared" si="123"/>
        <v>-74707.313669350289</v>
      </c>
      <c r="H167" s="160">
        <f t="shared" si="123"/>
        <v>30964.652745719883</v>
      </c>
      <c r="I167" s="181">
        <f t="shared" si="123"/>
        <v>0</v>
      </c>
      <c r="J167" s="160">
        <f t="shared" si="123"/>
        <v>44743.069651762366</v>
      </c>
      <c r="K167" s="160">
        <f t="shared" si="123"/>
        <v>35773.295290393806</v>
      </c>
      <c r="L167" s="160">
        <f t="shared" si="123"/>
        <v>28433.902089390394</v>
      </c>
      <c r="M167" s="160">
        <f t="shared" si="123"/>
        <v>16504.655751825525</v>
      </c>
      <c r="N167" s="160">
        <f t="shared" si="123"/>
        <v>4151.7390366395557</v>
      </c>
      <c r="O167" s="160">
        <f t="shared" si="123"/>
        <v>0</v>
      </c>
      <c r="P167" s="160">
        <f t="shared" si="123"/>
        <v>0</v>
      </c>
      <c r="Q167" s="11"/>
    </row>
    <row r="168" spans="1:17" s="11" customFormat="1" x14ac:dyDescent="0.2">
      <c r="A168" s="2"/>
      <c r="B168" s="185"/>
      <c r="C168" s="55"/>
      <c r="D168" s="55"/>
      <c r="E168" s="55"/>
      <c r="F168" s="55"/>
      <c r="G168" s="417"/>
      <c r="H168" s="50"/>
      <c r="I168" s="183"/>
      <c r="J168" s="55"/>
      <c r="K168" s="55"/>
      <c r="L168" s="55"/>
      <c r="M168" s="55"/>
      <c r="N168" s="55"/>
      <c r="O168" s="55"/>
      <c r="P168" s="55"/>
    </row>
    <row r="169" spans="1:17" s="18" customFormat="1" ht="22.5" x14ac:dyDescent="0.2">
      <c r="A169" s="56"/>
      <c r="B169" s="168" t="s">
        <v>240</v>
      </c>
      <c r="C169" s="193">
        <f>SUM(C170:C172)</f>
        <v>59024.098815631529</v>
      </c>
      <c r="D169" s="193">
        <f t="shared" ref="D169:G169" si="124">SUM(D170:D172)</f>
        <v>61076.537045910256</v>
      </c>
      <c r="E169" s="193">
        <f t="shared" si="124"/>
        <v>51474.087572394557</v>
      </c>
      <c r="F169" s="193">
        <f t="shared" si="124"/>
        <v>42137.235954122196</v>
      </c>
      <c r="G169" s="414">
        <f t="shared" si="124"/>
        <v>44139.276135245025</v>
      </c>
      <c r="H169" s="732"/>
      <c r="I169" s="733"/>
      <c r="J169" s="732"/>
      <c r="K169" s="732"/>
      <c r="L169" s="732"/>
      <c r="M169" s="732"/>
      <c r="N169" s="732"/>
      <c r="O169" s="732"/>
      <c r="P169" s="732"/>
      <c r="Q169" s="17"/>
    </row>
    <row r="170" spans="1:17" x14ac:dyDescent="0.2">
      <c r="A170" s="2"/>
      <c r="B170" s="44" t="s">
        <v>157</v>
      </c>
      <c r="C170" s="192">
        <f t="shared" ref="C170:G170" si="125">+C137-C179-C188</f>
        <v>9271.6702712717361</v>
      </c>
      <c r="D170" s="192">
        <f t="shared" si="125"/>
        <v>13289.747214147159</v>
      </c>
      <c r="E170" s="192">
        <f t="shared" si="125"/>
        <v>10652.241511157341</v>
      </c>
      <c r="F170" s="192">
        <f t="shared" si="125"/>
        <v>8016.6335036388236</v>
      </c>
      <c r="G170" s="415">
        <f t="shared" si="125"/>
        <v>8386.1901744707902</v>
      </c>
      <c r="H170" s="197"/>
      <c r="I170" s="734"/>
      <c r="J170" s="197"/>
      <c r="K170" s="197"/>
      <c r="L170" s="197"/>
      <c r="M170" s="197"/>
      <c r="N170" s="197"/>
      <c r="O170" s="197"/>
      <c r="P170" s="197"/>
    </row>
    <row r="171" spans="1:17" x14ac:dyDescent="0.2">
      <c r="A171" s="2"/>
      <c r="B171" s="44" t="s">
        <v>159</v>
      </c>
      <c r="C171" s="192">
        <f t="shared" ref="C171:G171" si="126">+C145-C180-C189</f>
        <v>4741.6702329390018</v>
      </c>
      <c r="D171" s="192">
        <f t="shared" si="126"/>
        <v>4293.2707008306024</v>
      </c>
      <c r="E171" s="192">
        <f t="shared" si="126"/>
        <v>3646.3185522451458</v>
      </c>
      <c r="F171" s="192">
        <f t="shared" si="126"/>
        <v>3749.5814056358722</v>
      </c>
      <c r="G171" s="415">
        <f t="shared" si="126"/>
        <v>4676.5268716568835</v>
      </c>
      <c r="H171" s="197"/>
      <c r="I171" s="734"/>
      <c r="J171" s="197"/>
      <c r="K171" s="197"/>
      <c r="L171" s="197"/>
      <c r="M171" s="197"/>
      <c r="N171" s="197"/>
      <c r="O171" s="197"/>
      <c r="P171" s="197"/>
    </row>
    <row r="172" spans="1:17" x14ac:dyDescent="0.2">
      <c r="A172" s="2"/>
      <c r="B172" s="44" t="s">
        <v>235</v>
      </c>
      <c r="C172" s="192">
        <f>SUM(C173:C175)</f>
        <v>45010.758311420796</v>
      </c>
      <c r="D172" s="192">
        <f t="shared" ref="D172:G172" si="127">SUM(D173:D175)</f>
        <v>43493.519130932495</v>
      </c>
      <c r="E172" s="192">
        <f t="shared" si="127"/>
        <v>37175.527508992069</v>
      </c>
      <c r="F172" s="192">
        <f t="shared" si="127"/>
        <v>30371.021044847505</v>
      </c>
      <c r="G172" s="415">
        <f t="shared" si="127"/>
        <v>31076.559089117352</v>
      </c>
      <c r="H172" s="197"/>
      <c r="I172" s="734"/>
      <c r="J172" s="197"/>
      <c r="K172" s="197"/>
      <c r="L172" s="197"/>
      <c r="M172" s="197"/>
      <c r="N172" s="197"/>
      <c r="O172" s="197"/>
      <c r="P172" s="197"/>
    </row>
    <row r="173" spans="1:17" s="35" customFormat="1" x14ac:dyDescent="0.2">
      <c r="A173" s="33"/>
      <c r="B173" s="110" t="s">
        <v>161</v>
      </c>
      <c r="C173" s="218">
        <f>+C155-C182</f>
        <v>34333.182880000037</v>
      </c>
      <c r="D173" s="218">
        <f t="shared" ref="D173:G174" si="128">+D155-D182</f>
        <v>31712.245263058605</v>
      </c>
      <c r="E173" s="218">
        <f t="shared" si="128"/>
        <v>25260.128494961478</v>
      </c>
      <c r="F173" s="218">
        <f t="shared" si="128"/>
        <v>18330.872825633094</v>
      </c>
      <c r="G173" s="418">
        <f t="shared" si="128"/>
        <v>18880.799010402116</v>
      </c>
      <c r="H173" s="267"/>
      <c r="I173" s="441"/>
      <c r="J173" s="267"/>
      <c r="K173" s="267"/>
      <c r="L173" s="267"/>
      <c r="M173" s="267"/>
      <c r="N173" s="267"/>
      <c r="O173" s="267"/>
      <c r="P173" s="267"/>
      <c r="Q173" s="32"/>
    </row>
    <row r="174" spans="1:17" s="219" customFormat="1" x14ac:dyDescent="0.2">
      <c r="A174" s="212"/>
      <c r="B174" s="110" t="s">
        <v>162</v>
      </c>
      <c r="C174" s="218">
        <f>+C156-C183</f>
        <v>10567.198358181337</v>
      </c>
      <c r="D174" s="218">
        <f t="shared" si="128"/>
        <v>11664.507797226466</v>
      </c>
      <c r="E174" s="218">
        <f t="shared" si="128"/>
        <v>11812.766286496084</v>
      </c>
      <c r="F174" s="218">
        <f t="shared" si="128"/>
        <v>11962.909174149467</v>
      </c>
      <c r="G174" s="418">
        <f t="shared" si="128"/>
        <v>12114.960411309323</v>
      </c>
      <c r="H174" s="267"/>
      <c r="I174" s="441"/>
      <c r="J174" s="267"/>
      <c r="K174" s="267"/>
      <c r="L174" s="267"/>
      <c r="M174" s="267"/>
      <c r="N174" s="267"/>
      <c r="O174" s="267"/>
      <c r="P174" s="267"/>
      <c r="Q174" s="213"/>
    </row>
    <row r="175" spans="1:17" s="35" customFormat="1" x14ac:dyDescent="0.2">
      <c r="A175" s="33"/>
      <c r="B175" s="110" t="s">
        <v>163</v>
      </c>
      <c r="C175" s="218">
        <f t="shared" ref="C175:G175" si="129">+C157-C184-C193</f>
        <v>110.37707323942072</v>
      </c>
      <c r="D175" s="218">
        <f t="shared" si="129"/>
        <v>116.76607064742313</v>
      </c>
      <c r="E175" s="218">
        <f t="shared" si="129"/>
        <v>102.63272753450337</v>
      </c>
      <c r="F175" s="218">
        <f t="shared" si="129"/>
        <v>77.239045064942502</v>
      </c>
      <c r="G175" s="418">
        <f t="shared" si="129"/>
        <v>80.799667405914533</v>
      </c>
      <c r="H175" s="267"/>
      <c r="I175" s="441"/>
      <c r="J175" s="267"/>
      <c r="K175" s="267"/>
      <c r="L175" s="267"/>
      <c r="M175" s="267"/>
      <c r="N175" s="267"/>
      <c r="O175" s="267"/>
      <c r="P175" s="267"/>
      <c r="Q175" s="32"/>
    </row>
    <row r="176" spans="1:17" s="223" customFormat="1" ht="22.5" x14ac:dyDescent="0.2">
      <c r="A176" s="220"/>
      <c r="B176" s="221" t="s">
        <v>364</v>
      </c>
      <c r="C176" s="224">
        <f t="shared" ref="C176:G176" si="130">+C130+C131-C169</f>
        <v>-19769.948428715375</v>
      </c>
      <c r="D176" s="224">
        <f t="shared" si="130"/>
        <v>-19241.190669525466</v>
      </c>
      <c r="E176" s="224">
        <f t="shared" si="130"/>
        <v>-8868.2344253966294</v>
      </c>
      <c r="F176" s="224">
        <f t="shared" si="130"/>
        <v>1258.4815893982959</v>
      </c>
      <c r="G176" s="419">
        <f t="shared" si="130"/>
        <v>66.292583940994518</v>
      </c>
      <c r="H176" s="735"/>
      <c r="I176" s="736"/>
      <c r="J176" s="737"/>
      <c r="K176" s="737"/>
      <c r="L176" s="737"/>
      <c r="M176" s="737"/>
      <c r="N176" s="737"/>
      <c r="O176" s="737"/>
      <c r="P176" s="737"/>
      <c r="Q176" s="222"/>
    </row>
    <row r="177" spans="1:17" s="477" customFormat="1" x14ac:dyDescent="0.2">
      <c r="A177" s="475"/>
      <c r="B177" s="478" t="s">
        <v>462</v>
      </c>
      <c r="C177" s="479">
        <f>+C176+C$152*(1-C$84)</f>
        <v>-18565.52483173642</v>
      </c>
      <c r="D177" s="479">
        <f>+D176+D152*(1-D84)</f>
        <v>-18270.304831100093</v>
      </c>
      <c r="E177" s="479">
        <f>+E176+E152*(1-E84)</f>
        <v>-8119.963085669342</v>
      </c>
      <c r="F177" s="479">
        <f>+F176+F152*(1-F84)</f>
        <v>2683.7285505648056</v>
      </c>
      <c r="G177" s="479">
        <f>+G176+G152*(1-G84)</f>
        <v>2388.8540066694572</v>
      </c>
      <c r="H177" s="491"/>
      <c r="I177" s="491"/>
      <c r="J177" s="491"/>
      <c r="K177" s="491"/>
      <c r="L177" s="491"/>
      <c r="M177" s="491"/>
      <c r="N177" s="491"/>
      <c r="O177" s="491"/>
      <c r="P177" s="491"/>
      <c r="Q177" s="476"/>
    </row>
    <row r="178" spans="1:17" s="18" customFormat="1" x14ac:dyDescent="0.2">
      <c r="A178" s="56"/>
      <c r="B178" s="168" t="s">
        <v>233</v>
      </c>
      <c r="C178" s="193">
        <f>SUM(C179:C181)</f>
        <v>349799.62044769485</v>
      </c>
      <c r="D178" s="193">
        <f t="shared" ref="D178:P178" si="131">SUM(D179:D181)</f>
        <v>391583.85908157227</v>
      </c>
      <c r="E178" s="193">
        <f t="shared" si="131"/>
        <v>419491.26316871424</v>
      </c>
      <c r="F178" s="193">
        <f t="shared" si="131"/>
        <v>452387.49163247034</v>
      </c>
      <c r="G178" s="414">
        <f t="shared" si="131"/>
        <v>476943.93181857246</v>
      </c>
      <c r="H178" s="193">
        <f t="shared" si="131"/>
        <v>398172.77308896906</v>
      </c>
      <c r="I178" s="436">
        <f t="shared" si="131"/>
        <v>382144.37386392674</v>
      </c>
      <c r="J178" s="193">
        <f t="shared" si="131"/>
        <v>403737.32376820338</v>
      </c>
      <c r="K178" s="193">
        <f t="shared" si="131"/>
        <v>421322.06199916452</v>
      </c>
      <c r="L178" s="193">
        <f t="shared" si="131"/>
        <v>439930.10884075065</v>
      </c>
      <c r="M178" s="193">
        <f t="shared" si="131"/>
        <v>452586.95345816284</v>
      </c>
      <c r="N178" s="193">
        <f t="shared" si="131"/>
        <v>465664.54224861582</v>
      </c>
      <c r="O178" s="193">
        <f t="shared" si="131"/>
        <v>479176.86843331216</v>
      </c>
      <c r="P178" s="193">
        <f t="shared" si="131"/>
        <v>493138.50583390053</v>
      </c>
      <c r="Q178" s="17"/>
    </row>
    <row r="179" spans="1:17" x14ac:dyDescent="0.2">
      <c r="A179" s="2"/>
      <c r="B179" s="44" t="s">
        <v>157</v>
      </c>
      <c r="C179" s="194">
        <f>+'[4]+Оп_i0'!$I$46</f>
        <v>102320.24811375194</v>
      </c>
      <c r="D179" s="192">
        <f t="shared" ref="D179:P179" si="132">+(D137-D188)*D$84</f>
        <v>104122.16991160704</v>
      </c>
      <c r="E179" s="192">
        <f t="shared" si="132"/>
        <v>111456.15229962702</v>
      </c>
      <c r="F179" s="192">
        <f t="shared" si="132"/>
        <v>118976.09605957691</v>
      </c>
      <c r="G179" s="415">
        <f t="shared" si="132"/>
        <v>123686.24857127357</v>
      </c>
      <c r="H179" s="192">
        <f t="shared" si="132"/>
        <v>41438.945221174959</v>
      </c>
      <c r="I179" s="437">
        <f t="shared" si="132"/>
        <v>43096.503030021959</v>
      </c>
      <c r="J179" s="192">
        <f t="shared" si="132"/>
        <v>44820.363151222831</v>
      </c>
      <c r="K179" s="192">
        <f t="shared" si="132"/>
        <v>46613.177677271742</v>
      </c>
      <c r="L179" s="192">
        <f t="shared" si="132"/>
        <v>48477.704784362613</v>
      </c>
      <c r="M179" s="192">
        <f t="shared" si="132"/>
        <v>50416.812975737128</v>
      </c>
      <c r="N179" s="192">
        <f t="shared" si="132"/>
        <v>52433.48549476661</v>
      </c>
      <c r="O179" s="192">
        <f t="shared" si="132"/>
        <v>54530.824914557285</v>
      </c>
      <c r="P179" s="192">
        <f t="shared" si="132"/>
        <v>56712.057911139578</v>
      </c>
    </row>
    <row r="180" spans="1:17" x14ac:dyDescent="0.2">
      <c r="A180" s="2"/>
      <c r="B180" s="44" t="s">
        <v>159</v>
      </c>
      <c r="C180" s="194">
        <f>+C145*C$84</f>
        <v>32229.949421488185</v>
      </c>
      <c r="D180" s="192">
        <f t="shared" ref="D180:P180" si="133">+(D145-D189)*D$84</f>
        <v>33636.80694487127</v>
      </c>
      <c r="E180" s="192">
        <f t="shared" si="133"/>
        <v>38152.029830183194</v>
      </c>
      <c r="F180" s="192">
        <f t="shared" si="133"/>
        <v>55648.116793370136</v>
      </c>
      <c r="G180" s="415">
        <f t="shared" si="133"/>
        <v>68973.163386972054</v>
      </c>
      <c r="H180" s="192">
        <f t="shared" si="133"/>
        <v>53605.232610855863</v>
      </c>
      <c r="I180" s="437">
        <f t="shared" si="133"/>
        <v>56209.902547717065</v>
      </c>
      <c r="J180" s="192">
        <f t="shared" si="133"/>
        <v>69600.688784345592</v>
      </c>
      <c r="K180" s="192">
        <f t="shared" si="133"/>
        <v>69782.234090602651</v>
      </c>
      <c r="L180" s="192">
        <f t="shared" si="133"/>
        <v>70238.994228468538</v>
      </c>
      <c r="M180" s="192">
        <f t="shared" si="133"/>
        <v>70707.080343610884</v>
      </c>
      <c r="N180" s="192">
        <f t="shared" si="133"/>
        <v>71192.304535507923</v>
      </c>
      <c r="O180" s="192">
        <f t="shared" si="133"/>
        <v>71695.213438665058</v>
      </c>
      <c r="P180" s="192">
        <f t="shared" si="133"/>
        <v>72216.482734175675</v>
      </c>
    </row>
    <row r="181" spans="1:17" x14ac:dyDescent="0.2">
      <c r="A181" s="2"/>
      <c r="B181" s="44" t="s">
        <v>235</v>
      </c>
      <c r="C181" s="192">
        <f>SUM(C182:C184)</f>
        <v>215249.42291245473</v>
      </c>
      <c r="D181" s="192">
        <f t="shared" ref="D181:P181" si="134">SUM(D182:D184)</f>
        <v>253824.88222509398</v>
      </c>
      <c r="E181" s="192">
        <f t="shared" si="134"/>
        <v>269883.08103890403</v>
      </c>
      <c r="F181" s="192">
        <f t="shared" si="134"/>
        <v>277763.27877952327</v>
      </c>
      <c r="G181" s="415">
        <f t="shared" si="134"/>
        <v>284284.51986032684</v>
      </c>
      <c r="H181" s="192">
        <f t="shared" si="134"/>
        <v>303128.59525693825</v>
      </c>
      <c r="I181" s="437">
        <f t="shared" si="134"/>
        <v>282837.96828618774</v>
      </c>
      <c r="J181" s="192">
        <f t="shared" si="134"/>
        <v>289316.27183263499</v>
      </c>
      <c r="K181" s="192">
        <f t="shared" si="134"/>
        <v>304926.65023129014</v>
      </c>
      <c r="L181" s="192">
        <f t="shared" si="134"/>
        <v>321213.4098279195</v>
      </c>
      <c r="M181" s="192">
        <f t="shared" si="134"/>
        <v>331463.06013881479</v>
      </c>
      <c r="N181" s="192">
        <f t="shared" si="134"/>
        <v>342038.75221834128</v>
      </c>
      <c r="O181" s="192">
        <f t="shared" si="134"/>
        <v>352950.8300800898</v>
      </c>
      <c r="P181" s="192">
        <f t="shared" si="134"/>
        <v>364209.96518858528</v>
      </c>
    </row>
    <row r="182" spans="1:17" s="35" customFormat="1" x14ac:dyDescent="0.2">
      <c r="A182" s="33"/>
      <c r="B182" s="110" t="s">
        <v>161</v>
      </c>
      <c r="C182" s="218">
        <f t="shared" ref="C182:P182" si="135">+C66*C100/1000</f>
        <v>210177.83678972724</v>
      </c>
      <c r="D182" s="218">
        <f t="shared" si="135"/>
        <v>248458.28414582359</v>
      </c>
      <c r="E182" s="218">
        <f t="shared" si="135"/>
        <v>264300.87279693014</v>
      </c>
      <c r="F182" s="218">
        <f t="shared" si="135"/>
        <v>272051.31495265051</v>
      </c>
      <c r="G182" s="418">
        <f t="shared" si="135"/>
        <v>278469.14403801016</v>
      </c>
      <c r="H182" s="218">
        <f t="shared" si="135"/>
        <v>283342.4492321416</v>
      </c>
      <c r="I182" s="439">
        <f t="shared" si="135"/>
        <v>262445.00390281196</v>
      </c>
      <c r="J182" s="218">
        <f t="shared" si="135"/>
        <v>268297.75518080924</v>
      </c>
      <c r="K182" s="218">
        <f t="shared" si="135"/>
        <v>283263.26420948305</v>
      </c>
      <c r="L182" s="218">
        <f t="shared" si="135"/>
        <v>298885.23580021452</v>
      </c>
      <c r="M182" s="218">
        <f t="shared" si="135"/>
        <v>308449.55900802527</v>
      </c>
      <c r="N182" s="218">
        <f t="shared" si="135"/>
        <v>318318.74489608448</v>
      </c>
      <c r="O182" s="218">
        <f t="shared" si="135"/>
        <v>328502.47733432002</v>
      </c>
      <c r="P182" s="218">
        <f t="shared" si="135"/>
        <v>339010.74684844329</v>
      </c>
      <c r="Q182" s="32"/>
    </row>
    <row r="183" spans="1:17" s="219" customFormat="1" x14ac:dyDescent="0.2">
      <c r="A183" s="212"/>
      <c r="B183" s="110" t="s">
        <v>162</v>
      </c>
      <c r="C183" s="218">
        <f t="shared" ref="C183:P183" si="136">+C21*C89</f>
        <v>4395.8895359669086</v>
      </c>
      <c r="D183" s="218">
        <f t="shared" si="136"/>
        <v>4451.7622699843305</v>
      </c>
      <c r="E183" s="218">
        <f t="shared" si="136"/>
        <v>4508.3451588819062</v>
      </c>
      <c r="F183" s="218">
        <f t="shared" si="136"/>
        <v>4565.6472288861587</v>
      </c>
      <c r="G183" s="218">
        <f t="shared" si="136"/>
        <v>4623.6776209489626</v>
      </c>
      <c r="H183" s="218">
        <f t="shared" si="136"/>
        <v>18462.748241272107</v>
      </c>
      <c r="I183" s="218">
        <f t="shared" si="136"/>
        <v>19016.630688510275</v>
      </c>
      <c r="J183" s="218">
        <f t="shared" si="136"/>
        <v>19587.129609165582</v>
      </c>
      <c r="K183" s="218">
        <f t="shared" si="136"/>
        <v>20174.743497440548</v>
      </c>
      <c r="L183" s="218">
        <f t="shared" si="136"/>
        <v>20779.985802363764</v>
      </c>
      <c r="M183" s="218">
        <f t="shared" si="136"/>
        <v>21403.385376434679</v>
      </c>
      <c r="N183" s="218">
        <f t="shared" si="136"/>
        <v>22045.486937727721</v>
      </c>
      <c r="O183" s="218">
        <f t="shared" si="136"/>
        <v>22706.851545859554</v>
      </c>
      <c r="P183" s="218">
        <f t="shared" si="136"/>
        <v>23388.05709223534</v>
      </c>
      <c r="Q183" s="213"/>
    </row>
    <row r="184" spans="1:17" s="35" customFormat="1" x14ac:dyDescent="0.2">
      <c r="A184" s="33"/>
      <c r="B184" s="110" t="s">
        <v>163</v>
      </c>
      <c r="C184" s="194">
        <f>+C157*C$84</f>
        <v>675.69658676057929</v>
      </c>
      <c r="D184" s="218">
        <f t="shared" ref="D184:P184" si="137">+(D157-D193)*D$84</f>
        <v>914.83580928607705</v>
      </c>
      <c r="E184" s="218">
        <f t="shared" si="137"/>
        <v>1073.8630830919737</v>
      </c>
      <c r="F184" s="218">
        <f t="shared" si="137"/>
        <v>1146.3165979865937</v>
      </c>
      <c r="G184" s="418">
        <f t="shared" si="137"/>
        <v>1191.6982013676832</v>
      </c>
      <c r="H184" s="218">
        <f t="shared" si="137"/>
        <v>1323.3977835245416</v>
      </c>
      <c r="I184" s="439">
        <f t="shared" si="137"/>
        <v>1376.3336948655233</v>
      </c>
      <c r="J184" s="218">
        <f t="shared" si="137"/>
        <v>1431.3870426601443</v>
      </c>
      <c r="K184" s="218">
        <f t="shared" si="137"/>
        <v>1488.6425243665501</v>
      </c>
      <c r="L184" s="218">
        <f t="shared" si="137"/>
        <v>1548.1882253412123</v>
      </c>
      <c r="M184" s="218">
        <f t="shared" si="137"/>
        <v>1610.1157543548609</v>
      </c>
      <c r="N184" s="218">
        <f t="shared" si="137"/>
        <v>1674.5203845290553</v>
      </c>
      <c r="O184" s="218">
        <f t="shared" si="137"/>
        <v>1741.5011999102176</v>
      </c>
      <c r="P184" s="218">
        <f t="shared" si="137"/>
        <v>1811.1612479066264</v>
      </c>
      <c r="Q184" s="32"/>
    </row>
    <row r="185" spans="1:17" s="223" customFormat="1" x14ac:dyDescent="0.2">
      <c r="A185" s="220"/>
      <c r="B185" s="221" t="s">
        <v>365</v>
      </c>
      <c r="C185" s="224">
        <f t="shared" ref="C185:P185" si="138">+C132-C178</f>
        <v>-75585.456975542242</v>
      </c>
      <c r="D185" s="224">
        <f t="shared" si="138"/>
        <v>-60524.154604331998</v>
      </c>
      <c r="E185" s="224">
        <f t="shared" si="138"/>
        <v>-61946.782333294686</v>
      </c>
      <c r="F185" s="224">
        <f t="shared" si="138"/>
        <v>-77749.699397562537</v>
      </c>
      <c r="G185" s="419">
        <f t="shared" si="138"/>
        <v>-74773.606253291247</v>
      </c>
      <c r="H185" s="473">
        <f t="shared" si="138"/>
        <v>30964.652745719883</v>
      </c>
      <c r="I185" s="440">
        <f t="shared" si="138"/>
        <v>77119.24026091717</v>
      </c>
      <c r="J185" s="224">
        <f t="shared" si="138"/>
        <v>52058.581102249911</v>
      </c>
      <c r="K185" s="224">
        <f t="shared" si="138"/>
        <v>45888.806740881293</v>
      </c>
      <c r="L185" s="224">
        <f t="shared" si="138"/>
        <v>38695.723768887634</v>
      </c>
      <c r="M185" s="224">
        <f t="shared" si="138"/>
        <v>26968.787660332513</v>
      </c>
      <c r="N185" s="224">
        <f t="shared" si="138"/>
        <v>14821.107378736429</v>
      </c>
      <c r="O185" s="224">
        <f t="shared" si="138"/>
        <v>7052.8452842592378</v>
      </c>
      <c r="P185" s="224">
        <f t="shared" si="138"/>
        <v>3773.7939038467593</v>
      </c>
      <c r="Q185" s="222"/>
    </row>
    <row r="186" spans="1:17" s="266" customFormat="1" x14ac:dyDescent="0.2">
      <c r="A186" s="264"/>
      <c r="B186" s="478" t="s">
        <v>463</v>
      </c>
      <c r="C186" s="479">
        <f t="shared" ref="C186:P186" si="139">+C185+C$152*(C$84)</f>
        <v>-68212.323320083757</v>
      </c>
      <c r="D186" s="479">
        <f t="shared" si="139"/>
        <v>-52917.48319031993</v>
      </c>
      <c r="E186" s="479">
        <f t="shared" si="139"/>
        <v>-54117.496420584532</v>
      </c>
      <c r="F186" s="479">
        <f t="shared" si="139"/>
        <v>-56597.389106291608</v>
      </c>
      <c r="G186" s="479">
        <f t="shared" si="139"/>
        <v>-40518.610423582264</v>
      </c>
      <c r="H186" s="479">
        <f t="shared" si="139"/>
        <v>67542.209998157326</v>
      </c>
      <c r="I186" s="479">
        <f t="shared" si="139"/>
        <v>113696.79751335461</v>
      </c>
      <c r="J186" s="479">
        <f t="shared" si="139"/>
        <v>102636.13835468735</v>
      </c>
      <c r="K186" s="479">
        <f t="shared" si="139"/>
        <v>97197.915138367476</v>
      </c>
      <c r="L186" s="479">
        <f t="shared" si="139"/>
        <v>91016.383311422571</v>
      </c>
      <c r="M186" s="479">
        <f t="shared" si="139"/>
        <v>80315.629370817172</v>
      </c>
      <c r="N186" s="479">
        <f t="shared" si="139"/>
        <v>69214.362280071786</v>
      </c>
      <c r="O186" s="479">
        <f t="shared" si="139"/>
        <v>62513.037019804287</v>
      </c>
      <c r="P186" s="479">
        <f t="shared" si="139"/>
        <v>60321.850737418514</v>
      </c>
      <c r="Q186" s="265"/>
    </row>
    <row r="187" spans="1:17" s="18" customFormat="1" x14ac:dyDescent="0.2">
      <c r="A187" s="56"/>
      <c r="B187" s="168" t="s">
        <v>409</v>
      </c>
      <c r="C187" s="193">
        <f>SUM(C188:C190)</f>
        <v>912.03534999999988</v>
      </c>
      <c r="D187" s="193">
        <f t="shared" ref="D187:P187" si="140">SUM(D188:D190)</f>
        <v>948.51676399999997</v>
      </c>
      <c r="E187" s="193">
        <f t="shared" si="140"/>
        <v>986.45743456000002</v>
      </c>
      <c r="F187" s="193">
        <f t="shared" si="140"/>
        <v>1025.9157319424</v>
      </c>
      <c r="G187" s="414">
        <f t="shared" si="140"/>
        <v>1066.9523612200962</v>
      </c>
      <c r="H187" s="193">
        <f t="shared" si="140"/>
        <v>1109.6304556689001</v>
      </c>
      <c r="I187" s="436">
        <f t="shared" si="140"/>
        <v>1154.0156738956562</v>
      </c>
      <c r="J187" s="193">
        <f t="shared" si="140"/>
        <v>1200.1763008514824</v>
      </c>
      <c r="K187" s="193">
        <f t="shared" si="140"/>
        <v>1248.1833528855418</v>
      </c>
      <c r="L187" s="193">
        <f t="shared" si="140"/>
        <v>1298.1106870009635</v>
      </c>
      <c r="M187" s="193">
        <f t="shared" si="140"/>
        <v>1350.035114481002</v>
      </c>
      <c r="N187" s="193">
        <f t="shared" si="140"/>
        <v>1404.036519060242</v>
      </c>
      <c r="O187" s="193">
        <f t="shared" si="140"/>
        <v>1460.1979798226519</v>
      </c>
      <c r="P187" s="193">
        <f t="shared" si="140"/>
        <v>1518.605899015558</v>
      </c>
      <c r="Q187" s="17"/>
    </row>
    <row r="188" spans="1:17" x14ac:dyDescent="0.2">
      <c r="A188" s="2"/>
      <c r="B188" s="44" t="s">
        <v>157</v>
      </c>
      <c r="C188" s="194">
        <f>+C134-C189</f>
        <v>388.84623999999997</v>
      </c>
      <c r="D188" s="192">
        <f>+C188*(D$104)</f>
        <v>404.4000896</v>
      </c>
      <c r="E188" s="192">
        <f t="shared" ref="E188:P189" si="141">+D188*(E$104)</f>
        <v>420.576093184</v>
      </c>
      <c r="F188" s="192">
        <f t="shared" si="141"/>
        <v>437.39913691136002</v>
      </c>
      <c r="G188" s="192">
        <f t="shared" si="141"/>
        <v>454.89510238781446</v>
      </c>
      <c r="H188" s="192">
        <f t="shared" si="141"/>
        <v>473.09090648332705</v>
      </c>
      <c r="I188" s="192">
        <f t="shared" si="141"/>
        <v>492.01454274266013</v>
      </c>
      <c r="J188" s="192">
        <f t="shared" si="141"/>
        <v>511.69512445236654</v>
      </c>
      <c r="K188" s="192">
        <f t="shared" si="141"/>
        <v>532.16292943046119</v>
      </c>
      <c r="L188" s="192">
        <f t="shared" si="141"/>
        <v>553.44944660767965</v>
      </c>
      <c r="M188" s="192">
        <f t="shared" si="141"/>
        <v>575.58742447198688</v>
      </c>
      <c r="N188" s="192">
        <f t="shared" si="141"/>
        <v>598.61092145086639</v>
      </c>
      <c r="O188" s="192">
        <f t="shared" si="141"/>
        <v>622.55535830890108</v>
      </c>
      <c r="P188" s="192">
        <f t="shared" si="141"/>
        <v>647.45757264125712</v>
      </c>
    </row>
    <row r="189" spans="1:17" x14ac:dyDescent="0.2">
      <c r="A189" s="2"/>
      <c r="B189" s="44" t="s">
        <v>159</v>
      </c>
      <c r="C189" s="194">
        <f>+[8]ГОД!$L$33</f>
        <v>523.18910999999991</v>
      </c>
      <c r="D189" s="192">
        <f>+C189*(D$104)</f>
        <v>544.11667439999997</v>
      </c>
      <c r="E189" s="192">
        <f t="shared" si="141"/>
        <v>565.88134137600002</v>
      </c>
      <c r="F189" s="192">
        <f t="shared" si="141"/>
        <v>588.51659503104008</v>
      </c>
      <c r="G189" s="192">
        <f t="shared" si="141"/>
        <v>612.05725883228172</v>
      </c>
      <c r="H189" s="192">
        <f t="shared" si="141"/>
        <v>636.53954918557304</v>
      </c>
      <c r="I189" s="192">
        <f t="shared" si="141"/>
        <v>662.00113115299598</v>
      </c>
      <c r="J189" s="192">
        <f t="shared" si="141"/>
        <v>688.48117639911584</v>
      </c>
      <c r="K189" s="192">
        <f t="shared" si="141"/>
        <v>716.0204234550805</v>
      </c>
      <c r="L189" s="192">
        <f t="shared" si="141"/>
        <v>744.66124039328372</v>
      </c>
      <c r="M189" s="192">
        <f t="shared" si="141"/>
        <v>774.4476900090151</v>
      </c>
      <c r="N189" s="192">
        <f t="shared" si="141"/>
        <v>805.4255976093757</v>
      </c>
      <c r="O189" s="192">
        <f t="shared" si="141"/>
        <v>837.64262151375078</v>
      </c>
      <c r="P189" s="192">
        <f t="shared" si="141"/>
        <v>871.14832637430084</v>
      </c>
    </row>
    <row r="190" spans="1:17" x14ac:dyDescent="0.2">
      <c r="A190" s="2"/>
      <c r="B190" s="44" t="s">
        <v>235</v>
      </c>
      <c r="C190" s="192">
        <f>SUM(C191:C193)</f>
        <v>0</v>
      </c>
      <c r="D190" s="192">
        <f t="shared" ref="D190:P190" si="142">SUM(D191:D193)</f>
        <v>0</v>
      </c>
      <c r="E190" s="192">
        <f t="shared" si="142"/>
        <v>0</v>
      </c>
      <c r="F190" s="192">
        <f t="shared" si="142"/>
        <v>0</v>
      </c>
      <c r="G190" s="415">
        <f t="shared" si="142"/>
        <v>0</v>
      </c>
      <c r="H190" s="192">
        <f t="shared" si="142"/>
        <v>0</v>
      </c>
      <c r="I190" s="437">
        <f t="shared" si="142"/>
        <v>0</v>
      </c>
      <c r="J190" s="192">
        <f t="shared" si="142"/>
        <v>0</v>
      </c>
      <c r="K190" s="192">
        <f t="shared" si="142"/>
        <v>0</v>
      </c>
      <c r="L190" s="192">
        <f t="shared" si="142"/>
        <v>0</v>
      </c>
      <c r="M190" s="192">
        <f t="shared" si="142"/>
        <v>0</v>
      </c>
      <c r="N190" s="192">
        <f t="shared" si="142"/>
        <v>0</v>
      </c>
      <c r="O190" s="192">
        <f t="shared" si="142"/>
        <v>0</v>
      </c>
      <c r="P190" s="192">
        <f t="shared" si="142"/>
        <v>0</v>
      </c>
    </row>
    <row r="191" spans="1:17" s="35" customFormat="1" x14ac:dyDescent="0.2">
      <c r="A191" s="33"/>
      <c r="B191" s="110" t="s">
        <v>161</v>
      </c>
      <c r="C191" s="267"/>
      <c r="D191" s="267"/>
      <c r="E191" s="267"/>
      <c r="F191" s="267"/>
      <c r="G191" s="420"/>
      <c r="H191" s="267"/>
      <c r="I191" s="441"/>
      <c r="J191" s="267"/>
      <c r="K191" s="267"/>
      <c r="L191" s="267"/>
      <c r="M191" s="267"/>
      <c r="N191" s="267"/>
      <c r="O191" s="267"/>
      <c r="P191" s="267"/>
      <c r="Q191" s="32"/>
    </row>
    <row r="192" spans="1:17" s="219" customFormat="1" x14ac:dyDescent="0.2">
      <c r="A192" s="212"/>
      <c r="B192" s="110" t="s">
        <v>162</v>
      </c>
      <c r="C192" s="267"/>
      <c r="D192" s="267"/>
      <c r="E192" s="267"/>
      <c r="F192" s="267"/>
      <c r="G192" s="420"/>
      <c r="H192" s="267"/>
      <c r="I192" s="441"/>
      <c r="J192" s="267"/>
      <c r="K192" s="267"/>
      <c r="L192" s="267"/>
      <c r="M192" s="267"/>
      <c r="N192" s="267"/>
      <c r="O192" s="267"/>
      <c r="P192" s="267"/>
      <c r="Q192" s="213"/>
    </row>
    <row r="193" spans="1:17" s="35" customFormat="1" x14ac:dyDescent="0.2">
      <c r="A193" s="33"/>
      <c r="B193" s="110" t="s">
        <v>163</v>
      </c>
      <c r="C193" s="267"/>
      <c r="D193" s="267"/>
      <c r="E193" s="267"/>
      <c r="F193" s="267"/>
      <c r="G193" s="420"/>
      <c r="H193" s="267"/>
      <c r="I193" s="441"/>
      <c r="J193" s="267"/>
      <c r="K193" s="267"/>
      <c r="L193" s="267"/>
      <c r="M193" s="267"/>
      <c r="N193" s="267"/>
      <c r="O193" s="267"/>
      <c r="P193" s="267"/>
      <c r="Q193" s="32"/>
    </row>
    <row r="194" spans="1:17" s="223" customFormat="1" x14ac:dyDescent="0.2">
      <c r="A194" s="220"/>
      <c r="B194" s="221" t="s">
        <v>410</v>
      </c>
      <c r="C194" s="224">
        <f t="shared" ref="C194:P194" si="143">+C134-C187</f>
        <v>0</v>
      </c>
      <c r="D194" s="224">
        <f t="shared" si="143"/>
        <v>0</v>
      </c>
      <c r="E194" s="224">
        <f t="shared" si="143"/>
        <v>0</v>
      </c>
      <c r="F194" s="224">
        <f t="shared" si="143"/>
        <v>0</v>
      </c>
      <c r="G194" s="419">
        <f t="shared" si="143"/>
        <v>0</v>
      </c>
      <c r="H194" s="193">
        <f t="shared" si="143"/>
        <v>0</v>
      </c>
      <c r="I194" s="440">
        <f t="shared" si="143"/>
        <v>0</v>
      </c>
      <c r="J194" s="224">
        <f t="shared" si="143"/>
        <v>0</v>
      </c>
      <c r="K194" s="224">
        <f t="shared" si="143"/>
        <v>0</v>
      </c>
      <c r="L194" s="224">
        <f t="shared" si="143"/>
        <v>0</v>
      </c>
      <c r="M194" s="224">
        <f t="shared" si="143"/>
        <v>0</v>
      </c>
      <c r="N194" s="224">
        <f t="shared" si="143"/>
        <v>0</v>
      </c>
      <c r="O194" s="224">
        <f t="shared" si="143"/>
        <v>0</v>
      </c>
      <c r="P194" s="224">
        <f t="shared" si="143"/>
        <v>0</v>
      </c>
      <c r="Q194" s="222"/>
    </row>
    <row r="195" spans="1:17" s="266" customFormat="1" x14ac:dyDescent="0.2">
      <c r="A195" s="264"/>
      <c r="B195" s="221" t="s">
        <v>366</v>
      </c>
      <c r="C195" s="203">
        <f t="shared" ref="C195:P195" si="144">+C129-C136</f>
        <v>-95355.405404257588</v>
      </c>
      <c r="D195" s="203">
        <f t="shared" si="144"/>
        <v>-79765.345273857471</v>
      </c>
      <c r="E195" s="203">
        <f t="shared" si="144"/>
        <v>-70815.016758691345</v>
      </c>
      <c r="F195" s="203">
        <f t="shared" si="144"/>
        <v>-76491.217808164249</v>
      </c>
      <c r="G195" s="416">
        <f t="shared" si="144"/>
        <v>-74707.313669350289</v>
      </c>
      <c r="H195" s="474">
        <f t="shared" si="144"/>
        <v>30964.652745719883</v>
      </c>
      <c r="I195" s="438">
        <f t="shared" si="144"/>
        <v>77119.240260917111</v>
      </c>
      <c r="J195" s="203">
        <f t="shared" si="144"/>
        <v>52058.581102249853</v>
      </c>
      <c r="K195" s="203">
        <f t="shared" si="144"/>
        <v>45888.806740881293</v>
      </c>
      <c r="L195" s="203">
        <f t="shared" si="144"/>
        <v>38695.723768887634</v>
      </c>
      <c r="M195" s="203">
        <f t="shared" si="144"/>
        <v>26968.787660332513</v>
      </c>
      <c r="N195" s="203">
        <f t="shared" si="144"/>
        <v>14821.107378736488</v>
      </c>
      <c r="O195" s="203">
        <f t="shared" si="144"/>
        <v>7052.8452842592378</v>
      </c>
      <c r="P195" s="203">
        <f t="shared" si="144"/>
        <v>3773.7939038467593</v>
      </c>
      <c r="Q195" s="265"/>
    </row>
    <row r="196" spans="1:17" s="350" customFormat="1" x14ac:dyDescent="0.2">
      <c r="A196" s="348"/>
      <c r="B196" s="478" t="s">
        <v>464</v>
      </c>
      <c r="C196" s="480">
        <f>+C177+C186</f>
        <v>-86777.848151820173</v>
      </c>
      <c r="D196" s="480">
        <f t="shared" ref="D196:P196" si="145">+D177+D186</f>
        <v>-71187.788021420027</v>
      </c>
      <c r="E196" s="480">
        <f t="shared" si="145"/>
        <v>-62237.459506253872</v>
      </c>
      <c r="F196" s="480">
        <f t="shared" si="145"/>
        <v>-53913.660555726805</v>
      </c>
      <c r="G196" s="480">
        <f t="shared" si="145"/>
        <v>-38129.756416912809</v>
      </c>
      <c r="H196" s="480">
        <f t="shared" si="145"/>
        <v>67542.209998157326</v>
      </c>
      <c r="I196" s="480">
        <f t="shared" si="145"/>
        <v>113696.79751335461</v>
      </c>
      <c r="J196" s="480">
        <f t="shared" si="145"/>
        <v>102636.13835468735</v>
      </c>
      <c r="K196" s="480">
        <f t="shared" si="145"/>
        <v>97197.915138367476</v>
      </c>
      <c r="L196" s="480">
        <f t="shared" si="145"/>
        <v>91016.383311422571</v>
      </c>
      <c r="M196" s="480">
        <f t="shared" si="145"/>
        <v>80315.629370817172</v>
      </c>
      <c r="N196" s="480">
        <f t="shared" si="145"/>
        <v>69214.362280071786</v>
      </c>
      <c r="O196" s="480">
        <f t="shared" si="145"/>
        <v>62513.037019804287</v>
      </c>
      <c r="P196" s="480">
        <f t="shared" si="145"/>
        <v>60321.850737418514</v>
      </c>
      <c r="Q196" s="349"/>
    </row>
    <row r="197" spans="1:17" s="11" customFormat="1" x14ac:dyDescent="0.2">
      <c r="A197" s="7"/>
      <c r="B197" s="10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</row>
    <row r="198" spans="1:17" s="21" customFormat="1" x14ac:dyDescent="0.2">
      <c r="A198" s="19"/>
      <c r="B198" s="20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</row>
    <row r="199" spans="1:17" s="59" customFormat="1" x14ac:dyDescent="0.2">
      <c r="A199" s="58"/>
      <c r="B199" s="86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</row>
    <row r="200" spans="1:17" s="12" customFormat="1" x14ac:dyDescent="0.2">
      <c r="A200" s="19"/>
      <c r="B200" s="20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21"/>
    </row>
    <row r="201" spans="1:17" s="60" customFormat="1" x14ac:dyDescent="0.2">
      <c r="A201" s="58"/>
      <c r="B201" s="86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59"/>
    </row>
    <row r="202" spans="1:17" s="11" customFormat="1" x14ac:dyDescent="0.2">
      <c r="A202" s="7"/>
      <c r="B202" s="10"/>
      <c r="C202" s="232"/>
      <c r="D202" s="51"/>
      <c r="E202" s="232"/>
      <c r="F202" s="232"/>
      <c r="G202" s="52"/>
      <c r="H202" s="57"/>
      <c r="I202" s="232"/>
      <c r="J202" s="232"/>
      <c r="K202" s="232"/>
      <c r="L202" s="232"/>
      <c r="M202" s="232"/>
    </row>
    <row r="212" spans="1:17" x14ac:dyDescent="0.2">
      <c r="A212" s="232"/>
      <c r="B212" s="232"/>
      <c r="G212" s="232"/>
      <c r="H212" s="232"/>
      <c r="N212" s="232"/>
      <c r="O212" s="232"/>
      <c r="P212" s="232"/>
      <c r="Q212" s="232"/>
    </row>
    <row r="213" spans="1:17" x14ac:dyDescent="0.2">
      <c r="A213" s="232"/>
      <c r="B213" s="232"/>
      <c r="G213" s="232"/>
      <c r="H213" s="232"/>
      <c r="N213" s="232"/>
      <c r="O213" s="232"/>
      <c r="P213" s="232"/>
      <c r="Q213" s="232"/>
    </row>
    <row r="219" spans="1:17" x14ac:dyDescent="0.2">
      <c r="C219" s="232" t="s">
        <v>450</v>
      </c>
      <c r="D219" s="232" t="s">
        <v>451</v>
      </c>
    </row>
    <row r="220" spans="1:17" x14ac:dyDescent="0.2">
      <c r="B220" s="10" t="str">
        <f>+B176</f>
        <v>Финансовый результат по производству  э/энергии (мощности), тыс. руб.</v>
      </c>
      <c r="C220" s="369">
        <f>+H176/1000</f>
        <v>0</v>
      </c>
    </row>
    <row r="221" spans="1:17" x14ac:dyDescent="0.2">
      <c r="B221" s="10" t="str">
        <f>+B185</f>
        <v>Финансовый результат по производству  т/энергии, тыс. руб.</v>
      </c>
      <c r="C221" s="369">
        <f>+H185/1000</f>
        <v>30.964652745719881</v>
      </c>
      <c r="D221" s="369" t="e">
        <f>+C221+#REF!+#REF!+#REF!+#REF!+#REF!</f>
        <v>#REF!</v>
      </c>
    </row>
  </sheetData>
  <sheetProtection formatCells="0" formatColumns="0" formatRows="0" insertColumns="0" insertRows="0" insertHyperlinks="0" deleteColumns="0" deleteRows="0" sort="0" autoFilter="0" pivotTables="0"/>
  <printOptions horizontalCentered="1"/>
  <pageMargins left="0.35433070866141736" right="0.35433070866141736" top="0.59055118110236227" bottom="0.39370078740157483" header="0.51181102362204722" footer="0.51181102362204722"/>
  <pageSetup paperSize="9" scale="2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15</vt:i4>
      </vt:variant>
    </vt:vector>
  </HeadingPairs>
  <TitlesOfParts>
    <vt:vector size="25" baseType="lpstr">
      <vt:lpstr>Фин.модель</vt:lpstr>
      <vt:lpstr>БДДС</vt:lpstr>
      <vt:lpstr>СВОД</vt:lpstr>
      <vt:lpstr>ТЭЦ-1</vt:lpstr>
      <vt:lpstr>ТЭЦ-3</vt:lpstr>
      <vt:lpstr>ТЭЦ-4</vt:lpstr>
      <vt:lpstr>Кот.</vt:lpstr>
      <vt:lpstr>Сети</vt:lpstr>
      <vt:lpstr>ИНВЕСТ</vt:lpstr>
      <vt:lpstr>ТЭЦ-1 - котельная</vt:lpstr>
      <vt:lpstr>БДДС!Заголовки_для_печати</vt:lpstr>
      <vt:lpstr>ИНВЕСТ!Заголовки_для_печати</vt:lpstr>
      <vt:lpstr>Кот.!Заголовки_для_печати</vt:lpstr>
      <vt:lpstr>Сети!Заголовки_для_печати</vt:lpstr>
      <vt:lpstr>Фин.модель!Заголовки_для_печати</vt:lpstr>
      <vt:lpstr>БДДС!Область_печати</vt:lpstr>
      <vt:lpstr>ИНВЕСТ!Область_печати</vt:lpstr>
      <vt:lpstr>Кот.!Область_печати</vt:lpstr>
      <vt:lpstr>СВОД!Область_печати</vt:lpstr>
      <vt:lpstr>Сети!Область_печати</vt:lpstr>
      <vt:lpstr>'ТЭЦ-1'!Область_печати</vt:lpstr>
      <vt:lpstr>'ТЭЦ-1 - котельная'!Область_печати</vt:lpstr>
      <vt:lpstr>'ТЭЦ-3'!Область_печати</vt:lpstr>
      <vt:lpstr>'ТЭЦ-4'!Область_печати</vt:lpstr>
      <vt:lpstr>Фин.модель!Область_печати</vt:lpstr>
    </vt:vector>
  </TitlesOfParts>
  <Company>ДОН-Строй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kuvaeva</dc:creator>
  <cp:lastModifiedBy>Кржевицкий Анатолий Эдуардович</cp:lastModifiedBy>
  <cp:lastPrinted>2018-07-23T13:12:23Z</cp:lastPrinted>
  <dcterms:created xsi:type="dcterms:W3CDTF">2013-09-28T20:20:59Z</dcterms:created>
  <dcterms:modified xsi:type="dcterms:W3CDTF">2018-07-23T13:16:53Z</dcterms:modified>
</cp:coreProperties>
</file>