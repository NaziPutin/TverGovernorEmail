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7A2D7E96-6E34-419A-AE5F-296B3A7E7977}"/>
  <workbookPr codeName="ЭтаКнига"/>
  <bookViews>
    <workbookView xWindow="285" yWindow="120" windowWidth="13245" windowHeight="7515"/>
  </bookViews>
  <sheets>
    <sheet name="Форма 4т" sheetId="1" r:id="rId1"/>
    <sheet name="Базовые цены за единицу" sheetId="2" r:id="rId2"/>
    <sheet name="Текущие цены за единицу" sheetId="3" r:id="rId3"/>
    <sheet name="Базовые цены с учетом расхода" sheetId="4" r:id="rId4"/>
    <sheet name="Текущие цены с учетом расхода" sheetId="5" r:id="rId5"/>
    <sheet name="Начисления" sheetId="6" r:id="rId6"/>
    <sheet name="Определители" sheetId="7" r:id="rId7"/>
    <sheet name="Базовые концовки" sheetId="8" r:id="rId8"/>
    <sheet name="Текущие концовки" sheetId="9" r:id="rId9"/>
  </sheets>
  <calcPr calcId="124519"/>
</workbook>
</file>

<file path=xl/calcChain.xml><?xml version="1.0" encoding="utf-8"?>
<calcChain xmlns="http://schemas.openxmlformats.org/spreadsheetml/2006/main">
  <c r="F11" i="8"/>
  <c r="G79" i="1" s="1"/>
  <c r="G11" i="8"/>
  <c r="H11"/>
  <c r="I11"/>
  <c r="J11"/>
  <c r="K11"/>
  <c r="L11"/>
  <c r="F21"/>
  <c r="G21"/>
  <c r="H89" i="1" s="1"/>
  <c r="H21" i="8"/>
  <c r="I21"/>
  <c r="J21"/>
  <c r="K21"/>
  <c r="L21"/>
  <c r="G23"/>
  <c r="F24"/>
  <c r="F26"/>
  <c r="F27"/>
  <c r="F28"/>
  <c r="F30"/>
  <c r="F38"/>
  <c r="G38"/>
  <c r="H107" i="1" s="1"/>
  <c r="H38" i="8"/>
  <c r="I38"/>
  <c r="J38"/>
  <c r="K38"/>
  <c r="L38"/>
  <c r="F39"/>
  <c r="F40"/>
  <c r="F41"/>
  <c r="F43"/>
  <c r="G43"/>
  <c r="H43"/>
  <c r="I43"/>
  <c r="J43"/>
  <c r="K43"/>
  <c r="L43"/>
  <c r="F45"/>
  <c r="G114" i="1"/>
  <c r="G45" i="8"/>
  <c r="H45"/>
  <c r="I45"/>
  <c r="F46"/>
  <c r="G115" i="1" s="1"/>
  <c r="F47" i="8"/>
  <c r="F48"/>
  <c r="F51"/>
  <c r="G51"/>
  <c r="H51"/>
  <c r="I51"/>
  <c r="J51"/>
  <c r="K51"/>
  <c r="L51"/>
  <c r="F52"/>
  <c r="F53"/>
  <c r="F54"/>
  <c r="G123" i="1"/>
  <c r="F56" i="8"/>
  <c r="G56"/>
  <c r="H56"/>
  <c r="I56"/>
  <c r="J56"/>
  <c r="K56"/>
  <c r="L56"/>
  <c r="F57"/>
  <c r="F58"/>
  <c r="F59"/>
  <c r="F61"/>
  <c r="G61"/>
  <c r="H130" i="1"/>
  <c r="H61" i="8"/>
  <c r="I61"/>
  <c r="J61"/>
  <c r="K61"/>
  <c r="L61"/>
  <c r="F64"/>
  <c r="F65"/>
  <c r="F66"/>
  <c r="G135" i="1"/>
  <c r="F68" i="8"/>
  <c r="G68"/>
  <c r="H68"/>
  <c r="I68"/>
  <c r="J68"/>
  <c r="K68"/>
  <c r="L68"/>
  <c r="F69"/>
  <c r="F70"/>
  <c r="F71"/>
  <c r="F72"/>
  <c r="F74"/>
  <c r="G143" i="1" s="1"/>
  <c r="G74" i="8"/>
  <c r="H74"/>
  <c r="I74"/>
  <c r="J74"/>
  <c r="K74"/>
  <c r="L74"/>
  <c r="F75"/>
  <c r="F76"/>
  <c r="G145" i="1"/>
  <c r="F78" i="8"/>
  <c r="G78"/>
  <c r="H78"/>
  <c r="I78"/>
  <c r="J78"/>
  <c r="K78"/>
  <c r="L78"/>
  <c r="F79"/>
  <c r="F80"/>
  <c r="F82" s="1"/>
  <c r="G151" i="1" s="1"/>
  <c r="F81" i="8"/>
  <c r="F83"/>
  <c r="G83"/>
  <c r="H152" i="1" s="1"/>
  <c r="H83" i="8"/>
  <c r="H85"/>
  <c r="I83"/>
  <c r="I85" s="1"/>
  <c r="J83"/>
  <c r="J85"/>
  <c r="K83"/>
  <c r="K85" s="1"/>
  <c r="L83"/>
  <c r="L85"/>
  <c r="F84"/>
  <c r="F102"/>
  <c r="G102"/>
  <c r="H102"/>
  <c r="I102"/>
  <c r="J102"/>
  <c r="K102"/>
  <c r="L102"/>
  <c r="F112"/>
  <c r="G238" i="1"/>
  <c r="G112" i="8"/>
  <c r="H112"/>
  <c r="I112"/>
  <c r="J112"/>
  <c r="K112"/>
  <c r="L112"/>
  <c r="G114"/>
  <c r="F115"/>
  <c r="G241" i="1"/>
  <c r="F117" i="8"/>
  <c r="F118"/>
  <c r="F119"/>
  <c r="F134"/>
  <c r="G262" i="1"/>
  <c r="G134" i="8"/>
  <c r="H134"/>
  <c r="I134"/>
  <c r="J134"/>
  <c r="K134"/>
  <c r="L134"/>
  <c r="F136"/>
  <c r="G136"/>
  <c r="H264" i="1" s="1"/>
  <c r="H136" i="8"/>
  <c r="I136"/>
  <c r="F137"/>
  <c r="F138"/>
  <c r="F139"/>
  <c r="F142"/>
  <c r="G142"/>
  <c r="H142"/>
  <c r="I270" i="1"/>
  <c r="I142" i="8"/>
  <c r="J142"/>
  <c r="K142"/>
  <c r="L142"/>
  <c r="F143"/>
  <c r="F144"/>
  <c r="F145"/>
  <c r="F147"/>
  <c r="G275" i="1"/>
  <c r="G147" i="8"/>
  <c r="H147"/>
  <c r="I147"/>
  <c r="J147"/>
  <c r="K147"/>
  <c r="L147"/>
  <c r="F148"/>
  <c r="F149"/>
  <c r="G277" i="1"/>
  <c r="F150" i="8"/>
  <c r="F152"/>
  <c r="G152"/>
  <c r="H152"/>
  <c r="I152"/>
  <c r="J152"/>
  <c r="K152"/>
  <c r="L152"/>
  <c r="F155"/>
  <c r="F156"/>
  <c r="F157"/>
  <c r="F159"/>
  <c r="G287" i="1" s="1"/>
  <c r="G159" i="8"/>
  <c r="H159"/>
  <c r="I159"/>
  <c r="J159"/>
  <c r="K159"/>
  <c r="L159"/>
  <c r="F160"/>
  <c r="F161"/>
  <c r="F162"/>
  <c r="F163"/>
  <c r="F165"/>
  <c r="G165"/>
  <c r="H293" i="1"/>
  <c r="H165" i="8"/>
  <c r="I165"/>
  <c r="J165"/>
  <c r="K165"/>
  <c r="L165"/>
  <c r="F166"/>
  <c r="F167"/>
  <c r="F169"/>
  <c r="G297" i="1"/>
  <c r="G169" i="8"/>
  <c r="H169"/>
  <c r="I169"/>
  <c r="J169"/>
  <c r="K169"/>
  <c r="L169"/>
  <c r="F170"/>
  <c r="F171"/>
  <c r="F172"/>
  <c r="F174"/>
  <c r="G174"/>
  <c r="G176"/>
  <c r="H174"/>
  <c r="I174"/>
  <c r="I176"/>
  <c r="J174"/>
  <c r="J176"/>
  <c r="K174"/>
  <c r="L174"/>
  <c r="L176"/>
  <c r="F175"/>
  <c r="K176"/>
  <c r="F193"/>
  <c r="G193"/>
  <c r="H193"/>
  <c r="I193"/>
  <c r="J193"/>
  <c r="K193"/>
  <c r="L193"/>
  <c r="F203"/>
  <c r="G447" i="1"/>
  <c r="G203" i="8"/>
  <c r="H203"/>
  <c r="I203"/>
  <c r="J203"/>
  <c r="K203"/>
  <c r="L203"/>
  <c r="G205"/>
  <c r="F206"/>
  <c r="G450" i="1"/>
  <c r="F208" i="8"/>
  <c r="F209"/>
  <c r="F210"/>
  <c r="F225"/>
  <c r="G225"/>
  <c r="H225"/>
  <c r="I225"/>
  <c r="J225"/>
  <c r="K225"/>
  <c r="L225"/>
  <c r="F227"/>
  <c r="G227"/>
  <c r="H473" i="1"/>
  <c r="H227" i="8"/>
  <c r="I227"/>
  <c r="F228"/>
  <c r="F229"/>
  <c r="G475" i="1" s="1"/>
  <c r="F230" i="8"/>
  <c r="F233"/>
  <c r="G233"/>
  <c r="H479" i="1" s="1"/>
  <c r="H233" i="8"/>
  <c r="I233"/>
  <c r="J233"/>
  <c r="K233"/>
  <c r="L233"/>
  <c r="F234"/>
  <c r="F235"/>
  <c r="F236"/>
  <c r="G482" i="1"/>
  <c r="F238" i="8"/>
  <c r="G238"/>
  <c r="H238"/>
  <c r="I238"/>
  <c r="J238"/>
  <c r="K238"/>
  <c r="L238"/>
  <c r="F239"/>
  <c r="G485" i="1"/>
  <c r="F240" i="8"/>
  <c r="F241"/>
  <c r="F243"/>
  <c r="G243"/>
  <c r="H489" i="1"/>
  <c r="H243" i="8"/>
  <c r="I243"/>
  <c r="J243"/>
  <c r="K243"/>
  <c r="L243"/>
  <c r="F246"/>
  <c r="F247"/>
  <c r="F248"/>
  <c r="G494" i="1" s="1"/>
  <c r="F250" i="8"/>
  <c r="G250"/>
  <c r="H250"/>
  <c r="I250"/>
  <c r="J250"/>
  <c r="K250"/>
  <c r="L250"/>
  <c r="F251"/>
  <c r="F252"/>
  <c r="F253"/>
  <c r="F254"/>
  <c r="F256"/>
  <c r="G502" i="1"/>
  <c r="G256" i="8"/>
  <c r="H256"/>
  <c r="I256"/>
  <c r="J256"/>
  <c r="K256"/>
  <c r="L256"/>
  <c r="F257"/>
  <c r="F258"/>
  <c r="F260"/>
  <c r="G260"/>
  <c r="H260"/>
  <c r="I260"/>
  <c r="J260"/>
  <c r="K260"/>
  <c r="L260"/>
  <c r="F261"/>
  <c r="G507" i="1"/>
  <c r="F262" i="8"/>
  <c r="F263"/>
  <c r="F265"/>
  <c r="G265"/>
  <c r="H265"/>
  <c r="H267" s="1"/>
  <c r="I513" i="1" s="1"/>
  <c r="I265" i="8"/>
  <c r="I267"/>
  <c r="J265"/>
  <c r="J267" s="1"/>
  <c r="K265"/>
  <c r="K267"/>
  <c r="L265"/>
  <c r="L267" s="1"/>
  <c r="F266"/>
  <c r="F284"/>
  <c r="G284"/>
  <c r="H284"/>
  <c r="I284"/>
  <c r="J284"/>
  <c r="K284"/>
  <c r="L284"/>
  <c r="F294"/>
  <c r="G599" i="1"/>
  <c r="G294" i="8"/>
  <c r="H294"/>
  <c r="I294"/>
  <c r="J294"/>
  <c r="K294"/>
  <c r="L294"/>
  <c r="G296"/>
  <c r="F297"/>
  <c r="G602" i="1"/>
  <c r="F299" i="8"/>
  <c r="F300"/>
  <c r="F301"/>
  <c r="F311"/>
  <c r="G617" i="1" s="1"/>
  <c r="G311" i="8"/>
  <c r="H311"/>
  <c r="I311"/>
  <c r="J311"/>
  <c r="K311"/>
  <c r="L311"/>
  <c r="F312"/>
  <c r="F313"/>
  <c r="G619" i="1"/>
  <c r="F314" i="8"/>
  <c r="F316"/>
  <c r="G316"/>
  <c r="H316"/>
  <c r="I622" i="1"/>
  <c r="I316" i="8"/>
  <c r="J316"/>
  <c r="K316"/>
  <c r="L316"/>
  <c r="F318"/>
  <c r="G318"/>
  <c r="H318"/>
  <c r="I318"/>
  <c r="F319"/>
  <c r="F320"/>
  <c r="F321"/>
  <c r="F324"/>
  <c r="G630" i="1"/>
  <c r="G324" i="8"/>
  <c r="H324"/>
  <c r="I324"/>
  <c r="J324"/>
  <c r="K324"/>
  <c r="L324"/>
  <c r="F325"/>
  <c r="F326"/>
  <c r="G632" i="1" s="1"/>
  <c r="F327" i="8"/>
  <c r="F329"/>
  <c r="F333"/>
  <c r="G329"/>
  <c r="H329"/>
  <c r="I635" i="1"/>
  <c r="I329" i="8"/>
  <c r="J329"/>
  <c r="K329"/>
  <c r="L329"/>
  <c r="F330"/>
  <c r="F331"/>
  <c r="F332"/>
  <c r="G638" i="1"/>
  <c r="F334" i="8"/>
  <c r="G334"/>
  <c r="H334"/>
  <c r="I334"/>
  <c r="J334"/>
  <c r="K334"/>
  <c r="L334"/>
  <c r="F337"/>
  <c r="G643" i="1"/>
  <c r="F338" i="8"/>
  <c r="F339"/>
  <c r="F341"/>
  <c r="G341"/>
  <c r="H647" i="1" s="1"/>
  <c r="H341" i="8"/>
  <c r="I341"/>
  <c r="J341"/>
  <c r="K341"/>
  <c r="L341"/>
  <c r="F342"/>
  <c r="F343"/>
  <c r="F344"/>
  <c r="G650" i="1"/>
  <c r="F345" i="8"/>
  <c r="F347"/>
  <c r="G347"/>
  <c r="H347"/>
  <c r="I653" i="1"/>
  <c r="I347" i="8"/>
  <c r="J347"/>
  <c r="K347"/>
  <c r="L347"/>
  <c r="F348"/>
  <c r="F349"/>
  <c r="F351"/>
  <c r="G351"/>
  <c r="H657" i="1"/>
  <c r="H351" i="8"/>
  <c r="I351"/>
  <c r="J351"/>
  <c r="K351"/>
  <c r="L351"/>
  <c r="F352"/>
  <c r="F353"/>
  <c r="F354"/>
  <c r="F356"/>
  <c r="G356"/>
  <c r="H356"/>
  <c r="H358"/>
  <c r="I356"/>
  <c r="I358"/>
  <c r="J356"/>
  <c r="J358"/>
  <c r="K356"/>
  <c r="K358"/>
  <c r="L356"/>
  <c r="L358"/>
  <c r="F357"/>
  <c r="G358"/>
  <c r="F372"/>
  <c r="G372"/>
  <c r="H372"/>
  <c r="I372"/>
  <c r="J372"/>
  <c r="K372"/>
  <c r="L372"/>
  <c r="F382"/>
  <c r="G382"/>
  <c r="H382"/>
  <c r="I382"/>
  <c r="J382"/>
  <c r="K382"/>
  <c r="L382"/>
  <c r="G384"/>
  <c r="F385"/>
  <c r="F387"/>
  <c r="F388"/>
  <c r="F389"/>
  <c r="F404"/>
  <c r="G713" i="1"/>
  <c r="G404" i="8"/>
  <c r="H404"/>
  <c r="I404"/>
  <c r="J404"/>
  <c r="K404"/>
  <c r="L404"/>
  <c r="F406"/>
  <c r="G406"/>
  <c r="H406"/>
  <c r="I406"/>
  <c r="F407"/>
  <c r="F408"/>
  <c r="F409"/>
  <c r="F412"/>
  <c r="G412"/>
  <c r="H412"/>
  <c r="I412"/>
  <c r="J412"/>
  <c r="K412"/>
  <c r="L412"/>
  <c r="F413"/>
  <c r="F414"/>
  <c r="F415"/>
  <c r="F417"/>
  <c r="G417"/>
  <c r="H417"/>
  <c r="I417"/>
  <c r="J417"/>
  <c r="K417"/>
  <c r="L417"/>
  <c r="F418"/>
  <c r="F419"/>
  <c r="F421"/>
  <c r="F420"/>
  <c r="F422"/>
  <c r="G422"/>
  <c r="H422"/>
  <c r="I422"/>
  <c r="J422"/>
  <c r="K422"/>
  <c r="L422"/>
  <c r="F425"/>
  <c r="F426"/>
  <c r="F427"/>
  <c r="F429"/>
  <c r="G429"/>
  <c r="H429"/>
  <c r="I429"/>
  <c r="J429"/>
  <c r="K429"/>
  <c r="L429"/>
  <c r="F430"/>
  <c r="F431"/>
  <c r="F432"/>
  <c r="F433"/>
  <c r="F435"/>
  <c r="G435"/>
  <c r="H435"/>
  <c r="I435"/>
  <c r="J435"/>
  <c r="K435"/>
  <c r="L435"/>
  <c r="F436"/>
  <c r="F437"/>
  <c r="F439"/>
  <c r="G439"/>
  <c r="H439"/>
  <c r="I439"/>
  <c r="J439"/>
  <c r="K439"/>
  <c r="L439"/>
  <c r="F440"/>
  <c r="F441"/>
  <c r="F442"/>
  <c r="F444"/>
  <c r="G444"/>
  <c r="G446"/>
  <c r="H444"/>
  <c r="H446"/>
  <c r="I444"/>
  <c r="I446" s="1"/>
  <c r="J444"/>
  <c r="J446"/>
  <c r="K444"/>
  <c r="K446" s="1"/>
  <c r="L444"/>
  <c r="L446"/>
  <c r="F445"/>
  <c r="A9" i="2"/>
  <c r="B9"/>
  <c r="A10"/>
  <c r="B10"/>
  <c r="A11"/>
  <c r="B11"/>
  <c r="A15"/>
  <c r="B15"/>
  <c r="A16"/>
  <c r="B16"/>
  <c r="A17"/>
  <c r="B17"/>
  <c r="A21"/>
  <c r="B21"/>
  <c r="A22"/>
  <c r="B22"/>
  <c r="A23"/>
  <c r="B23"/>
  <c r="A24"/>
  <c r="B24"/>
  <c r="A25"/>
  <c r="B25"/>
  <c r="A26"/>
  <c r="B26"/>
  <c r="A30"/>
  <c r="B30"/>
  <c r="A31"/>
  <c r="B31"/>
  <c r="A32"/>
  <c r="B32"/>
  <c r="A9" i="4"/>
  <c r="C9"/>
  <c r="D9"/>
  <c r="E9"/>
  <c r="AA9"/>
  <c r="F9"/>
  <c r="G9"/>
  <c r="H9"/>
  <c r="L9"/>
  <c r="M9"/>
  <c r="P9"/>
  <c r="Q9"/>
  <c r="R9"/>
  <c r="S9"/>
  <c r="G35" i="1"/>
  <c r="T9" i="4"/>
  <c r="U9"/>
  <c r="V9"/>
  <c r="X9"/>
  <c r="AE9"/>
  <c r="AH9"/>
  <c r="AI9"/>
  <c r="AJ9"/>
  <c r="AK9"/>
  <c r="A10"/>
  <c r="C10"/>
  <c r="D10"/>
  <c r="I38" i="1" s="1"/>
  <c r="E10" i="4"/>
  <c r="O10" s="1"/>
  <c r="G53" i="1" s="1"/>
  <c r="F10" i="4"/>
  <c r="L10" i="8"/>
  <c r="H78" i="1" s="1"/>
  <c r="G10" i="4"/>
  <c r="H10"/>
  <c r="F34" i="8"/>
  <c r="F86" s="1"/>
  <c r="G155" i="1" s="1"/>
  <c r="L10" i="4"/>
  <c r="M10"/>
  <c r="P10"/>
  <c r="G51" i="1"/>
  <c r="Q10" i="4"/>
  <c r="R10"/>
  <c r="S10"/>
  <c r="T10"/>
  <c r="U10"/>
  <c r="V10"/>
  <c r="X10"/>
  <c r="AE10"/>
  <c r="L90" i="8" s="1"/>
  <c r="F90" s="1"/>
  <c r="G159" i="1" s="1"/>
  <c r="AH10" i="4"/>
  <c r="AI10"/>
  <c r="AJ10"/>
  <c r="AK10"/>
  <c r="A11"/>
  <c r="C11"/>
  <c r="G10" i="8"/>
  <c r="H77" i="1" s="1"/>
  <c r="D11" i="4"/>
  <c r="E11"/>
  <c r="Y11"/>
  <c r="F11"/>
  <c r="G11"/>
  <c r="H11"/>
  <c r="L11"/>
  <c r="M11"/>
  <c r="P11"/>
  <c r="G70" i="1" s="1"/>
  <c r="Q11" i="4"/>
  <c r="R11"/>
  <c r="G73" i="1"/>
  <c r="S11" i="4"/>
  <c r="T11"/>
  <c r="U11"/>
  <c r="V11"/>
  <c r="X11"/>
  <c r="AE11"/>
  <c r="AH11"/>
  <c r="AI11"/>
  <c r="AJ11"/>
  <c r="AK11"/>
  <c r="A15"/>
  <c r="C15"/>
  <c r="Y15" s="1"/>
  <c r="D15"/>
  <c r="E15"/>
  <c r="F15"/>
  <c r="H170" i="1" s="1"/>
  <c r="G15" i="4"/>
  <c r="H15"/>
  <c r="L15"/>
  <c r="M15"/>
  <c r="P15"/>
  <c r="G181" i="1"/>
  <c r="Q15" i="4"/>
  <c r="R15"/>
  <c r="S15"/>
  <c r="G185" i="1"/>
  <c r="T15" i="4"/>
  <c r="U15"/>
  <c r="V15"/>
  <c r="X15"/>
  <c r="L180" i="8" s="1"/>
  <c r="AE15" i="4"/>
  <c r="AH15"/>
  <c r="AI15"/>
  <c r="AJ15"/>
  <c r="AK15"/>
  <c r="A16"/>
  <c r="C16"/>
  <c r="Y16"/>
  <c r="D16"/>
  <c r="E16"/>
  <c r="F16"/>
  <c r="G16"/>
  <c r="H16"/>
  <c r="L16"/>
  <c r="M16"/>
  <c r="P16"/>
  <c r="G201" i="1" s="1"/>
  <c r="Q16" i="4"/>
  <c r="G202" i="1" s="1"/>
  <c r="R16" i="4"/>
  <c r="S16"/>
  <c r="T16"/>
  <c r="U16"/>
  <c r="V16"/>
  <c r="X16"/>
  <c r="AE16"/>
  <c r="AH16"/>
  <c r="AI16"/>
  <c r="AJ16"/>
  <c r="AK16"/>
  <c r="A17"/>
  <c r="C17"/>
  <c r="D17"/>
  <c r="E17"/>
  <c r="Z17"/>
  <c r="F17"/>
  <c r="G17"/>
  <c r="H17"/>
  <c r="L17"/>
  <c r="M17"/>
  <c r="P17"/>
  <c r="Q17"/>
  <c r="G221" i="1"/>
  <c r="R17" i="4"/>
  <c r="S17"/>
  <c r="T17"/>
  <c r="U17"/>
  <c r="V17"/>
  <c r="X17"/>
  <c r="AE17"/>
  <c r="AH17"/>
  <c r="AI17"/>
  <c r="AJ17"/>
  <c r="AK17"/>
  <c r="A21"/>
  <c r="C21"/>
  <c r="D21"/>
  <c r="E21"/>
  <c r="F21"/>
  <c r="G21"/>
  <c r="H21"/>
  <c r="L21"/>
  <c r="M21"/>
  <c r="P21"/>
  <c r="G331" i="1"/>
  <c r="Q21" i="4"/>
  <c r="G332" i="1" s="1"/>
  <c r="R21" i="4"/>
  <c r="S21"/>
  <c r="G335" i="1"/>
  <c r="T21" i="4"/>
  <c r="U21"/>
  <c r="V21"/>
  <c r="X21"/>
  <c r="AE21"/>
  <c r="L272" i="8" s="1"/>
  <c r="AH21" i="4"/>
  <c r="AI21"/>
  <c r="AJ21"/>
  <c r="AK21"/>
  <c r="A22"/>
  <c r="C22"/>
  <c r="D22"/>
  <c r="H220" i="8"/>
  <c r="I465" i="1" s="1"/>
  <c r="E22" i="4"/>
  <c r="I220" i="8"/>
  <c r="F22" i="4"/>
  <c r="G22"/>
  <c r="H22"/>
  <c r="F221" i="8"/>
  <c r="G467" i="1"/>
  <c r="L22" i="4"/>
  <c r="M22"/>
  <c r="P22"/>
  <c r="Q22"/>
  <c r="R22"/>
  <c r="S22"/>
  <c r="G355" i="1"/>
  <c r="T22" i="4"/>
  <c r="U22"/>
  <c r="V22"/>
  <c r="X22"/>
  <c r="AE22"/>
  <c r="AH22"/>
  <c r="AI22"/>
  <c r="AJ22"/>
  <c r="AK22"/>
  <c r="A23"/>
  <c r="C23"/>
  <c r="AA23" s="1"/>
  <c r="D23"/>
  <c r="E23"/>
  <c r="I359" i="1" s="1"/>
  <c r="F23" i="4"/>
  <c r="H359" i="1"/>
  <c r="G23" i="4"/>
  <c r="H23"/>
  <c r="L23"/>
  <c r="M23"/>
  <c r="P23"/>
  <c r="Q23"/>
  <c r="R23"/>
  <c r="S23"/>
  <c r="G374" i="1" s="1"/>
  <c r="T23" i="4"/>
  <c r="U23"/>
  <c r="V23"/>
  <c r="X23"/>
  <c r="AE23"/>
  <c r="AH23"/>
  <c r="AI23"/>
  <c r="AJ23"/>
  <c r="AK23"/>
  <c r="A24"/>
  <c r="C24"/>
  <c r="H376" i="1" s="1"/>
  <c r="D24" i="4"/>
  <c r="I376" i="1"/>
  <c r="E24" i="4"/>
  <c r="F24"/>
  <c r="G24"/>
  <c r="H24"/>
  <c r="L24"/>
  <c r="M24"/>
  <c r="P24"/>
  <c r="G388" i="1"/>
  <c r="Q24" i="4"/>
  <c r="R24"/>
  <c r="S24"/>
  <c r="G392" i="1"/>
  <c r="T24" i="4"/>
  <c r="U24"/>
  <c r="V24"/>
  <c r="X24"/>
  <c r="F271" i="8" s="1"/>
  <c r="AE24" i="4"/>
  <c r="AH24"/>
  <c r="AI24"/>
  <c r="AJ24"/>
  <c r="AK24"/>
  <c r="A25"/>
  <c r="C25"/>
  <c r="D25"/>
  <c r="I395" i="1" s="1"/>
  <c r="E25" i="4"/>
  <c r="F25"/>
  <c r="G25"/>
  <c r="H25"/>
  <c r="L25"/>
  <c r="M25"/>
  <c r="P25"/>
  <c r="Q25"/>
  <c r="G409" i="1"/>
  <c r="R25" i="4"/>
  <c r="S25"/>
  <c r="T25"/>
  <c r="U25"/>
  <c r="V25"/>
  <c r="X25"/>
  <c r="AE25"/>
  <c r="AH25"/>
  <c r="AI25"/>
  <c r="AJ25"/>
  <c r="AK25"/>
  <c r="A26"/>
  <c r="C26"/>
  <c r="D26"/>
  <c r="E26"/>
  <c r="F26"/>
  <c r="H416" i="1" s="1"/>
  <c r="G26" i="4"/>
  <c r="H26"/>
  <c r="L26"/>
  <c r="M26"/>
  <c r="P26"/>
  <c r="Q26"/>
  <c r="G429" i="1" s="1"/>
  <c r="R26" i="4"/>
  <c r="G431" i="1" s="1"/>
  <c r="S26" i="4"/>
  <c r="G432" i="1"/>
  <c r="T26" i="4"/>
  <c r="U26"/>
  <c r="V26"/>
  <c r="X26"/>
  <c r="AE26"/>
  <c r="AH26"/>
  <c r="AI26"/>
  <c r="AJ26"/>
  <c r="AK26"/>
  <c r="A30"/>
  <c r="C30"/>
  <c r="D30"/>
  <c r="E30"/>
  <c r="F30"/>
  <c r="G30"/>
  <c r="H30"/>
  <c r="L30"/>
  <c r="M30"/>
  <c r="P30"/>
  <c r="G540" i="1" s="1"/>
  <c r="Q30" i="4"/>
  <c r="R30"/>
  <c r="G543" i="1"/>
  <c r="S30" i="4"/>
  <c r="T30"/>
  <c r="U30"/>
  <c r="V30"/>
  <c r="X30"/>
  <c r="AE30"/>
  <c r="L363" i="8"/>
  <c r="F363"/>
  <c r="G669" i="1" s="1"/>
  <c r="AH30" i="4"/>
  <c r="AI30"/>
  <c r="AJ30"/>
  <c r="AK30"/>
  <c r="A31"/>
  <c r="C31"/>
  <c r="AA31"/>
  <c r="D31"/>
  <c r="E31"/>
  <c r="F31"/>
  <c r="G31"/>
  <c r="H31"/>
  <c r="L31"/>
  <c r="M31"/>
  <c r="P31"/>
  <c r="Q31"/>
  <c r="G561" i="1" s="1"/>
  <c r="R31" i="4"/>
  <c r="G563" i="1"/>
  <c r="S31" i="4"/>
  <c r="T31"/>
  <c r="U31"/>
  <c r="V31"/>
  <c r="X31"/>
  <c r="AE31"/>
  <c r="AH31"/>
  <c r="AI31"/>
  <c r="AJ31"/>
  <c r="AK31"/>
  <c r="A32"/>
  <c r="C32"/>
  <c r="D32"/>
  <c r="E32"/>
  <c r="F32"/>
  <c r="G32"/>
  <c r="H32"/>
  <c r="L32"/>
  <c r="M32"/>
  <c r="P32"/>
  <c r="Q32"/>
  <c r="R32"/>
  <c r="S32"/>
  <c r="T32"/>
  <c r="U32"/>
  <c r="V32"/>
  <c r="X32"/>
  <c r="L362" i="8" s="1"/>
  <c r="AE32" i="4"/>
  <c r="AH32"/>
  <c r="AI32"/>
  <c r="AJ32"/>
  <c r="AK32"/>
  <c r="A9" i="6"/>
  <c r="A10"/>
  <c r="A11"/>
  <c r="A15"/>
  <c r="A16"/>
  <c r="A17"/>
  <c r="A21"/>
  <c r="A22"/>
  <c r="A23"/>
  <c r="A24"/>
  <c r="A25"/>
  <c r="A26"/>
  <c r="A30"/>
  <c r="A31"/>
  <c r="A32"/>
  <c r="A9" i="7"/>
  <c r="A10"/>
  <c r="A11"/>
  <c r="A15"/>
  <c r="A16"/>
  <c r="A17"/>
  <c r="A21"/>
  <c r="A22"/>
  <c r="A23"/>
  <c r="A24"/>
  <c r="A25"/>
  <c r="A26"/>
  <c r="A30"/>
  <c r="A31"/>
  <c r="A32"/>
  <c r="F11" i="9"/>
  <c r="L79" i="1" s="1"/>
  <c r="G11" i="9"/>
  <c r="H11"/>
  <c r="N79" i="1" s="1"/>
  <c r="I11" i="9"/>
  <c r="J11"/>
  <c r="W79" i="1"/>
  <c r="K11" i="9"/>
  <c r="X79" i="1" s="1"/>
  <c r="L11" i="9"/>
  <c r="F21"/>
  <c r="G21"/>
  <c r="H21"/>
  <c r="I21"/>
  <c r="J21"/>
  <c r="K21"/>
  <c r="X89" i="1"/>
  <c r="L21" i="9"/>
  <c r="G23"/>
  <c r="F24"/>
  <c r="F26"/>
  <c r="L94" i="1" s="1"/>
  <c r="F27" i="9"/>
  <c r="F28"/>
  <c r="F38"/>
  <c r="L107" i="1" s="1"/>
  <c r="G38" i="9"/>
  <c r="T107" i="1" s="1"/>
  <c r="H38" i="9"/>
  <c r="I38"/>
  <c r="J38"/>
  <c r="K38"/>
  <c r="X107" i="1"/>
  <c r="L38" i="9"/>
  <c r="Y107" i="1" s="1"/>
  <c r="F39" i="9"/>
  <c r="F40"/>
  <c r="F41"/>
  <c r="L110" i="1"/>
  <c r="F43" i="9"/>
  <c r="G43"/>
  <c r="H43"/>
  <c r="I43"/>
  <c r="V112" i="1" s="1"/>
  <c r="J43" i="9"/>
  <c r="K43"/>
  <c r="L43"/>
  <c r="Y112" i="1" s="1"/>
  <c r="F45" i="9"/>
  <c r="L114" i="1" s="1"/>
  <c r="G45" i="9"/>
  <c r="H45"/>
  <c r="U114" i="1" s="1"/>
  <c r="I45" i="9"/>
  <c r="F46"/>
  <c r="L115" i="1"/>
  <c r="F47" i="9"/>
  <c r="F48"/>
  <c r="F51"/>
  <c r="G51"/>
  <c r="H51"/>
  <c r="I51"/>
  <c r="J51"/>
  <c r="K51"/>
  <c r="X120" i="1"/>
  <c r="L51" i="9"/>
  <c r="F52"/>
  <c r="F53"/>
  <c r="F54"/>
  <c r="L123" i="1" s="1"/>
  <c r="F56" i="9"/>
  <c r="F60" s="1"/>
  <c r="L129" i="1" s="1"/>
  <c r="G56" i="9"/>
  <c r="M125" i="1" s="1"/>
  <c r="H56" i="9"/>
  <c r="I56"/>
  <c r="V125" i="1"/>
  <c r="J56" i="9"/>
  <c r="W125" i="1" s="1"/>
  <c r="K56" i="9"/>
  <c r="L56"/>
  <c r="F57"/>
  <c r="L126" i="1"/>
  <c r="F58" i="9"/>
  <c r="F59"/>
  <c r="F61"/>
  <c r="L130" i="1"/>
  <c r="G61" i="9"/>
  <c r="H61"/>
  <c r="I61"/>
  <c r="J61"/>
  <c r="W130" i="1" s="1"/>
  <c r="K61" i="9"/>
  <c r="L61"/>
  <c r="F64"/>
  <c r="L133" i="1" s="1"/>
  <c r="F65" i="9"/>
  <c r="F66"/>
  <c r="F68"/>
  <c r="G68"/>
  <c r="T137" i="1" s="1"/>
  <c r="H68" i="9"/>
  <c r="I68"/>
  <c r="J68"/>
  <c r="K68"/>
  <c r="X137" i="1" s="1"/>
  <c r="L68" i="9"/>
  <c r="Y137" i="1" s="1"/>
  <c r="F69" i="9"/>
  <c r="F70"/>
  <c r="L139" i="1" s="1"/>
  <c r="F71" i="9"/>
  <c r="F72"/>
  <c r="F74"/>
  <c r="G74"/>
  <c r="M143" i="1" s="1"/>
  <c r="H74" i="9"/>
  <c r="I74"/>
  <c r="V143" i="1"/>
  <c r="J74" i="9"/>
  <c r="W143" i="1" s="1"/>
  <c r="K74" i="9"/>
  <c r="L74"/>
  <c r="F75"/>
  <c r="L144" i="1"/>
  <c r="F76" i="9"/>
  <c r="F78"/>
  <c r="G78"/>
  <c r="H78"/>
  <c r="N147" i="1" s="1"/>
  <c r="I78" i="9"/>
  <c r="J78"/>
  <c r="K78"/>
  <c r="L78"/>
  <c r="Y147" i="1" s="1"/>
  <c r="F79" i="9"/>
  <c r="F80"/>
  <c r="F82" s="1"/>
  <c r="L151" i="1" s="1"/>
  <c r="F81" i="9"/>
  <c r="L150" i="1" s="1"/>
  <c r="F83" i="9"/>
  <c r="G83"/>
  <c r="H83"/>
  <c r="H85"/>
  <c r="U154" i="1"/>
  <c r="I83" i="9"/>
  <c r="J83"/>
  <c r="J85"/>
  <c r="W154" i="1"/>
  <c r="K83" i="9"/>
  <c r="K85" s="1"/>
  <c r="X154" i="1" s="1"/>
  <c r="L83" i="9"/>
  <c r="L85" s="1"/>
  <c r="Y154" i="1" s="1"/>
  <c r="F84" i="9"/>
  <c r="L153" i="1"/>
  <c r="F102" i="9"/>
  <c r="L228" i="1" s="1"/>
  <c r="G102" i="9"/>
  <c r="H102"/>
  <c r="N228" i="1" s="1"/>
  <c r="I102" i="9"/>
  <c r="J102"/>
  <c r="K102"/>
  <c r="X228" i="1" s="1"/>
  <c r="L102" i="9"/>
  <c r="F112"/>
  <c r="G112"/>
  <c r="H112"/>
  <c r="U238" i="1" s="1"/>
  <c r="I112" i="9"/>
  <c r="J112"/>
  <c r="W238" i="1"/>
  <c r="K112" i="9"/>
  <c r="L112"/>
  <c r="G114"/>
  <c r="F115"/>
  <c r="F117"/>
  <c r="L243" i="1" s="1"/>
  <c r="F118" i="9"/>
  <c r="F119"/>
  <c r="L245" i="1" s="1"/>
  <c r="F134" i="9"/>
  <c r="G134"/>
  <c r="H134"/>
  <c r="N262" i="1"/>
  <c r="I134" i="9"/>
  <c r="J134"/>
  <c r="K134"/>
  <c r="L134"/>
  <c r="F136"/>
  <c r="G136"/>
  <c r="T264" i="1"/>
  <c r="H136" i="9"/>
  <c r="N264" i="1" s="1"/>
  <c r="I136" i="9"/>
  <c r="V264" i="1" s="1"/>
  <c r="F137" i="9"/>
  <c r="F138"/>
  <c r="F139"/>
  <c r="F142"/>
  <c r="L270" i="1"/>
  <c r="G142" i="9"/>
  <c r="T270" i="1" s="1"/>
  <c r="H142" i="9"/>
  <c r="U270" i="1" s="1"/>
  <c r="I142" i="9"/>
  <c r="J142"/>
  <c r="K142"/>
  <c r="L142"/>
  <c r="Y270" i="1"/>
  <c r="F143" i="9"/>
  <c r="F144"/>
  <c r="L272" i="1" s="1"/>
  <c r="F145" i="9"/>
  <c r="F147"/>
  <c r="F151" s="1"/>
  <c r="L279" i="1" s="1"/>
  <c r="G147" i="9"/>
  <c r="H147"/>
  <c r="I147"/>
  <c r="J147"/>
  <c r="W275" i="1" s="1"/>
  <c r="K147" i="9"/>
  <c r="L147"/>
  <c r="Y275" i="1"/>
  <c r="F148" i="9"/>
  <c r="L276" i="1" s="1"/>
  <c r="F149" i="9"/>
  <c r="L277" i="1" s="1"/>
  <c r="F150" i="9"/>
  <c r="F152"/>
  <c r="G152"/>
  <c r="T280" i="1"/>
  <c r="H152" i="9"/>
  <c r="U280" i="1" s="1"/>
  <c r="I152" i="9"/>
  <c r="J152"/>
  <c r="W280" i="1"/>
  <c r="K152" i="9"/>
  <c r="X280" i="1" s="1"/>
  <c r="L152" i="9"/>
  <c r="F155"/>
  <c r="F156"/>
  <c r="F157"/>
  <c r="L285" i="1" s="1"/>
  <c r="F159" i="9"/>
  <c r="G159"/>
  <c r="H159"/>
  <c r="I159"/>
  <c r="V287" i="1"/>
  <c r="J159" i="9"/>
  <c r="K159"/>
  <c r="L159"/>
  <c r="F160"/>
  <c r="F161"/>
  <c r="L289" i="1" s="1"/>
  <c r="F162" i="9"/>
  <c r="F163"/>
  <c r="L291" i="1"/>
  <c r="F165" i="9"/>
  <c r="G165"/>
  <c r="H165"/>
  <c r="I165"/>
  <c r="V293" i="1"/>
  <c r="J165" i="9"/>
  <c r="W293" i="1" s="1"/>
  <c r="K165" i="9"/>
  <c r="L165"/>
  <c r="Y293" i="1" s="1"/>
  <c r="F166" i="9"/>
  <c r="L294" i="1" s="1"/>
  <c r="F167" i="9"/>
  <c r="F169"/>
  <c r="G169"/>
  <c r="H169"/>
  <c r="I169"/>
  <c r="V297" i="1"/>
  <c r="J169" i="9"/>
  <c r="K169"/>
  <c r="L169"/>
  <c r="F170"/>
  <c r="L298" i="1" s="1"/>
  <c r="F171" i="9"/>
  <c r="F172"/>
  <c r="F174"/>
  <c r="L302" i="1" s="1"/>
  <c r="G174" i="9"/>
  <c r="G176"/>
  <c r="H174"/>
  <c r="U302" i="1" s="1"/>
  <c r="I174" i="9"/>
  <c r="I176" s="1"/>
  <c r="V304" i="1" s="1"/>
  <c r="J174" i="9"/>
  <c r="K174"/>
  <c r="K176"/>
  <c r="X304" i="1" s="1"/>
  <c r="L174" i="9"/>
  <c r="L176"/>
  <c r="Y304" i="1"/>
  <c r="F175" i="9"/>
  <c r="L303" i="1" s="1"/>
  <c r="F193" i="9"/>
  <c r="L437" i="1" s="1"/>
  <c r="G193" i="9"/>
  <c r="M437" i="1" s="1"/>
  <c r="H193" i="9"/>
  <c r="N437" i="1"/>
  <c r="I193" i="9"/>
  <c r="J193"/>
  <c r="K193"/>
  <c r="L193"/>
  <c r="F203"/>
  <c r="G203"/>
  <c r="H203"/>
  <c r="U447" i="1"/>
  <c r="I203" i="9"/>
  <c r="V447" i="1" s="1"/>
  <c r="J203" i="9"/>
  <c r="K203"/>
  <c r="L203"/>
  <c r="Y447" i="1" s="1"/>
  <c r="G205" i="9"/>
  <c r="F206"/>
  <c r="L450" i="1" s="1"/>
  <c r="F208" i="9"/>
  <c r="F209"/>
  <c r="F210"/>
  <c r="F225"/>
  <c r="G225"/>
  <c r="H225"/>
  <c r="I225"/>
  <c r="V471" i="1"/>
  <c r="J225" i="9"/>
  <c r="K225"/>
  <c r="L225"/>
  <c r="F227"/>
  <c r="L473" i="1" s="1"/>
  <c r="G227" i="9"/>
  <c r="H227"/>
  <c r="I227"/>
  <c r="F228"/>
  <c r="L474" i="1" s="1"/>
  <c r="F229" i="9"/>
  <c r="F230"/>
  <c r="L476" i="1" s="1"/>
  <c r="F233" i="9"/>
  <c r="G233"/>
  <c r="H233"/>
  <c r="N479" i="1" s="1"/>
  <c r="I233" i="9"/>
  <c r="J233"/>
  <c r="K233"/>
  <c r="X479" i="1"/>
  <c r="L233" i="9"/>
  <c r="F234"/>
  <c r="F235"/>
  <c r="F236"/>
  <c r="F238"/>
  <c r="G238"/>
  <c r="M484" i="1"/>
  <c r="H238" i="9"/>
  <c r="I238"/>
  <c r="V484" i="1"/>
  <c r="J238" i="9"/>
  <c r="K238"/>
  <c r="L238"/>
  <c r="F239"/>
  <c r="F240"/>
  <c r="F241"/>
  <c r="F243"/>
  <c r="G243"/>
  <c r="M489" i="1"/>
  <c r="H243" i="9"/>
  <c r="I243"/>
  <c r="J243"/>
  <c r="K243"/>
  <c r="L243"/>
  <c r="F246"/>
  <c r="F247"/>
  <c r="F248"/>
  <c r="F250"/>
  <c r="G250"/>
  <c r="T496" i="1"/>
  <c r="H250" i="9"/>
  <c r="I250"/>
  <c r="J250"/>
  <c r="K250"/>
  <c r="X496" i="1"/>
  <c r="L250" i="9"/>
  <c r="F251"/>
  <c r="F252"/>
  <c r="F253"/>
  <c r="F254"/>
  <c r="F256"/>
  <c r="L502" i="1"/>
  <c r="G256" i="9"/>
  <c r="H256"/>
  <c r="I256"/>
  <c r="J256"/>
  <c r="W502" i="1" s="1"/>
  <c r="K256" i="9"/>
  <c r="L256"/>
  <c r="F257"/>
  <c r="F258"/>
  <c r="F260"/>
  <c r="G260"/>
  <c r="T506" i="1"/>
  <c r="H260" i="9"/>
  <c r="I260"/>
  <c r="J260"/>
  <c r="K260"/>
  <c r="X506" i="1" s="1"/>
  <c r="L260" i="9"/>
  <c r="F261"/>
  <c r="L507" i="1"/>
  <c r="F262" i="9"/>
  <c r="F263"/>
  <c r="L509" i="1"/>
  <c r="F265" i="9"/>
  <c r="G265"/>
  <c r="H265"/>
  <c r="I265"/>
  <c r="I267"/>
  <c r="J265"/>
  <c r="K265"/>
  <c r="K267"/>
  <c r="L265"/>
  <c r="L267" s="1"/>
  <c r="Y513" i="1" s="1"/>
  <c r="F266" i="9"/>
  <c r="L512" i="1"/>
  <c r="F284" i="9"/>
  <c r="G284"/>
  <c r="T589" i="1"/>
  <c r="H284" i="9"/>
  <c r="N589" i="1" s="1"/>
  <c r="I284" i="9"/>
  <c r="J284"/>
  <c r="K284"/>
  <c r="X589" i="1"/>
  <c r="L284" i="9"/>
  <c r="F294"/>
  <c r="G294"/>
  <c r="H294"/>
  <c r="N599" i="1"/>
  <c r="I294" i="9"/>
  <c r="V599" i="1" s="1"/>
  <c r="J294" i="9"/>
  <c r="K294"/>
  <c r="L294"/>
  <c r="G296"/>
  <c r="F297"/>
  <c r="F299"/>
  <c r="F300"/>
  <c r="F301"/>
  <c r="F311"/>
  <c r="G311"/>
  <c r="H311"/>
  <c r="I311"/>
  <c r="J311"/>
  <c r="W617" i="1" s="1"/>
  <c r="K311" i="9"/>
  <c r="X617" i="1" s="1"/>
  <c r="L311" i="9"/>
  <c r="F312"/>
  <c r="L618" i="1" s="1"/>
  <c r="F313" i="9"/>
  <c r="F314"/>
  <c r="L620" i="1"/>
  <c r="F316" i="9"/>
  <c r="G316"/>
  <c r="H316"/>
  <c r="I316"/>
  <c r="V622" i="1"/>
  <c r="J316" i="9"/>
  <c r="W622" i="1" s="1"/>
  <c r="K316" i="9"/>
  <c r="L316"/>
  <c r="F318"/>
  <c r="L624" i="1" s="1"/>
  <c r="G318" i="9"/>
  <c r="M624" i="1"/>
  <c r="H318" i="9"/>
  <c r="I318"/>
  <c r="F319"/>
  <c r="L625" i="1"/>
  <c r="F320" i="9"/>
  <c r="L626" i="1" s="1"/>
  <c r="F321" i="9"/>
  <c r="F324"/>
  <c r="G324"/>
  <c r="T630" i="1" s="1"/>
  <c r="H324" i="9"/>
  <c r="U630" i="1"/>
  <c r="I324" i="9"/>
  <c r="J324"/>
  <c r="K324"/>
  <c r="X630" i="1"/>
  <c r="L324" i="9"/>
  <c r="Y630" i="1" s="1"/>
  <c r="F325" i="9"/>
  <c r="F326"/>
  <c r="L632" i="1" s="1"/>
  <c r="F327" i="9"/>
  <c r="F329"/>
  <c r="G329"/>
  <c r="H329"/>
  <c r="N635" i="1" s="1"/>
  <c r="I329" i="9"/>
  <c r="V635" i="1" s="1"/>
  <c r="J329" i="9"/>
  <c r="K329"/>
  <c r="X635" i="1" s="1"/>
  <c r="L329" i="9"/>
  <c r="F330"/>
  <c r="L636" i="1"/>
  <c r="F331" i="9"/>
  <c r="F332"/>
  <c r="F334"/>
  <c r="G334"/>
  <c r="H334"/>
  <c r="I334"/>
  <c r="J334"/>
  <c r="K334"/>
  <c r="X640" i="1" s="1"/>
  <c r="L334" i="9"/>
  <c r="F337"/>
  <c r="F338"/>
  <c r="F339"/>
  <c r="L645" i="1" s="1"/>
  <c r="F341" i="9"/>
  <c r="G341"/>
  <c r="H341"/>
  <c r="N647" i="1" s="1"/>
  <c r="I341" i="9"/>
  <c r="V647" i="1"/>
  <c r="J341" i="9"/>
  <c r="K341"/>
  <c r="L341"/>
  <c r="Y647" i="1"/>
  <c r="F342" i="9"/>
  <c r="F343"/>
  <c r="F344"/>
  <c r="F345"/>
  <c r="L651" i="1" s="1"/>
  <c r="F347" i="9"/>
  <c r="G347"/>
  <c r="H347"/>
  <c r="I347"/>
  <c r="J347"/>
  <c r="K347"/>
  <c r="X653" i="1" s="1"/>
  <c r="L347" i="9"/>
  <c r="Y653" i="1" s="1"/>
  <c r="F348" i="9"/>
  <c r="F349"/>
  <c r="L655" i="1" s="1"/>
  <c r="F351" i="9"/>
  <c r="G351"/>
  <c r="M657" i="1"/>
  <c r="H351" i="9"/>
  <c r="N657" i="1" s="1"/>
  <c r="I351" i="9"/>
  <c r="J351"/>
  <c r="K351"/>
  <c r="L351"/>
  <c r="F352"/>
  <c r="F353"/>
  <c r="F354"/>
  <c r="F356"/>
  <c r="L662" i="1" s="1"/>
  <c r="G356" i="9"/>
  <c r="G358" s="1"/>
  <c r="T664" i="1" s="1"/>
  <c r="H356" i="9"/>
  <c r="H358"/>
  <c r="U664" i="1" s="1"/>
  <c r="I356" i="9"/>
  <c r="I358" s="1"/>
  <c r="V664" i="1" s="1"/>
  <c r="J356" i="9"/>
  <c r="J358" s="1"/>
  <c r="W664" i="1" s="1"/>
  <c r="K356" i="9"/>
  <c r="K358"/>
  <c r="L356"/>
  <c r="L358" s="1"/>
  <c r="F357"/>
  <c r="L663" i="1"/>
  <c r="F372" i="9"/>
  <c r="G372"/>
  <c r="H372"/>
  <c r="I372"/>
  <c r="V679" i="1" s="1"/>
  <c r="J372" i="9"/>
  <c r="K372"/>
  <c r="X679" i="1"/>
  <c r="L372" i="9"/>
  <c r="F382"/>
  <c r="G382"/>
  <c r="H382"/>
  <c r="I382"/>
  <c r="J382"/>
  <c r="K382"/>
  <c r="L382"/>
  <c r="Y689" i="1"/>
  <c r="G384" i="9"/>
  <c r="F385"/>
  <c r="F387"/>
  <c r="F388"/>
  <c r="F389"/>
  <c r="F404"/>
  <c r="G404"/>
  <c r="T713" i="1" s="1"/>
  <c r="H404" i="9"/>
  <c r="N713" i="1" s="1"/>
  <c r="I404" i="9"/>
  <c r="J404"/>
  <c r="K404"/>
  <c r="L404"/>
  <c r="F406"/>
  <c r="G406"/>
  <c r="T715" i="1" s="1"/>
  <c r="H406" i="9"/>
  <c r="I406"/>
  <c r="V715" i="1"/>
  <c r="F407" i="9"/>
  <c r="L716" i="1" s="1"/>
  <c r="F408" i="9"/>
  <c r="F411" s="1"/>
  <c r="L720" i="1" s="1"/>
  <c r="F409" i="9"/>
  <c r="F412"/>
  <c r="L721" i="1" s="1"/>
  <c r="G412" i="9"/>
  <c r="H412"/>
  <c r="I412"/>
  <c r="V721" i="1" s="1"/>
  <c r="J412" i="9"/>
  <c r="K412"/>
  <c r="L412"/>
  <c r="F413"/>
  <c r="F414"/>
  <c r="F415"/>
  <c r="F417"/>
  <c r="G417"/>
  <c r="M726" i="1" s="1"/>
  <c r="H417" i="9"/>
  <c r="U726" i="1" s="1"/>
  <c r="I417" i="9"/>
  <c r="J417"/>
  <c r="W726" i="1" s="1"/>
  <c r="K417" i="9"/>
  <c r="L417"/>
  <c r="Y726" i="1"/>
  <c r="F418" i="9"/>
  <c r="L727" i="1" s="1"/>
  <c r="F419" i="9"/>
  <c r="F420"/>
  <c r="F422"/>
  <c r="G422"/>
  <c r="T731" i="1" s="1"/>
  <c r="H422" i="9"/>
  <c r="I422"/>
  <c r="J422"/>
  <c r="K422"/>
  <c r="X731" i="1" s="1"/>
  <c r="L422" i="9"/>
  <c r="F425"/>
  <c r="L734" i="1"/>
  <c r="F426" i="9"/>
  <c r="L735" i="1" s="1"/>
  <c r="F427" i="9"/>
  <c r="F429"/>
  <c r="G429"/>
  <c r="T738" i="1"/>
  <c r="H429" i="9"/>
  <c r="I429"/>
  <c r="J429"/>
  <c r="W738" i="1"/>
  <c r="K429" i="9"/>
  <c r="X738" i="1" s="1"/>
  <c r="L429" i="9"/>
  <c r="F430"/>
  <c r="F431"/>
  <c r="F432"/>
  <c r="L741" i="1"/>
  <c r="F433" i="9"/>
  <c r="F434" s="1"/>
  <c r="L743" i="1" s="1"/>
  <c r="F435" i="9"/>
  <c r="G435"/>
  <c r="T744" i="1"/>
  <c r="H435" i="9"/>
  <c r="N744" i="1" s="1"/>
  <c r="I435" i="9"/>
  <c r="J435"/>
  <c r="K435"/>
  <c r="X744" i="1"/>
  <c r="L435" i="9"/>
  <c r="F436"/>
  <c r="L745" i="1"/>
  <c r="F437" i="9"/>
  <c r="F439"/>
  <c r="G439"/>
  <c r="H439"/>
  <c r="I439"/>
  <c r="V748" i="1" s="1"/>
  <c r="J439" i="9"/>
  <c r="K439"/>
  <c r="L439"/>
  <c r="F440"/>
  <c r="F441"/>
  <c r="F442"/>
  <c r="F444"/>
  <c r="L753" i="1"/>
  <c r="G444" i="9"/>
  <c r="T753" i="1" s="1"/>
  <c r="H444" i="9"/>
  <c r="H446"/>
  <c r="N755" i="1" s="1"/>
  <c r="I444" i="9"/>
  <c r="J444"/>
  <c r="J446"/>
  <c r="W755" i="1"/>
  <c r="K444" i="9"/>
  <c r="L444"/>
  <c r="L446"/>
  <c r="F445"/>
  <c r="A9" i="3"/>
  <c r="B9"/>
  <c r="A10"/>
  <c r="B10"/>
  <c r="A11"/>
  <c r="B11"/>
  <c r="A15"/>
  <c r="B15"/>
  <c r="A16"/>
  <c r="B16"/>
  <c r="A17"/>
  <c r="B17"/>
  <c r="A21"/>
  <c r="B21"/>
  <c r="A22"/>
  <c r="B22"/>
  <c r="A23"/>
  <c r="B23"/>
  <c r="A24"/>
  <c r="B24"/>
  <c r="A25"/>
  <c r="B25"/>
  <c r="A26"/>
  <c r="B26"/>
  <c r="A30"/>
  <c r="B30"/>
  <c r="A31"/>
  <c r="B31"/>
  <c r="A32"/>
  <c r="B32"/>
  <c r="A9" i="5"/>
  <c r="C9"/>
  <c r="D9"/>
  <c r="E9"/>
  <c r="F9"/>
  <c r="G9"/>
  <c r="H9"/>
  <c r="L9"/>
  <c r="M9"/>
  <c r="P9"/>
  <c r="L31" i="1"/>
  <c r="Q9" i="5"/>
  <c r="L32" i="1" s="1"/>
  <c r="R9" i="5"/>
  <c r="L34" i="1" s="1"/>
  <c r="S9" i="5"/>
  <c r="L35" i="1"/>
  <c r="T9" i="5"/>
  <c r="U9"/>
  <c r="V9"/>
  <c r="X9"/>
  <c r="AE9"/>
  <c r="AH9"/>
  <c r="AI9"/>
  <c r="AJ9"/>
  <c r="AK9"/>
  <c r="A10"/>
  <c r="C10"/>
  <c r="D10"/>
  <c r="E10"/>
  <c r="N39" i="1" s="1"/>
  <c r="F10" i="5"/>
  <c r="M39" i="1"/>
  <c r="G10" i="5"/>
  <c r="H10"/>
  <c r="L10"/>
  <c r="M10"/>
  <c r="P10"/>
  <c r="L51" i="1" s="1"/>
  <c r="Q10" i="5"/>
  <c r="R10"/>
  <c r="L54" i="1" s="1"/>
  <c r="S10" i="5"/>
  <c r="T10"/>
  <c r="U10"/>
  <c r="V10"/>
  <c r="X10"/>
  <c r="AE10"/>
  <c r="AH10"/>
  <c r="AI10"/>
  <c r="AJ10"/>
  <c r="AK10"/>
  <c r="A11"/>
  <c r="C11"/>
  <c r="M58" i="1" s="1"/>
  <c r="D11" i="5"/>
  <c r="E11"/>
  <c r="F11"/>
  <c r="G11"/>
  <c r="H11"/>
  <c r="L11"/>
  <c r="M11"/>
  <c r="P11"/>
  <c r="L70" i="1"/>
  <c r="Q11" i="5"/>
  <c r="R11"/>
  <c r="L73" i="1" s="1"/>
  <c r="S11" i="5"/>
  <c r="L74" i="1"/>
  <c r="T11" i="5"/>
  <c r="U11"/>
  <c r="V11"/>
  <c r="X11"/>
  <c r="AE11"/>
  <c r="AH11"/>
  <c r="AI11"/>
  <c r="AJ11"/>
  <c r="AK11"/>
  <c r="A15"/>
  <c r="C15"/>
  <c r="D15"/>
  <c r="B15" s="1"/>
  <c r="E15"/>
  <c r="F15"/>
  <c r="G15"/>
  <c r="H15"/>
  <c r="L15"/>
  <c r="M15"/>
  <c r="P15"/>
  <c r="L181" i="1"/>
  <c r="Q15" i="5"/>
  <c r="L182" i="1" s="1"/>
  <c r="R15" i="5"/>
  <c r="L184" i="1"/>
  <c r="S15" i="5"/>
  <c r="L185" i="1" s="1"/>
  <c r="T15" i="5"/>
  <c r="U15"/>
  <c r="V15"/>
  <c r="X15"/>
  <c r="AE15"/>
  <c r="AH15"/>
  <c r="AI15"/>
  <c r="AJ15"/>
  <c r="AK15"/>
  <c r="A16"/>
  <c r="C16"/>
  <c r="D16"/>
  <c r="H129" i="9" s="1"/>
  <c r="N256" i="1" s="1"/>
  <c r="U256"/>
  <c r="E16" i="5"/>
  <c r="F16"/>
  <c r="G16"/>
  <c r="H16"/>
  <c r="L16"/>
  <c r="M16"/>
  <c r="P16"/>
  <c r="Q16"/>
  <c r="L202" i="1" s="1"/>
  <c r="R16" i="5"/>
  <c r="L204" i="1"/>
  <c r="S16" i="5"/>
  <c r="L205" i="1" s="1"/>
  <c r="T16" i="5"/>
  <c r="U16"/>
  <c r="V16"/>
  <c r="X16"/>
  <c r="AE16"/>
  <c r="AH16"/>
  <c r="AI16"/>
  <c r="AJ16"/>
  <c r="AK16"/>
  <c r="A17"/>
  <c r="C17"/>
  <c r="B17" s="1"/>
  <c r="D17"/>
  <c r="N208" i="1" s="1"/>
  <c r="E17" i="5"/>
  <c r="I122" i="9"/>
  <c r="F17" i="5"/>
  <c r="M209" i="1" s="1"/>
  <c r="G17" i="5"/>
  <c r="H17"/>
  <c r="L17"/>
  <c r="M17"/>
  <c r="P17"/>
  <c r="Q17"/>
  <c r="L221" i="1" s="1"/>
  <c r="R17" i="5"/>
  <c r="L223" i="1"/>
  <c r="S17" i="5"/>
  <c r="L224" i="1" s="1"/>
  <c r="T17" i="5"/>
  <c r="U17"/>
  <c r="V17"/>
  <c r="X17"/>
  <c r="AE17"/>
  <c r="AH17"/>
  <c r="AI17"/>
  <c r="AJ17"/>
  <c r="AK17"/>
  <c r="A21"/>
  <c r="C21"/>
  <c r="D21"/>
  <c r="N319" i="1" s="1"/>
  <c r="E21" i="5"/>
  <c r="Z21"/>
  <c r="F21"/>
  <c r="L192" i="9" s="1"/>
  <c r="G21" i="5"/>
  <c r="H21"/>
  <c r="L21"/>
  <c r="M21"/>
  <c r="P21"/>
  <c r="L331" i="1" s="1"/>
  <c r="Q21" i="5"/>
  <c r="L332" i="1"/>
  <c r="R21" i="5"/>
  <c r="S21"/>
  <c r="L335" i="1" s="1"/>
  <c r="T21" i="5"/>
  <c r="U21"/>
  <c r="V21"/>
  <c r="X21"/>
  <c r="AE21"/>
  <c r="AH21"/>
  <c r="AI21"/>
  <c r="AJ21"/>
  <c r="AK21"/>
  <c r="A22"/>
  <c r="C22"/>
  <c r="N22" s="1"/>
  <c r="L350" i="1" s="1"/>
  <c r="D22" i="5"/>
  <c r="E22"/>
  <c r="I220" i="9"/>
  <c r="N466" i="1" s="1"/>
  <c r="F22" i="5"/>
  <c r="G22"/>
  <c r="H22"/>
  <c r="F221" i="9" s="1"/>
  <c r="L467" i="1" s="1"/>
  <c r="L22" i="5"/>
  <c r="M22"/>
  <c r="P22"/>
  <c r="L351" i="1" s="1"/>
  <c r="Q22" i="5"/>
  <c r="L352" i="1"/>
  <c r="R22" i="5"/>
  <c r="L354" i="1" s="1"/>
  <c r="S22" i="5"/>
  <c r="L355" i="1"/>
  <c r="T22" i="5"/>
  <c r="U22"/>
  <c r="V22"/>
  <c r="X22"/>
  <c r="L271" i="9" s="1"/>
  <c r="Y517" i="1" s="1"/>
  <c r="AE22" i="5"/>
  <c r="AH22"/>
  <c r="AI22"/>
  <c r="AJ22"/>
  <c r="AK22"/>
  <c r="A23"/>
  <c r="C23"/>
  <c r="D23"/>
  <c r="N358" i="1" s="1"/>
  <c r="E23" i="5"/>
  <c r="F23"/>
  <c r="M359" i="1"/>
  <c r="G23" i="5"/>
  <c r="H23"/>
  <c r="L23"/>
  <c r="M23"/>
  <c r="P23"/>
  <c r="L370" i="1" s="1"/>
  <c r="Q23" i="5"/>
  <c r="R23"/>
  <c r="L373" i="1" s="1"/>
  <c r="S23" i="5"/>
  <c r="T23"/>
  <c r="U23"/>
  <c r="V23"/>
  <c r="X23"/>
  <c r="AE23"/>
  <c r="AH23"/>
  <c r="AI23"/>
  <c r="AJ23"/>
  <c r="AK23"/>
  <c r="A24"/>
  <c r="C24"/>
  <c r="D24"/>
  <c r="N376" i="1"/>
  <c r="E24" i="5"/>
  <c r="I192" i="9" s="1"/>
  <c r="F24" i="5"/>
  <c r="M377" i="1" s="1"/>
  <c r="G24" i="5"/>
  <c r="H24"/>
  <c r="L24"/>
  <c r="M24"/>
  <c r="P24"/>
  <c r="L388" i="1"/>
  <c r="Q24" i="5"/>
  <c r="L389" i="1" s="1"/>
  <c r="R24" i="5"/>
  <c r="S24"/>
  <c r="T24"/>
  <c r="U24"/>
  <c r="V24"/>
  <c r="X24"/>
  <c r="AE24"/>
  <c r="AH24"/>
  <c r="AI24"/>
  <c r="AJ24"/>
  <c r="AK24"/>
  <c r="A25"/>
  <c r="C25"/>
  <c r="D25"/>
  <c r="N395" i="1"/>
  <c r="E25" i="5"/>
  <c r="F25"/>
  <c r="M396" i="1"/>
  <c r="G25" i="5"/>
  <c r="H25"/>
  <c r="L25"/>
  <c r="M25"/>
  <c r="P25"/>
  <c r="L408" i="1" s="1"/>
  <c r="Q25" i="5"/>
  <c r="R25"/>
  <c r="L411" i="1"/>
  <c r="S25" i="5"/>
  <c r="L412" i="1" s="1"/>
  <c r="T25" i="5"/>
  <c r="U25"/>
  <c r="V25"/>
  <c r="X25"/>
  <c r="AE25"/>
  <c r="AH25"/>
  <c r="AI25"/>
  <c r="AJ25"/>
  <c r="AK25"/>
  <c r="A26"/>
  <c r="C26"/>
  <c r="M415" i="1" s="1"/>
  <c r="D26" i="5"/>
  <c r="E26"/>
  <c r="N416" i="1" s="1"/>
  <c r="F26" i="5"/>
  <c r="M416" i="1" s="1"/>
  <c r="G26" i="5"/>
  <c r="H26"/>
  <c r="L26"/>
  <c r="M26"/>
  <c r="P26"/>
  <c r="L428" i="1"/>
  <c r="Q26" i="5"/>
  <c r="L429" i="1" s="1"/>
  <c r="R26" i="5"/>
  <c r="S26"/>
  <c r="T26"/>
  <c r="U26"/>
  <c r="V26"/>
  <c r="X26"/>
  <c r="AE26"/>
  <c r="AH26"/>
  <c r="AI26"/>
  <c r="AJ26"/>
  <c r="AK26"/>
  <c r="A30"/>
  <c r="C30"/>
  <c r="D30"/>
  <c r="H304" i="9" s="1"/>
  <c r="E30" i="5"/>
  <c r="AB30" s="1"/>
  <c r="F30"/>
  <c r="M529" i="1"/>
  <c r="G30" i="5"/>
  <c r="H30"/>
  <c r="L30"/>
  <c r="M30"/>
  <c r="P30"/>
  <c r="Q30"/>
  <c r="L541" i="1"/>
  <c r="R30" i="5"/>
  <c r="L543" i="1" s="1"/>
  <c r="S30" i="5"/>
  <c r="L544" i="1" s="1"/>
  <c r="T30" i="5"/>
  <c r="U30"/>
  <c r="V30"/>
  <c r="X30"/>
  <c r="AE30"/>
  <c r="AH30"/>
  <c r="AI30"/>
  <c r="AJ30"/>
  <c r="AK30"/>
  <c r="A31"/>
  <c r="C31"/>
  <c r="D31"/>
  <c r="E31"/>
  <c r="F31"/>
  <c r="M548" i="1" s="1"/>
  <c r="G31" i="5"/>
  <c r="H31"/>
  <c r="L31"/>
  <c r="M31"/>
  <c r="P31"/>
  <c r="L560" i="1"/>
  <c r="Q31" i="5"/>
  <c r="L561" i="1" s="1"/>
  <c r="R31" i="5"/>
  <c r="L563" i="1" s="1"/>
  <c r="S31" i="5"/>
  <c r="L564" i="1"/>
  <c r="T31" i="5"/>
  <c r="U31"/>
  <c r="V31"/>
  <c r="X31"/>
  <c r="AE31"/>
  <c r="L363" i="9" s="1"/>
  <c r="AH31" i="5"/>
  <c r="AI31"/>
  <c r="AJ31"/>
  <c r="AK31"/>
  <c r="A32"/>
  <c r="C32"/>
  <c r="D32"/>
  <c r="E32"/>
  <c r="N568" i="1" s="1"/>
  <c r="F32" i="5"/>
  <c r="G32"/>
  <c r="H32"/>
  <c r="L32"/>
  <c r="M32"/>
  <c r="P32"/>
  <c r="Q32"/>
  <c r="L581" i="1"/>
  <c r="R32" i="5"/>
  <c r="L583" i="1" s="1"/>
  <c r="S32" i="5"/>
  <c r="L584" i="1"/>
  <c r="T32" i="5"/>
  <c r="U32"/>
  <c r="V32"/>
  <c r="X32"/>
  <c r="AE32"/>
  <c r="AH32"/>
  <c r="AI32"/>
  <c r="AJ32"/>
  <c r="AK32"/>
  <c r="D19" i="1"/>
  <c r="E19"/>
  <c r="F19"/>
  <c r="H19"/>
  <c r="I19"/>
  <c r="E20"/>
  <c r="F20"/>
  <c r="I20"/>
  <c r="G31"/>
  <c r="G32"/>
  <c r="G34"/>
  <c r="D38"/>
  <c r="E38"/>
  <c r="F38"/>
  <c r="N38"/>
  <c r="E39"/>
  <c r="F39"/>
  <c r="H39"/>
  <c r="I39"/>
  <c r="G52"/>
  <c r="L52"/>
  <c r="G54"/>
  <c r="G55"/>
  <c r="L55"/>
  <c r="D58"/>
  <c r="E58"/>
  <c r="F58"/>
  <c r="I58"/>
  <c r="N58"/>
  <c r="E59"/>
  <c r="F59"/>
  <c r="H59"/>
  <c r="G71"/>
  <c r="L71"/>
  <c r="G74"/>
  <c r="Z77"/>
  <c r="H79"/>
  <c r="I79"/>
  <c r="M79"/>
  <c r="T79"/>
  <c r="U79"/>
  <c r="V79"/>
  <c r="Y79"/>
  <c r="Z79"/>
  <c r="G89"/>
  <c r="I89"/>
  <c r="L89"/>
  <c r="N89"/>
  <c r="U89"/>
  <c r="V89"/>
  <c r="W89"/>
  <c r="Y89"/>
  <c r="Z89"/>
  <c r="G91"/>
  <c r="H91"/>
  <c r="L91"/>
  <c r="M91"/>
  <c r="T91"/>
  <c r="G92"/>
  <c r="L92"/>
  <c r="G94"/>
  <c r="G95"/>
  <c r="L95"/>
  <c r="G96"/>
  <c r="L96"/>
  <c r="G98"/>
  <c r="Z99"/>
  <c r="G107"/>
  <c r="I107"/>
  <c r="N107"/>
  <c r="U107"/>
  <c r="V107"/>
  <c r="W107"/>
  <c r="Z107"/>
  <c r="G108"/>
  <c r="L108"/>
  <c r="G109"/>
  <c r="L109"/>
  <c r="G112"/>
  <c r="H112"/>
  <c r="I112"/>
  <c r="L112"/>
  <c r="M112"/>
  <c r="N112"/>
  <c r="T112"/>
  <c r="U112"/>
  <c r="W112"/>
  <c r="X112"/>
  <c r="Z112"/>
  <c r="H114"/>
  <c r="I114"/>
  <c r="M114"/>
  <c r="N114"/>
  <c r="T114"/>
  <c r="V114"/>
  <c r="W114"/>
  <c r="X114"/>
  <c r="Y114"/>
  <c r="Z114"/>
  <c r="G116"/>
  <c r="L116"/>
  <c r="G117"/>
  <c r="L117"/>
  <c r="G120"/>
  <c r="H120"/>
  <c r="I120"/>
  <c r="L120"/>
  <c r="N120"/>
  <c r="U120"/>
  <c r="V120"/>
  <c r="W120"/>
  <c r="Y120"/>
  <c r="Z120"/>
  <c r="G121"/>
  <c r="L121"/>
  <c r="G122"/>
  <c r="L122"/>
  <c r="G125"/>
  <c r="H125"/>
  <c r="I125"/>
  <c r="L125"/>
  <c r="N125"/>
  <c r="T125"/>
  <c r="U125"/>
  <c r="X125"/>
  <c r="Y125"/>
  <c r="Z125"/>
  <c r="G126"/>
  <c r="G127"/>
  <c r="L127"/>
  <c r="G128"/>
  <c r="L128"/>
  <c r="G130"/>
  <c r="I130"/>
  <c r="M130"/>
  <c r="N130"/>
  <c r="T130"/>
  <c r="U130"/>
  <c r="V130"/>
  <c r="X130"/>
  <c r="Y130"/>
  <c r="Z130"/>
  <c r="G133"/>
  <c r="G134"/>
  <c r="L135"/>
  <c r="G137"/>
  <c r="H137"/>
  <c r="I137"/>
  <c r="L137"/>
  <c r="M137"/>
  <c r="V137"/>
  <c r="W137"/>
  <c r="Z137"/>
  <c r="G138"/>
  <c r="L138"/>
  <c r="G139"/>
  <c r="G140"/>
  <c r="L140"/>
  <c r="G141"/>
  <c r="L141"/>
  <c r="H143"/>
  <c r="I143"/>
  <c r="L143"/>
  <c r="N143"/>
  <c r="T143"/>
  <c r="U143"/>
  <c r="X143"/>
  <c r="Y143"/>
  <c r="Z143"/>
  <c r="G144"/>
  <c r="L145"/>
  <c r="G147"/>
  <c r="H147"/>
  <c r="I147"/>
  <c r="L147"/>
  <c r="M147"/>
  <c r="T147"/>
  <c r="V147"/>
  <c r="W147"/>
  <c r="X147"/>
  <c r="Z147"/>
  <c r="G148"/>
  <c r="L148"/>
  <c r="G149"/>
  <c r="L149"/>
  <c r="G150"/>
  <c r="G152"/>
  <c r="I152"/>
  <c r="L152"/>
  <c r="N152"/>
  <c r="T152"/>
  <c r="U152"/>
  <c r="W152"/>
  <c r="X152"/>
  <c r="Y152"/>
  <c r="Z152"/>
  <c r="G153"/>
  <c r="I154"/>
  <c r="N154"/>
  <c r="Z154"/>
  <c r="D169"/>
  <c r="E169"/>
  <c r="F169"/>
  <c r="H169"/>
  <c r="I169"/>
  <c r="E170"/>
  <c r="F170"/>
  <c r="M170"/>
  <c r="N170"/>
  <c r="G182"/>
  <c r="G184"/>
  <c r="D188"/>
  <c r="E188"/>
  <c r="F188"/>
  <c r="I188"/>
  <c r="N188"/>
  <c r="E189"/>
  <c r="F189"/>
  <c r="H189"/>
  <c r="I189"/>
  <c r="L201"/>
  <c r="G204"/>
  <c r="G205"/>
  <c r="D208"/>
  <c r="E208"/>
  <c r="F208"/>
  <c r="H208"/>
  <c r="E209"/>
  <c r="F209"/>
  <c r="H209"/>
  <c r="I209"/>
  <c r="G220"/>
  <c r="L220"/>
  <c r="G223"/>
  <c r="G224"/>
  <c r="Z226"/>
  <c r="G228"/>
  <c r="H228"/>
  <c r="I228"/>
  <c r="M228"/>
  <c r="T228"/>
  <c r="U228"/>
  <c r="V228"/>
  <c r="W228"/>
  <c r="Y228"/>
  <c r="Z228"/>
  <c r="H238"/>
  <c r="I238"/>
  <c r="L238"/>
  <c r="M238"/>
  <c r="T238"/>
  <c r="V238"/>
  <c r="X238"/>
  <c r="Y238"/>
  <c r="Z238"/>
  <c r="G240"/>
  <c r="H240"/>
  <c r="L240"/>
  <c r="M240"/>
  <c r="T240"/>
  <c r="L241"/>
  <c r="G243"/>
  <c r="G244"/>
  <c r="L244"/>
  <c r="G245"/>
  <c r="Z248"/>
  <c r="Z256"/>
  <c r="H262"/>
  <c r="I262"/>
  <c r="M262"/>
  <c r="T262"/>
  <c r="U262"/>
  <c r="V262"/>
  <c r="W262"/>
  <c r="X262"/>
  <c r="Y262"/>
  <c r="Z262"/>
  <c r="G264"/>
  <c r="I264"/>
  <c r="L264"/>
  <c r="M264"/>
  <c r="U264"/>
  <c r="W264"/>
  <c r="X264"/>
  <c r="Y264"/>
  <c r="Z264"/>
  <c r="G265"/>
  <c r="L265"/>
  <c r="G266"/>
  <c r="L266"/>
  <c r="G267"/>
  <c r="L267"/>
  <c r="G270"/>
  <c r="H270"/>
  <c r="M270"/>
  <c r="N270"/>
  <c r="V270"/>
  <c r="W270"/>
  <c r="X270"/>
  <c r="Z270"/>
  <c r="G271"/>
  <c r="L271"/>
  <c r="G272"/>
  <c r="G273"/>
  <c r="L273"/>
  <c r="H275"/>
  <c r="I275"/>
  <c r="M275"/>
  <c r="T275"/>
  <c r="V275"/>
  <c r="X275"/>
  <c r="Z275"/>
  <c r="G276"/>
  <c r="G278"/>
  <c r="L278"/>
  <c r="G280"/>
  <c r="H280"/>
  <c r="I280"/>
  <c r="M280"/>
  <c r="N280"/>
  <c r="V280"/>
  <c r="Y280"/>
  <c r="Z280"/>
  <c r="G283"/>
  <c r="L283"/>
  <c r="G284"/>
  <c r="L284"/>
  <c r="G285"/>
  <c r="H287"/>
  <c r="I287"/>
  <c r="L287"/>
  <c r="W287"/>
  <c r="X287"/>
  <c r="Y287"/>
  <c r="Z287"/>
  <c r="G288"/>
  <c r="L288"/>
  <c r="G289"/>
  <c r="G290"/>
  <c r="L290"/>
  <c r="G291"/>
  <c r="G293"/>
  <c r="I293"/>
  <c r="L293"/>
  <c r="M293"/>
  <c r="N293"/>
  <c r="T293"/>
  <c r="U293"/>
  <c r="X293"/>
  <c r="Z293"/>
  <c r="G294"/>
  <c r="G295"/>
  <c r="L295"/>
  <c r="H297"/>
  <c r="I297"/>
  <c r="M297"/>
  <c r="T297"/>
  <c r="W297"/>
  <c r="X297"/>
  <c r="Y297"/>
  <c r="Z297"/>
  <c r="G298"/>
  <c r="G299"/>
  <c r="L299"/>
  <c r="G300"/>
  <c r="L300"/>
  <c r="G302"/>
  <c r="H302"/>
  <c r="M302"/>
  <c r="T302"/>
  <c r="V302"/>
  <c r="X302"/>
  <c r="Y302"/>
  <c r="Z302"/>
  <c r="G303"/>
  <c r="H304"/>
  <c r="Z304"/>
  <c r="D319"/>
  <c r="E319"/>
  <c r="F319"/>
  <c r="I319"/>
  <c r="E320"/>
  <c r="F320"/>
  <c r="I320"/>
  <c r="M320"/>
  <c r="N320"/>
  <c r="G334"/>
  <c r="L334"/>
  <c r="D338"/>
  <c r="E338"/>
  <c r="F338"/>
  <c r="E339"/>
  <c r="F339"/>
  <c r="I339"/>
  <c r="N339"/>
  <c r="G351"/>
  <c r="G352"/>
  <c r="G354"/>
  <c r="D358"/>
  <c r="E358"/>
  <c r="F358"/>
  <c r="M358"/>
  <c r="E359"/>
  <c r="F359"/>
  <c r="G370"/>
  <c r="G371"/>
  <c r="L371"/>
  <c r="G373"/>
  <c r="L374"/>
  <c r="D376"/>
  <c r="E376"/>
  <c r="F376"/>
  <c r="E377"/>
  <c r="F377"/>
  <c r="H377"/>
  <c r="I377"/>
  <c r="G389"/>
  <c r="G391"/>
  <c r="L391"/>
  <c r="L392"/>
  <c r="D395"/>
  <c r="E395"/>
  <c r="F395"/>
  <c r="H395"/>
  <c r="M395"/>
  <c r="E396"/>
  <c r="F396"/>
  <c r="H396"/>
  <c r="G408"/>
  <c r="L409"/>
  <c r="G411"/>
  <c r="G412"/>
  <c r="D415"/>
  <c r="E415"/>
  <c r="F415"/>
  <c r="H415"/>
  <c r="I415"/>
  <c r="N415"/>
  <c r="E416"/>
  <c r="F416"/>
  <c r="G428"/>
  <c r="L431"/>
  <c r="L432"/>
  <c r="Z435"/>
  <c r="G437"/>
  <c r="H437"/>
  <c r="I437"/>
  <c r="T437"/>
  <c r="U437"/>
  <c r="V437"/>
  <c r="W437"/>
  <c r="X437"/>
  <c r="Y437"/>
  <c r="Z437"/>
  <c r="H447"/>
  <c r="I447"/>
  <c r="L447"/>
  <c r="M447"/>
  <c r="N447"/>
  <c r="T447"/>
  <c r="W447"/>
  <c r="X447"/>
  <c r="Z447"/>
  <c r="G449"/>
  <c r="H449"/>
  <c r="M449"/>
  <c r="G452"/>
  <c r="L452"/>
  <c r="G453"/>
  <c r="G454"/>
  <c r="L454"/>
  <c r="Z457"/>
  <c r="Z465"/>
  <c r="I466"/>
  <c r="H471"/>
  <c r="I471"/>
  <c r="L471"/>
  <c r="M471"/>
  <c r="N471"/>
  <c r="T471"/>
  <c r="U471"/>
  <c r="W471"/>
  <c r="X471"/>
  <c r="Y471"/>
  <c r="Z471"/>
  <c r="G473"/>
  <c r="I473"/>
  <c r="M473"/>
  <c r="N473"/>
  <c r="T473"/>
  <c r="U473"/>
  <c r="V473"/>
  <c r="W473"/>
  <c r="X473"/>
  <c r="Y473"/>
  <c r="Z473"/>
  <c r="G474"/>
  <c r="L475"/>
  <c r="G476"/>
  <c r="G479"/>
  <c r="I479"/>
  <c r="L479"/>
  <c r="U479"/>
  <c r="V479"/>
  <c r="W479"/>
  <c r="Y479"/>
  <c r="Z479"/>
  <c r="G480"/>
  <c r="L480"/>
  <c r="G481"/>
  <c r="L481"/>
  <c r="G484"/>
  <c r="H484"/>
  <c r="I484"/>
  <c r="L484"/>
  <c r="N484"/>
  <c r="T484"/>
  <c r="U484"/>
  <c r="W484"/>
  <c r="X484"/>
  <c r="Y484"/>
  <c r="Z484"/>
  <c r="L485"/>
  <c r="G486"/>
  <c r="G487"/>
  <c r="L487"/>
  <c r="G489"/>
  <c r="I489"/>
  <c r="L489"/>
  <c r="N489"/>
  <c r="T489"/>
  <c r="U489"/>
  <c r="V489"/>
  <c r="W489"/>
  <c r="X489"/>
  <c r="Y489"/>
  <c r="Z489"/>
  <c r="G492"/>
  <c r="L492"/>
  <c r="G493"/>
  <c r="L493"/>
  <c r="L494"/>
  <c r="G496"/>
  <c r="H496"/>
  <c r="I496"/>
  <c r="L496"/>
  <c r="M496"/>
  <c r="V496"/>
  <c r="W496"/>
  <c r="Y496"/>
  <c r="Z496"/>
  <c r="G497"/>
  <c r="L497"/>
  <c r="G498"/>
  <c r="L498"/>
  <c r="G499"/>
  <c r="G500"/>
  <c r="L500"/>
  <c r="H502"/>
  <c r="I502"/>
  <c r="M502"/>
  <c r="N502"/>
  <c r="T502"/>
  <c r="U502"/>
  <c r="V502"/>
  <c r="X502"/>
  <c r="Y502"/>
  <c r="Z502"/>
  <c r="G503"/>
  <c r="L503"/>
  <c r="G506"/>
  <c r="H506"/>
  <c r="I506"/>
  <c r="L506"/>
  <c r="M506"/>
  <c r="N506"/>
  <c r="U506"/>
  <c r="V506"/>
  <c r="W506"/>
  <c r="Y506"/>
  <c r="Z506"/>
  <c r="G508"/>
  <c r="L508"/>
  <c r="G509"/>
  <c r="G511"/>
  <c r="I511"/>
  <c r="L511"/>
  <c r="U511"/>
  <c r="V511"/>
  <c r="X511"/>
  <c r="Y511"/>
  <c r="Z511"/>
  <c r="G512"/>
  <c r="V513"/>
  <c r="X513"/>
  <c r="Z513"/>
  <c r="D528"/>
  <c r="E528"/>
  <c r="F528"/>
  <c r="I528"/>
  <c r="M528"/>
  <c r="E529"/>
  <c r="F529"/>
  <c r="H529"/>
  <c r="I529"/>
  <c r="L540"/>
  <c r="G541"/>
  <c r="G544"/>
  <c r="D547"/>
  <c r="E547"/>
  <c r="F547"/>
  <c r="H547"/>
  <c r="I547"/>
  <c r="N547"/>
  <c r="E548"/>
  <c r="F548"/>
  <c r="H548"/>
  <c r="G560"/>
  <c r="G564"/>
  <c r="D567"/>
  <c r="E567"/>
  <c r="F567"/>
  <c r="H567"/>
  <c r="I567"/>
  <c r="M567"/>
  <c r="E568"/>
  <c r="F568"/>
  <c r="I568"/>
  <c r="G580"/>
  <c r="L580"/>
  <c r="G581"/>
  <c r="G583"/>
  <c r="G584"/>
  <c r="Z587"/>
  <c r="G589"/>
  <c r="H589"/>
  <c r="I589"/>
  <c r="L589"/>
  <c r="M589"/>
  <c r="U589"/>
  <c r="V589"/>
  <c r="W589"/>
  <c r="Y589"/>
  <c r="Z589"/>
  <c r="H599"/>
  <c r="I599"/>
  <c r="L599"/>
  <c r="M599"/>
  <c r="T599"/>
  <c r="U599"/>
  <c r="W599"/>
  <c r="X599"/>
  <c r="Y599"/>
  <c r="Z599"/>
  <c r="G601"/>
  <c r="H601"/>
  <c r="L602"/>
  <c r="G604"/>
  <c r="L604"/>
  <c r="G605"/>
  <c r="G606"/>
  <c r="L606"/>
  <c r="Z609"/>
  <c r="H617"/>
  <c r="I617"/>
  <c r="L617"/>
  <c r="N617"/>
  <c r="U617"/>
  <c r="V617"/>
  <c r="Y617"/>
  <c r="Z617"/>
  <c r="G618"/>
  <c r="L619"/>
  <c r="G620"/>
  <c r="G622"/>
  <c r="H622"/>
  <c r="M622"/>
  <c r="N622"/>
  <c r="T622"/>
  <c r="U622"/>
  <c r="X622"/>
  <c r="Y622"/>
  <c r="Z622"/>
  <c r="G624"/>
  <c r="H624"/>
  <c r="I624"/>
  <c r="N624"/>
  <c r="T624"/>
  <c r="U624"/>
  <c r="V624"/>
  <c r="W624"/>
  <c r="X624"/>
  <c r="Y624"/>
  <c r="Z624"/>
  <c r="G625"/>
  <c r="G626"/>
  <c r="G627"/>
  <c r="L627"/>
  <c r="H630"/>
  <c r="I630"/>
  <c r="L630"/>
  <c r="N630"/>
  <c r="V630"/>
  <c r="W630"/>
  <c r="Z630"/>
  <c r="G631"/>
  <c r="L631"/>
  <c r="G633"/>
  <c r="L633"/>
  <c r="G635"/>
  <c r="H635"/>
  <c r="L635"/>
  <c r="M635"/>
  <c r="T635"/>
  <c r="U635"/>
  <c r="W635"/>
  <c r="Y635"/>
  <c r="Z635"/>
  <c r="G636"/>
  <c r="G637"/>
  <c r="L638"/>
  <c r="G639"/>
  <c r="G640"/>
  <c r="H640"/>
  <c r="I640"/>
  <c r="L640"/>
  <c r="V640"/>
  <c r="W640"/>
  <c r="Y640"/>
  <c r="Z640"/>
  <c r="L643"/>
  <c r="G644"/>
  <c r="L644"/>
  <c r="G645"/>
  <c r="G647"/>
  <c r="I647"/>
  <c r="L647"/>
  <c r="U647"/>
  <c r="W647"/>
  <c r="X647"/>
  <c r="Z647"/>
  <c r="G648"/>
  <c r="L648"/>
  <c r="G649"/>
  <c r="L649"/>
  <c r="L650"/>
  <c r="G651"/>
  <c r="G653"/>
  <c r="H653"/>
  <c r="L653"/>
  <c r="M653"/>
  <c r="T653"/>
  <c r="V653"/>
  <c r="W653"/>
  <c r="Z653"/>
  <c r="G654"/>
  <c r="L654"/>
  <c r="G655"/>
  <c r="G657"/>
  <c r="I657"/>
  <c r="L657"/>
  <c r="T657"/>
  <c r="U657"/>
  <c r="V657"/>
  <c r="W657"/>
  <c r="X657"/>
  <c r="Y657"/>
  <c r="Z657"/>
  <c r="G658"/>
  <c r="L658"/>
  <c r="G659"/>
  <c r="L659"/>
  <c r="G660"/>
  <c r="G662"/>
  <c r="H662"/>
  <c r="I662"/>
  <c r="M662"/>
  <c r="N662"/>
  <c r="T662"/>
  <c r="U662"/>
  <c r="V662"/>
  <c r="X662"/>
  <c r="Y662"/>
  <c r="Z662"/>
  <c r="G663"/>
  <c r="H664"/>
  <c r="I664"/>
  <c r="M664"/>
  <c r="N664"/>
  <c r="X664"/>
  <c r="Y664"/>
  <c r="Z664"/>
  <c r="Z677"/>
  <c r="G679"/>
  <c r="H679"/>
  <c r="I679"/>
  <c r="L679"/>
  <c r="N679"/>
  <c r="U679"/>
  <c r="W679"/>
  <c r="Y679"/>
  <c r="Z679"/>
  <c r="G689"/>
  <c r="H689"/>
  <c r="I689"/>
  <c r="L689"/>
  <c r="M689"/>
  <c r="T689"/>
  <c r="V689"/>
  <c r="W689"/>
  <c r="X689"/>
  <c r="Z689"/>
  <c r="G691"/>
  <c r="H691"/>
  <c r="L691"/>
  <c r="M691"/>
  <c r="T691"/>
  <c r="G692"/>
  <c r="L692"/>
  <c r="G694"/>
  <c r="L694"/>
  <c r="G695"/>
  <c r="G696"/>
  <c r="L696"/>
  <c r="Z699"/>
  <c r="Z707"/>
  <c r="H713"/>
  <c r="I713"/>
  <c r="L713"/>
  <c r="U713"/>
  <c r="V713"/>
  <c r="W713"/>
  <c r="X713"/>
  <c r="Y713"/>
  <c r="Z713"/>
  <c r="G715"/>
  <c r="H715"/>
  <c r="I715"/>
  <c r="L715"/>
  <c r="M715"/>
  <c r="N715"/>
  <c r="U715"/>
  <c r="W715"/>
  <c r="X715"/>
  <c r="Y715"/>
  <c r="Z715"/>
  <c r="G716"/>
  <c r="G717"/>
  <c r="L717"/>
  <c r="G718"/>
  <c r="L718"/>
  <c r="G721"/>
  <c r="H721"/>
  <c r="I721"/>
  <c r="M721"/>
  <c r="N721"/>
  <c r="T721"/>
  <c r="U721"/>
  <c r="W721"/>
  <c r="X721"/>
  <c r="Y721"/>
  <c r="Z721"/>
  <c r="G722"/>
  <c r="L722"/>
  <c r="G723"/>
  <c r="L723"/>
  <c r="G724"/>
  <c r="L724"/>
  <c r="G726"/>
  <c r="H726"/>
  <c r="I726"/>
  <c r="L726"/>
  <c r="N726"/>
  <c r="T726"/>
  <c r="V726"/>
  <c r="X726"/>
  <c r="Z726"/>
  <c r="G727"/>
  <c r="G728"/>
  <c r="L728"/>
  <c r="G729"/>
  <c r="L729"/>
  <c r="G730"/>
  <c r="G731"/>
  <c r="H731"/>
  <c r="I731"/>
  <c r="L731"/>
  <c r="N731"/>
  <c r="U731"/>
  <c r="V731"/>
  <c r="W731"/>
  <c r="Y731"/>
  <c r="Z731"/>
  <c r="G734"/>
  <c r="G735"/>
  <c r="G736"/>
  <c r="L736"/>
  <c r="G738"/>
  <c r="H738"/>
  <c r="I738"/>
  <c r="L738"/>
  <c r="N738"/>
  <c r="U738"/>
  <c r="V738"/>
  <c r="Y738"/>
  <c r="Z738"/>
  <c r="G739"/>
  <c r="L739"/>
  <c r="G740"/>
  <c r="L740"/>
  <c r="G741"/>
  <c r="G742"/>
  <c r="L742"/>
  <c r="G744"/>
  <c r="H744"/>
  <c r="I744"/>
  <c r="L744"/>
  <c r="M744"/>
  <c r="U744"/>
  <c r="V744"/>
  <c r="W744"/>
  <c r="Y744"/>
  <c r="Z744"/>
  <c r="G745"/>
  <c r="G746"/>
  <c r="G748"/>
  <c r="H748"/>
  <c r="I748"/>
  <c r="M748"/>
  <c r="N748"/>
  <c r="T748"/>
  <c r="U748"/>
  <c r="W748"/>
  <c r="X748"/>
  <c r="Y748"/>
  <c r="Z748"/>
  <c r="G749"/>
  <c r="L749"/>
  <c r="G750"/>
  <c r="L750"/>
  <c r="G751"/>
  <c r="L751"/>
  <c r="G753"/>
  <c r="H753"/>
  <c r="I753"/>
  <c r="M753"/>
  <c r="N753"/>
  <c r="U753"/>
  <c r="W753"/>
  <c r="Y753"/>
  <c r="Z753"/>
  <c r="G754"/>
  <c r="L754"/>
  <c r="H755"/>
  <c r="I755"/>
  <c r="U755"/>
  <c r="Y755"/>
  <c r="Z755"/>
  <c r="G283" i="9"/>
  <c r="N30" i="5"/>
  <c r="L539" i="1" s="1"/>
  <c r="L545" s="1"/>
  <c r="Y24" i="5"/>
  <c r="F125" i="9"/>
  <c r="L252" i="1" s="1"/>
  <c r="L10" i="9"/>
  <c r="B9" i="5"/>
  <c r="AD9" s="1"/>
  <c r="F364" i="9"/>
  <c r="L670" i="1" s="1"/>
  <c r="B26" i="5"/>
  <c r="L415" i="1"/>
  <c r="AA17" i="5"/>
  <c r="N17"/>
  <c r="L219" i="1" s="1"/>
  <c r="L181" i="9"/>
  <c r="L122"/>
  <c r="M249" i="1" s="1"/>
  <c r="F34" i="9"/>
  <c r="H10"/>
  <c r="N77" i="1" s="1"/>
  <c r="I399" i="9"/>
  <c r="N708" i="1" s="1"/>
  <c r="Z22" i="5"/>
  <c r="F183" i="9"/>
  <c r="L311" i="1" s="1"/>
  <c r="L399" i="9"/>
  <c r="I283" i="8"/>
  <c r="I588" i="1"/>
  <c r="AB26" i="4"/>
  <c r="AB24"/>
  <c r="AB22"/>
  <c r="O22"/>
  <c r="G353" i="1"/>
  <c r="I192" i="8"/>
  <c r="I436" i="1" s="1"/>
  <c r="AB17" i="4"/>
  <c r="I129" i="8"/>
  <c r="I257" i="1" s="1"/>
  <c r="I399" i="8"/>
  <c r="I708" i="1"/>
  <c r="AB15" i="4"/>
  <c r="F180" i="8"/>
  <c r="G308" i="1" s="1"/>
  <c r="G101" i="8"/>
  <c r="H226" i="1"/>
  <c r="F182" i="8"/>
  <c r="G122"/>
  <c r="H248" i="1"/>
  <c r="F307" i="8"/>
  <c r="G613" i="1" s="1"/>
  <c r="H304" i="8"/>
  <c r="I609" i="1"/>
  <c r="H283" i="8"/>
  <c r="I587" i="1" s="1"/>
  <c r="F130" i="8"/>
  <c r="G258" i="1" s="1"/>
  <c r="F400" i="8"/>
  <c r="G709" i="1"/>
  <c r="H129" i="8"/>
  <c r="I256" i="1" s="1"/>
  <c r="L181" i="8"/>
  <c r="F181"/>
  <c r="G309" i="1"/>
  <c r="L101" i="8"/>
  <c r="H227" i="1" s="1"/>
  <c r="B15" i="4"/>
  <c r="AD15"/>
  <c r="F362" i="8"/>
  <c r="G668" i="1" s="1"/>
  <c r="G517"/>
  <c r="G129" i="8"/>
  <c r="H256" i="1" s="1"/>
  <c r="G399" i="8"/>
  <c r="H707" i="1"/>
  <c r="I122" i="8"/>
  <c r="I249" i="1" s="1"/>
  <c r="F183" i="8"/>
  <c r="G311" i="1" s="1"/>
  <c r="Z10" i="4"/>
  <c r="Y10"/>
  <c r="H31" i="8"/>
  <c r="I99" i="1"/>
  <c r="L283" i="8"/>
  <c r="H588" i="1" s="1"/>
  <c r="L129" i="8"/>
  <c r="H257" i="1"/>
  <c r="B16" i="4"/>
  <c r="F129" i="8" s="1"/>
  <c r="G256" i="1" s="1"/>
  <c r="H122" i="8"/>
  <c r="I248" i="1"/>
  <c r="L450" i="8"/>
  <c r="L89"/>
  <c r="H392"/>
  <c r="I699" i="1"/>
  <c r="L103"/>
  <c r="G169"/>
  <c r="L19"/>
  <c r="T120"/>
  <c r="M120"/>
  <c r="N24" i="4"/>
  <c r="G387" i="1" s="1"/>
  <c r="AC15" i="4"/>
  <c r="F452" i="8"/>
  <c r="G761" i="1" s="1"/>
  <c r="F92" i="8"/>
  <c r="G161" i="1"/>
  <c r="L192" i="8"/>
  <c r="H436" i="1" s="1"/>
  <c r="F365" i="8"/>
  <c r="G671" i="1"/>
  <c r="AC9" i="5"/>
  <c r="F223" i="8"/>
  <c r="G469" i="1"/>
  <c r="F222" i="9"/>
  <c r="L468" i="1" s="1"/>
  <c r="U77"/>
  <c r="I31" i="8"/>
  <c r="I100" i="1" s="1"/>
  <c r="I10" i="8"/>
  <c r="I78" i="1" s="1"/>
  <c r="F89" i="8"/>
  <c r="G158" i="1" s="1"/>
  <c r="L180" i="9"/>
  <c r="Y308" i="1"/>
  <c r="N567"/>
  <c r="I59"/>
  <c r="H20"/>
  <c r="AB22" i="5"/>
  <c r="G220" i="9"/>
  <c r="T640" i="1"/>
  <c r="M640"/>
  <c r="T511"/>
  <c r="G267" i="9"/>
  <c r="M511" i="1"/>
  <c r="M479"/>
  <c r="T479"/>
  <c r="L449"/>
  <c r="T449"/>
  <c r="N297"/>
  <c r="U297"/>
  <c r="N287"/>
  <c r="U287"/>
  <c r="U275"/>
  <c r="N275"/>
  <c r="N238"/>
  <c r="F416" i="8"/>
  <c r="G725" i="1"/>
  <c r="G471"/>
  <c r="F232" i="8"/>
  <c r="G478" i="1"/>
  <c r="V465"/>
  <c r="J267" i="9"/>
  <c r="W513" i="1" s="1"/>
  <c r="W511"/>
  <c r="Y30" i="4"/>
  <c r="AB30"/>
  <c r="N30"/>
  <c r="G539" i="1" s="1"/>
  <c r="G545" s="1"/>
  <c r="G267" i="8"/>
  <c r="H513" i="1"/>
  <c r="H511"/>
  <c r="F259" i="8"/>
  <c r="G505" i="1" s="1"/>
  <c r="G504"/>
  <c r="L392" i="8"/>
  <c r="H700" i="1"/>
  <c r="H10" i="8"/>
  <c r="I77" i="1"/>
  <c r="B9" i="4"/>
  <c r="B30"/>
  <c r="AD30" s="1"/>
  <c r="G304" i="8"/>
  <c r="H609" i="1" s="1"/>
  <c r="L31" i="8"/>
  <c r="H100" i="1"/>
  <c r="I304" i="8"/>
  <c r="I610" i="1" s="1"/>
  <c r="AA22" i="5"/>
  <c r="AA9"/>
  <c r="Y22"/>
  <c r="M630" i="1"/>
  <c r="I548"/>
  <c r="M107"/>
  <c r="O31" i="5"/>
  <c r="L562" i="1" s="1"/>
  <c r="O25" i="5"/>
  <c r="L410" i="1"/>
  <c r="N396"/>
  <c r="U147"/>
  <c r="N137"/>
  <c r="U137"/>
  <c r="F67" i="9"/>
  <c r="L136" i="1" s="1"/>
  <c r="L134"/>
  <c r="G220" i="8"/>
  <c r="H465" i="1"/>
  <c r="Z22" i="4"/>
  <c r="H338" i="1"/>
  <c r="Y22" i="4"/>
  <c r="Z16"/>
  <c r="H188" i="1"/>
  <c r="T89"/>
  <c r="M89"/>
  <c r="F86" i="9"/>
  <c r="L155" i="1" s="1"/>
  <c r="AB11" i="4"/>
  <c r="AB31"/>
  <c r="U689" i="1"/>
  <c r="N689"/>
  <c r="M679"/>
  <c r="T679"/>
  <c r="F346" i="9"/>
  <c r="L652" i="1" s="1"/>
  <c r="H339"/>
  <c r="H176" i="8"/>
  <c r="I304" i="1"/>
  <c r="I302"/>
  <c r="F42" i="8"/>
  <c r="G111" i="1" s="1"/>
  <c r="G110"/>
  <c r="L362" i="9"/>
  <c r="Y668" i="1"/>
  <c r="F350" i="9"/>
  <c r="L656" i="1" s="1"/>
  <c r="F272" i="8"/>
  <c r="G518" i="1"/>
  <c r="F340" i="8"/>
  <c r="G646" i="1" s="1"/>
  <c r="F242" i="8"/>
  <c r="G488" i="1"/>
  <c r="F212" i="9"/>
  <c r="L456" i="1" s="1"/>
  <c r="F30" i="9"/>
  <c r="L98" i="1"/>
  <c r="AA32" i="4"/>
  <c r="F346" i="8"/>
  <c r="G652" i="1"/>
  <c r="F237" i="8"/>
  <c r="G483" i="1" s="1"/>
  <c r="F146" i="8"/>
  <c r="G274" i="1"/>
  <c r="F216" i="9"/>
  <c r="L461" i="1" s="1"/>
  <c r="AA16" i="5"/>
  <c r="AA11"/>
  <c r="AA10"/>
  <c r="N32" i="4"/>
  <c r="G579" i="1"/>
  <c r="B26" i="4"/>
  <c r="AC26"/>
  <c r="F268" i="9"/>
  <c r="L514" i="1" s="1"/>
  <c r="N32" i="5"/>
  <c r="L579" i="1" s="1"/>
  <c r="G103"/>
  <c r="G31" i="8"/>
  <c r="H99" i="1" s="1"/>
  <c r="H192" i="8"/>
  <c r="I435" i="1" s="1"/>
  <c r="Z15" i="5"/>
  <c r="I392" i="9"/>
  <c r="AA15" i="5"/>
  <c r="B24"/>
  <c r="L213" i="9"/>
  <c r="B30" i="5"/>
  <c r="M738" i="1"/>
  <c r="Y30" i="5"/>
  <c r="B25"/>
  <c r="Y25"/>
  <c r="Z25"/>
  <c r="N377" i="1"/>
  <c r="O23" i="5"/>
  <c r="L372" i="1"/>
  <c r="AA23" i="5"/>
  <c r="Y23"/>
  <c r="M189" i="1"/>
  <c r="L129" i="9"/>
  <c r="B11" i="5"/>
  <c r="M59" i="1"/>
  <c r="G446" i="9"/>
  <c r="F428"/>
  <c r="L737" i="1" s="1"/>
  <c r="L660"/>
  <c r="F355" i="9"/>
  <c r="L661" i="1"/>
  <c r="I85" i="9"/>
  <c r="V154" i="1" s="1"/>
  <c r="V152"/>
  <c r="F55" i="9"/>
  <c r="L124" i="1" s="1"/>
  <c r="N10" i="4"/>
  <c r="G50" i="1"/>
  <c r="AB10" i="4"/>
  <c r="AA10"/>
  <c r="H38" i="1"/>
  <c r="AB15" i="5"/>
  <c r="G122" i="9"/>
  <c r="T248" i="1" s="1"/>
  <c r="Y15" i="5"/>
  <c r="O15"/>
  <c r="L183" i="1"/>
  <c r="M169"/>
  <c r="N25" i="4"/>
  <c r="G407" i="1"/>
  <c r="I396"/>
  <c r="Y25" i="4"/>
  <c r="N23"/>
  <c r="G369" i="1"/>
  <c r="O23" i="4"/>
  <c r="G372" i="1"/>
  <c r="H358"/>
  <c r="Y23" i="4"/>
  <c r="Z23"/>
  <c r="B11"/>
  <c r="G58" i="1"/>
  <c r="Z11" i="4"/>
  <c r="AA11"/>
  <c r="H58" i="1"/>
  <c r="I392" i="8"/>
  <c r="I700" i="1"/>
  <c r="G213" i="8"/>
  <c r="H457" i="1" s="1"/>
  <c r="H399" i="8"/>
  <c r="I707" i="1"/>
  <c r="O11" i="4"/>
  <c r="G72" i="1" s="1"/>
  <c r="AB9" i="5"/>
  <c r="I101" i="9"/>
  <c r="L101"/>
  <c r="Y16" i="5"/>
  <c r="H213" i="9"/>
  <c r="F180"/>
  <c r="L308" i="1"/>
  <c r="L90" i="9"/>
  <c r="Y26" i="5"/>
  <c r="Z26"/>
  <c r="L220" i="9"/>
  <c r="M339" i="1"/>
  <c r="M319"/>
  <c r="Y17" i="5"/>
  <c r="N209" i="1"/>
  <c r="L748"/>
  <c r="F443" i="9"/>
  <c r="L752" i="1"/>
  <c r="N511"/>
  <c r="H267" i="9"/>
  <c r="L275" i="1"/>
  <c r="F141" i="9"/>
  <c r="L269" i="1" s="1"/>
  <c r="L262"/>
  <c r="N31" i="4"/>
  <c r="O31"/>
  <c r="G562" i="1" s="1"/>
  <c r="Y31" i="4"/>
  <c r="B31"/>
  <c r="Y17"/>
  <c r="O17"/>
  <c r="G222" i="1"/>
  <c r="AA17" i="4"/>
  <c r="N11" i="5"/>
  <c r="L69" i="1" s="1"/>
  <c r="Z11" i="5"/>
  <c r="G371" i="9"/>
  <c r="T677" i="1" s="1"/>
  <c r="N20"/>
  <c r="L451" i="8"/>
  <c r="F451" s="1"/>
  <c r="G760" i="1" s="1"/>
  <c r="F91" i="8"/>
  <c r="G392"/>
  <c r="H699" i="1" s="1"/>
  <c r="F273" i="8"/>
  <c r="B22" i="4"/>
  <c r="F399" i="8" s="1"/>
  <c r="H392" i="9"/>
  <c r="G31"/>
  <c r="Y9" i="5"/>
  <c r="Y11"/>
  <c r="N15"/>
  <c r="H192" i="9"/>
  <c r="L371"/>
  <c r="Y10" i="5"/>
  <c r="B21"/>
  <c r="L453" i="1"/>
  <c r="I338"/>
  <c r="O22" i="5"/>
  <c r="F223" i="9" s="1"/>
  <c r="M338" i="1"/>
  <c r="X753"/>
  <c r="K446" i="9"/>
  <c r="X755" i="1"/>
  <c r="F168" i="9"/>
  <c r="L296" i="1"/>
  <c r="AB25" i="4"/>
  <c r="F315" i="8"/>
  <c r="G621" i="1" s="1"/>
  <c r="F307" i="9"/>
  <c r="F359" s="1"/>
  <c r="L665" i="1" s="1"/>
  <c r="F271" i="9"/>
  <c r="L517" i="1" s="1"/>
  <c r="Z9" i="5"/>
  <c r="F249" i="9"/>
  <c r="L495" i="1" s="1"/>
  <c r="F164" i="9"/>
  <c r="L292" i="1"/>
  <c r="F77" i="9"/>
  <c r="L146" i="1"/>
  <c r="F50" i="9"/>
  <c r="L119" i="1"/>
  <c r="N26" i="4"/>
  <c r="G427" i="1" s="1"/>
  <c r="Z26" i="4"/>
  <c r="Z24"/>
  <c r="AA22"/>
  <c r="AB16"/>
  <c r="Y9"/>
  <c r="O9"/>
  <c r="G33" i="1" s="1"/>
  <c r="F438" i="8"/>
  <c r="G747" i="1"/>
  <c r="F255" i="8"/>
  <c r="G501" i="1" s="1"/>
  <c r="F60" i="8"/>
  <c r="G129" i="1"/>
  <c r="F264" i="9"/>
  <c r="L510" i="1" s="1"/>
  <c r="F232" i="9"/>
  <c r="L478" i="1" s="1"/>
  <c r="F42" i="9"/>
  <c r="L111" i="1"/>
  <c r="B24" i="4"/>
  <c r="F355" i="8"/>
  <c r="G661" i="1"/>
  <c r="F249" i="8"/>
  <c r="G495" i="1" s="1"/>
  <c r="F55" i="8"/>
  <c r="G124" i="1" s="1"/>
  <c r="N528"/>
  <c r="F421" i="9"/>
  <c r="L730" i="1" s="1"/>
  <c r="F328" i="9"/>
  <c r="L634" i="1" s="1"/>
  <c r="F315" i="9"/>
  <c r="L621" i="1"/>
  <c r="F146" i="9"/>
  <c r="L274" i="1" s="1"/>
  <c r="F73" i="9"/>
  <c r="L142" i="1"/>
  <c r="Z31" i="4"/>
  <c r="Y26"/>
  <c r="Z25"/>
  <c r="N22"/>
  <c r="G350" i="1" s="1"/>
  <c r="AA21" i="4"/>
  <c r="B17"/>
  <c r="F443" i="8"/>
  <c r="G752" i="1"/>
  <c r="F434" i="8"/>
  <c r="G743" i="1" s="1"/>
  <c r="F391" i="8"/>
  <c r="G698" i="1" s="1"/>
  <c r="F328" i="8"/>
  <c r="G634" i="1" s="1"/>
  <c r="F158" i="8"/>
  <c r="G286" i="1" s="1"/>
  <c r="F121" i="8"/>
  <c r="G247" i="1" s="1"/>
  <c r="F67" i="8"/>
  <c r="G136" i="1"/>
  <c r="F428" i="8"/>
  <c r="G737" i="1" s="1"/>
  <c r="F411" i="8"/>
  <c r="G720" i="1"/>
  <c r="F350" i="8"/>
  <c r="G656" i="1" s="1"/>
  <c r="F323" i="8"/>
  <c r="G629" i="1" s="1"/>
  <c r="F264" i="8"/>
  <c r="G510" i="1" s="1"/>
  <c r="F212" i="8"/>
  <c r="G456" i="1" s="1"/>
  <c r="F173" i="8"/>
  <c r="G301" i="1" s="1"/>
  <c r="F164" i="8"/>
  <c r="G292" i="1"/>
  <c r="F151" i="8"/>
  <c r="G279" i="1" s="1"/>
  <c r="F141" i="8"/>
  <c r="G269" i="1"/>
  <c r="F73" i="8"/>
  <c r="G142" i="1" s="1"/>
  <c r="F303" i="8"/>
  <c r="G608" i="1" s="1"/>
  <c r="F168" i="8"/>
  <c r="G296" i="1" s="1"/>
  <c r="F77" i="8"/>
  <c r="G146" i="1" s="1"/>
  <c r="F50" i="8"/>
  <c r="G119" i="1" s="1"/>
  <c r="G188"/>
  <c r="AC16" i="4"/>
  <c r="N338" i="1"/>
  <c r="B32" i="5"/>
  <c r="AD32" s="1"/>
  <c r="O30"/>
  <c r="B23"/>
  <c r="Z23"/>
  <c r="G129" i="9"/>
  <c r="M256" i="1" s="1"/>
  <c r="Z16" i="5"/>
  <c r="F395" i="9"/>
  <c r="F416"/>
  <c r="L725" i="1"/>
  <c r="Z24" i="5"/>
  <c r="F273" i="9"/>
  <c r="I129"/>
  <c r="N189" i="1"/>
  <c r="N59"/>
  <c r="O11" i="5"/>
  <c r="L72" i="1"/>
  <c r="AB10" i="5"/>
  <c r="Z10"/>
  <c r="O10"/>
  <c r="M38" i="1"/>
  <c r="N19"/>
  <c r="H371" i="9"/>
  <c r="F362"/>
  <c r="L668" i="1" s="1"/>
  <c r="L304" i="9"/>
  <c r="F274"/>
  <c r="F275" s="1"/>
  <c r="L521" i="1" s="1"/>
  <c r="L520"/>
  <c r="AB17" i="5"/>
  <c r="M208" i="1"/>
  <c r="Z17" i="5"/>
  <c r="O17"/>
  <c r="L222" i="1" s="1"/>
  <c r="M304"/>
  <c r="T304"/>
  <c r="O30" i="4"/>
  <c r="O25"/>
  <c r="G410" i="1" s="1"/>
  <c r="G413" s="1"/>
  <c r="B25" i="4"/>
  <c r="Y24"/>
  <c r="O24"/>
  <c r="AA16"/>
  <c r="Z15"/>
  <c r="O15"/>
  <c r="Z9"/>
  <c r="AA25"/>
  <c r="AA24"/>
  <c r="AB23"/>
  <c r="O21"/>
  <c r="N17"/>
  <c r="O16"/>
  <c r="F402" i="8" s="1"/>
  <c r="G711" i="1" s="1"/>
  <c r="N11" i="4"/>
  <c r="G69" i="1" s="1"/>
  <c r="G75" s="1"/>
  <c r="B10" i="4"/>
  <c r="AC10" s="1"/>
  <c r="AB9"/>
  <c r="N9"/>
  <c r="O24" i="5"/>
  <c r="AB21" i="4"/>
  <c r="N21"/>
  <c r="F217" i="8" s="1"/>
  <c r="N16" i="4"/>
  <c r="G528" i="1"/>
  <c r="AC30" i="4"/>
  <c r="G415" i="1"/>
  <c r="G19"/>
  <c r="G36" s="1"/>
  <c r="AD9" i="4"/>
  <c r="AC9"/>
  <c r="T513" i="1"/>
  <c r="M513"/>
  <c r="M465"/>
  <c r="T465"/>
  <c r="AD26" i="4"/>
  <c r="G376" i="1"/>
  <c r="AD24" i="4"/>
  <c r="AC24"/>
  <c r="F126" i="9"/>
  <c r="L180" i="1"/>
  <c r="F308" i="8"/>
  <c r="G559" i="1"/>
  <c r="Y226"/>
  <c r="M227"/>
  <c r="Y256"/>
  <c r="M257"/>
  <c r="AC11" i="4"/>
  <c r="L613" i="1"/>
  <c r="AD17" i="5"/>
  <c r="AC17"/>
  <c r="L208" i="1"/>
  <c r="F90" i="9"/>
  <c r="L159" i="1"/>
  <c r="Y159"/>
  <c r="AC11" i="5"/>
  <c r="L58" i="1"/>
  <c r="AD11" i="5"/>
  <c r="F220" i="8"/>
  <c r="F224" s="1"/>
  <c r="G470" i="1" s="1"/>
  <c r="AC22" i="4"/>
  <c r="G160" i="1"/>
  <c r="F93" i="8"/>
  <c r="G162" i="1"/>
  <c r="AD24" i="5"/>
  <c r="AC24"/>
  <c r="L376" i="1"/>
  <c r="V699"/>
  <c r="N700"/>
  <c r="AC21" i="5"/>
  <c r="AD21"/>
  <c r="L319" i="1"/>
  <c r="Y677"/>
  <c r="M678"/>
  <c r="M99"/>
  <c r="T99"/>
  <c r="G519"/>
  <c r="M677"/>
  <c r="AC31" i="4"/>
  <c r="AD31"/>
  <c r="G547" i="1"/>
  <c r="G565" s="1"/>
  <c r="N513"/>
  <c r="U513"/>
  <c r="F36" i="8"/>
  <c r="F37" s="1"/>
  <c r="G106" i="1" s="1"/>
  <c r="M248"/>
  <c r="T755"/>
  <c r="M755"/>
  <c r="AD30" i="5"/>
  <c r="L528" i="1"/>
  <c r="AC30" i="5"/>
  <c r="G208" i="1"/>
  <c r="AD17" i="4"/>
  <c r="F122" i="8"/>
  <c r="G248" i="1"/>
  <c r="AC17" i="4"/>
  <c r="Y465" i="1"/>
  <c r="M466"/>
  <c r="AD11" i="4"/>
  <c r="F222" i="8"/>
  <c r="G468" i="1" s="1"/>
  <c r="U609"/>
  <c r="N609"/>
  <c r="N435"/>
  <c r="U435"/>
  <c r="U699"/>
  <c r="N699"/>
  <c r="N457"/>
  <c r="U457"/>
  <c r="V226"/>
  <c r="N227"/>
  <c r="L395"/>
  <c r="AD25" i="5"/>
  <c r="AC25"/>
  <c r="Y457" i="1"/>
  <c r="M458"/>
  <c r="L169"/>
  <c r="F122" i="9"/>
  <c r="L248" i="1"/>
  <c r="AC15" i="5"/>
  <c r="AD15"/>
  <c r="F101" i="8"/>
  <c r="G226" i="1" s="1"/>
  <c r="V256"/>
  <c r="N257"/>
  <c r="L703"/>
  <c r="L567"/>
  <c r="G38"/>
  <c r="G56"/>
  <c r="F31" i="8"/>
  <c r="G99" i="1" s="1"/>
  <c r="F10" i="8"/>
  <c r="G77" i="1" s="1"/>
  <c r="G333"/>
  <c r="G542"/>
  <c r="M610"/>
  <c r="Y609"/>
  <c r="N677"/>
  <c r="U677"/>
  <c r="L519"/>
  <c r="L358"/>
  <c r="AC23" i="5"/>
  <c r="AD23"/>
  <c r="F213" i="9"/>
  <c r="L457" i="1" s="1"/>
  <c r="G219"/>
  <c r="L390"/>
  <c r="G183"/>
  <c r="F127" i="8"/>
  <c r="L53" i="1"/>
  <c r="T256"/>
  <c r="L542"/>
  <c r="G200"/>
  <c r="F401" i="8"/>
  <c r="F131"/>
  <c r="G259" i="1"/>
  <c r="G30"/>
  <c r="F35" i="8"/>
  <c r="F87"/>
  <c r="G156" i="1"/>
  <c r="G395"/>
  <c r="AD25" i="4"/>
  <c r="AC25"/>
  <c r="L186" i="1"/>
  <c r="G614"/>
  <c r="F360" i="8"/>
  <c r="G666" i="1" s="1"/>
  <c r="L253"/>
  <c r="G105"/>
  <c r="G710"/>
  <c r="G104"/>
  <c r="G254"/>
  <c r="M708"/>
  <c r="Y707"/>
  <c r="N548"/>
  <c r="AA31" i="5"/>
  <c r="Z31"/>
  <c r="Y31"/>
  <c r="B16"/>
  <c r="F129" i="9" s="1"/>
  <c r="G399"/>
  <c r="O16" i="5"/>
  <c r="I446" i="9"/>
  <c r="V755" i="1"/>
  <c r="V753"/>
  <c r="AC26" i="5"/>
  <c r="AD26"/>
  <c r="H283" i="9"/>
  <c r="N587" i="1" s="1"/>
  <c r="H220" i="9"/>
  <c r="H399"/>
  <c r="B22" i="5"/>
  <c r="AD22" s="1"/>
  <c r="V248" i="1"/>
  <c r="N249"/>
  <c r="N169"/>
  <c r="H101" i="9"/>
  <c r="N226" i="1" s="1"/>
  <c r="H122" i="9"/>
  <c r="U248" i="1" s="1"/>
  <c r="L89" i="9"/>
  <c r="Y158" i="1" s="1"/>
  <c r="L450" i="9"/>
  <c r="Y759" i="1"/>
  <c r="F359" i="8"/>
  <c r="G665" i="1" s="1"/>
  <c r="Y309"/>
  <c r="F181" i="9"/>
  <c r="L309" i="1" s="1"/>
  <c r="T587"/>
  <c r="M587"/>
  <c r="L283" i="9"/>
  <c r="Y587" i="1" s="1"/>
  <c r="M568"/>
  <c r="AA25" i="5"/>
  <c r="AB25"/>
  <c r="N25"/>
  <c r="L407" i="1" s="1"/>
  <c r="L413" s="1"/>
  <c r="M376"/>
  <c r="G213" i="9"/>
  <c r="T457" i="1" s="1"/>
  <c r="AA24" i="5"/>
  <c r="N24"/>
  <c r="L387" i="1"/>
  <c r="L393"/>
  <c r="G192" i="9"/>
  <c r="T435" i="1" s="1"/>
  <c r="L451" i="9"/>
  <c r="F130"/>
  <c r="L258" i="1" s="1"/>
  <c r="F400" i="9"/>
  <c r="L709" i="1" s="1"/>
  <c r="G310"/>
  <c r="F184" i="8"/>
  <c r="G312" i="1"/>
  <c r="N359"/>
  <c r="N23" i="5"/>
  <c r="AB23"/>
  <c r="I213" i="9"/>
  <c r="N458" i="1" s="1"/>
  <c r="F340" i="9"/>
  <c r="L646" i="1" s="1"/>
  <c r="G283" i="8"/>
  <c r="H587" i="1"/>
  <c r="Z21" i="4"/>
  <c r="L369" i="1"/>
  <c r="M588"/>
  <c r="U587"/>
  <c r="V457"/>
  <c r="F177" i="9"/>
  <c r="L305" i="1"/>
  <c r="AC22" i="5"/>
  <c r="L338" i="1"/>
  <c r="F220" i="9"/>
  <c r="F192"/>
  <c r="L435" i="1" s="1"/>
  <c r="F132" i="9"/>
  <c r="L203" i="1"/>
  <c r="F402" i="9"/>
  <c r="L711" i="1" s="1"/>
  <c r="Y760"/>
  <c r="F451" i="9"/>
  <c r="L760" i="1"/>
  <c r="U707"/>
  <c r="N707"/>
  <c r="M707"/>
  <c r="T707"/>
  <c r="M435"/>
  <c r="U465"/>
  <c r="N465"/>
  <c r="AC16" i="5"/>
  <c r="AD16"/>
  <c r="L260" i="1"/>
  <c r="L465"/>
  <c r="J17" i="4"/>
  <c r="J17" i="5"/>
  <c r="K23" i="4"/>
  <c r="I11"/>
  <c r="J23"/>
  <c r="J25"/>
  <c r="K22" i="5"/>
  <c r="K21"/>
  <c r="K32" i="4"/>
  <c r="K31" i="5"/>
  <c r="J15"/>
  <c r="I10"/>
  <c r="I31" i="4"/>
  <c r="J32" i="5"/>
  <c r="J10"/>
  <c r="K15" i="4"/>
  <c r="K11"/>
  <c r="J31" i="5"/>
  <c r="K31" i="4"/>
  <c r="K21"/>
  <c r="J9" i="5"/>
  <c r="K23"/>
  <c r="K15"/>
  <c r="K30"/>
  <c r="I21" i="4"/>
  <c r="I17"/>
  <c r="I32" i="5"/>
  <c r="K10"/>
  <c r="I31"/>
  <c r="K17" i="4"/>
  <c r="J21"/>
  <c r="K17" i="5"/>
  <c r="K9"/>
  <c r="J31" i="4"/>
  <c r="J16"/>
  <c r="I16" i="5"/>
  <c r="I32" i="4"/>
  <c r="I22"/>
  <c r="J11" i="5"/>
  <c r="I17"/>
  <c r="J22" i="4"/>
  <c r="K9"/>
  <c r="J24" i="5"/>
  <c r="K22" i="4"/>
  <c r="K10"/>
  <c r="J23" i="5"/>
  <c r="J22"/>
  <c r="I23" i="4"/>
  <c r="J15"/>
  <c r="J9"/>
  <c r="I9" i="5"/>
  <c r="I15" i="4"/>
  <c r="K24"/>
  <c r="K24" i="5"/>
  <c r="J16"/>
  <c r="J11" i="4"/>
  <c r="K11" i="5"/>
  <c r="I30"/>
  <c r="K26" i="4"/>
  <c r="I30"/>
  <c r="I24"/>
  <c r="J21" i="5"/>
  <c r="I26"/>
  <c r="J26" i="4"/>
  <c r="K16"/>
  <c r="K26" i="5"/>
  <c r="K25"/>
  <c r="J24" i="4"/>
  <c r="I10"/>
  <c r="J26" i="5"/>
  <c r="I16" i="4"/>
  <c r="J30"/>
  <c r="I23" i="5"/>
  <c r="I15"/>
  <c r="I26" i="4"/>
  <c r="J25" i="5"/>
  <c r="K25" i="4"/>
  <c r="J30" i="5"/>
  <c r="I21"/>
  <c r="I22"/>
  <c r="J10" i="4"/>
  <c r="I9"/>
  <c r="I25"/>
  <c r="I25" i="5"/>
  <c r="J32" i="4"/>
  <c r="K16" i="5"/>
  <c r="K32"/>
  <c r="I11"/>
  <c r="K30" i="4"/>
  <c r="I24" i="5"/>
  <c r="F379" i="8"/>
  <c r="F14" i="9"/>
  <c r="F290"/>
  <c r="F198"/>
  <c r="F194" i="8"/>
  <c r="F336"/>
  <c r="F15"/>
  <c r="F424" i="9"/>
  <c r="F374" i="8"/>
  <c r="F390"/>
  <c r="F377"/>
  <c r="F376" i="9"/>
  <c r="F105" i="8"/>
  <c r="F211" i="9"/>
  <c r="F124" i="8"/>
  <c r="F288"/>
  <c r="F196" i="9"/>
  <c r="F116" i="8"/>
  <c r="F108" i="9"/>
  <c r="F106"/>
  <c r="F199" i="8"/>
  <c r="F290"/>
  <c r="F394" i="9"/>
  <c r="F197"/>
  <c r="F289" i="8"/>
  <c r="F140"/>
  <c r="F286" i="9"/>
  <c r="F287" i="8"/>
  <c r="F390" i="9"/>
  <c r="F394" i="8"/>
  <c r="F18"/>
  <c r="F63" i="9"/>
  <c r="F49" i="8"/>
  <c r="F286"/>
  <c r="F378" i="9"/>
  <c r="F375" i="8"/>
  <c r="F288" i="9"/>
  <c r="F215" i="8"/>
  <c r="F373"/>
  <c r="F306" i="9"/>
  <c r="F386" i="8"/>
  <c r="F109" i="9"/>
  <c r="F298"/>
  <c r="F49"/>
  <c r="F116"/>
  <c r="F200" i="8"/>
  <c r="F104" i="9"/>
  <c r="F25"/>
  <c r="F33"/>
  <c r="F302" i="8"/>
  <c r="F103"/>
  <c r="F322" i="9"/>
  <c r="F154"/>
  <c r="F108" i="8"/>
  <c r="F374" i="9"/>
  <c r="F16" i="8"/>
  <c r="F291" i="9"/>
  <c r="F410"/>
  <c r="F29"/>
  <c r="F285"/>
  <c r="F231" i="8"/>
  <c r="F211"/>
  <c r="F285"/>
  <c r="F379" i="9"/>
  <c r="F14" i="8"/>
  <c r="F120" i="9"/>
  <c r="F154" i="8"/>
  <c r="F106"/>
  <c r="F105" i="9"/>
  <c r="F25" i="8"/>
  <c r="F13" i="9"/>
  <c r="F195" i="8"/>
  <c r="F104"/>
  <c r="F63"/>
  <c r="F215" i="9"/>
  <c r="F15"/>
  <c r="F376" i="8"/>
  <c r="F17"/>
  <c r="F373" i="9"/>
  <c r="F196" i="8"/>
  <c r="F302" i="9"/>
  <c r="F424" i="8"/>
  <c r="F12"/>
  <c r="F287" i="9"/>
  <c r="F207" i="8"/>
  <c r="F231" i="9"/>
  <c r="F12"/>
  <c r="F322" i="8"/>
  <c r="F107" i="9"/>
  <c r="F245"/>
  <c r="F107" i="8"/>
  <c r="F375" i="9"/>
  <c r="F298" i="8"/>
  <c r="F18" i="9"/>
  <c r="F17"/>
  <c r="F16"/>
  <c r="F140"/>
  <c r="F109" i="8"/>
  <c r="F194" i="9"/>
  <c r="F410" i="8"/>
  <c r="F378"/>
  <c r="F29"/>
  <c r="F33"/>
  <c r="F289" i="9"/>
  <c r="F245" i="8"/>
  <c r="F13"/>
  <c r="F336" i="9"/>
  <c r="F306" i="8"/>
  <c r="F200" i="9"/>
  <c r="F377"/>
  <c r="F195"/>
  <c r="F386"/>
  <c r="F291" i="8"/>
  <c r="F199" i="9"/>
  <c r="F207"/>
  <c r="F103"/>
  <c r="F197" i="8"/>
  <c r="F198"/>
  <c r="F120"/>
  <c r="F124" i="9"/>
  <c r="K283" i="8" l="1"/>
  <c r="K304"/>
  <c r="J368"/>
  <c r="G674" i="1" s="1"/>
  <c r="K399" i="9"/>
  <c r="X707" i="1" s="1"/>
  <c r="K129" i="9"/>
  <c r="X256" i="1" s="1"/>
  <c r="J455" i="8"/>
  <c r="J371"/>
  <c r="J94"/>
  <c r="J392"/>
  <c r="J31"/>
  <c r="J10"/>
  <c r="J220" i="9"/>
  <c r="W465" i="1" s="1"/>
  <c r="J192" i="9"/>
  <c r="W435" i="1" s="1"/>
  <c r="J276" i="9"/>
  <c r="J213"/>
  <c r="W457" i="1" s="1"/>
  <c r="J101" i="9"/>
  <c r="W226" i="1" s="1"/>
  <c r="J185" i="9"/>
  <c r="J122"/>
  <c r="W248" i="1" s="1"/>
  <c r="J129" i="8"/>
  <c r="J399"/>
  <c r="K129"/>
  <c r="K399"/>
  <c r="J304"/>
  <c r="J367"/>
  <c r="J283"/>
  <c r="J304" i="9"/>
  <c r="W609" i="1" s="1"/>
  <c r="J367" i="9"/>
  <c r="J283"/>
  <c r="W587" i="1" s="1"/>
  <c r="J101" i="8"/>
  <c r="J122"/>
  <c r="J185"/>
  <c r="J31" i="9"/>
  <c r="W99" i="1" s="1"/>
  <c r="J455" i="9"/>
  <c r="J10"/>
  <c r="W77" i="1" s="1"/>
  <c r="J371" i="9"/>
  <c r="W677" i="1" s="1"/>
  <c r="J94" i="9"/>
  <c r="J392"/>
  <c r="W699" i="1" s="1"/>
  <c r="K220" i="8"/>
  <c r="K371"/>
  <c r="K10"/>
  <c r="K31"/>
  <c r="J456"/>
  <c r="G765" i="1" s="1"/>
  <c r="J95" i="8"/>
  <c r="G164" i="1" s="1"/>
  <c r="K392" i="8"/>
  <c r="J220"/>
  <c r="J399" i="9"/>
  <c r="W707" i="1" s="1"/>
  <c r="J129" i="9"/>
  <c r="W256" i="1" s="1"/>
  <c r="K10" i="9"/>
  <c r="X77" i="1" s="1"/>
  <c r="J456" i="9"/>
  <c r="J95"/>
  <c r="K392"/>
  <c r="X699" i="1" s="1"/>
  <c r="K31" i="9"/>
  <c r="X99" i="1" s="1"/>
  <c r="K371" i="9"/>
  <c r="X677" i="1" s="1"/>
  <c r="J213" i="8"/>
  <c r="J276"/>
  <c r="J192"/>
  <c r="K283" i="9"/>
  <c r="X587" i="1" s="1"/>
  <c r="J368" i="9"/>
  <c r="K304"/>
  <c r="X609" i="1" s="1"/>
  <c r="K122" i="9"/>
  <c r="X248" i="1" s="1"/>
  <c r="J186" i="9"/>
  <c r="K101"/>
  <c r="X226" i="1" s="1"/>
  <c r="K213" i="8"/>
  <c r="J277"/>
  <c r="G523" i="1" s="1"/>
  <c r="K192" i="8"/>
  <c r="K122"/>
  <c r="J186"/>
  <c r="G314" i="1" s="1"/>
  <c r="K101" i="8"/>
  <c r="K213" i="9"/>
  <c r="X457" i="1" s="1"/>
  <c r="K192" i="9"/>
  <c r="X435" i="1" s="1"/>
  <c r="J277" i="9"/>
  <c r="K220"/>
  <c r="X465" i="1" s="1"/>
  <c r="L256"/>
  <c r="V435"/>
  <c r="N436"/>
  <c r="G206"/>
  <c r="L469"/>
  <c r="F224" i="9"/>
  <c r="L470" i="1" s="1"/>
  <c r="F403" i="8"/>
  <c r="G712" i="1" s="1"/>
  <c r="G707"/>
  <c r="F269" i="8"/>
  <c r="G515" i="1" s="1"/>
  <c r="G462"/>
  <c r="Y669"/>
  <c r="F363" i="9"/>
  <c r="L669" i="1" s="1"/>
  <c r="N31" i="5"/>
  <c r="M547" i="1"/>
  <c r="G304" i="9"/>
  <c r="B31" i="5"/>
  <c r="AB31"/>
  <c r="Y435" i="1"/>
  <c r="M436"/>
  <c r="O21" i="5"/>
  <c r="Y21"/>
  <c r="AA21"/>
  <c r="AB21"/>
  <c r="N21"/>
  <c r="N16"/>
  <c r="G101" i="9"/>
  <c r="AB16" i="5"/>
  <c r="F182" i="9"/>
  <c r="M188" i="1"/>
  <c r="M20"/>
  <c r="L31" i="9"/>
  <c r="L392"/>
  <c r="L695" i="1"/>
  <c r="F391" i="9"/>
  <c r="L698" i="1" s="1"/>
  <c r="U653"/>
  <c r="N653"/>
  <c r="L504"/>
  <c r="F259" i="9"/>
  <c r="L505" i="1" s="1"/>
  <c r="H568"/>
  <c r="L304" i="8"/>
  <c r="H610" i="1" s="1"/>
  <c r="Z30" i="4"/>
  <c r="F364" i="8"/>
  <c r="H528" i="1"/>
  <c r="AA30" i="4"/>
  <c r="H320" i="1"/>
  <c r="L213" i="8"/>
  <c r="H458" i="1" s="1"/>
  <c r="I170"/>
  <c r="I101" i="8"/>
  <c r="I227" i="1" s="1"/>
  <c r="I371" i="8"/>
  <c r="I678" i="1" s="1"/>
  <c r="N15" i="4"/>
  <c r="F453" i="8"/>
  <c r="AA15" i="4"/>
  <c r="F101" i="9"/>
  <c r="L226" i="1" s="1"/>
  <c r="U226"/>
  <c r="N248"/>
  <c r="F447" i="9"/>
  <c r="L756" i="1" s="1"/>
  <c r="F88" i="8"/>
  <c r="G157" i="1" s="1"/>
  <c r="G465"/>
  <c r="F132" i="8"/>
  <c r="AD10" i="4"/>
  <c r="G330" i="1"/>
  <c r="F127" i="9"/>
  <c r="G338" i="1"/>
  <c r="G356" s="1"/>
  <c r="AD22" i="4"/>
  <c r="G390" i="1"/>
  <c r="G393" s="1"/>
  <c r="F365" i="9"/>
  <c r="V707" i="1"/>
  <c r="Y248"/>
  <c r="M731"/>
  <c r="W662"/>
  <c r="Y77"/>
  <c r="M78"/>
  <c r="M19"/>
  <c r="F91" i="9"/>
  <c r="F452"/>
  <c r="G10"/>
  <c r="O9" i="5"/>
  <c r="G392" i="9"/>
  <c r="N9" i="5"/>
  <c r="N640" i="1"/>
  <c r="U640"/>
  <c r="L637"/>
  <c r="F333" i="9"/>
  <c r="L639" i="1" s="1"/>
  <c r="T617"/>
  <c r="M617"/>
  <c r="L499"/>
  <c r="F255" i="9"/>
  <c r="L501" i="1" s="1"/>
  <c r="U496"/>
  <c r="N496"/>
  <c r="L486"/>
  <c r="F242" i="9"/>
  <c r="L488" i="1" s="1"/>
  <c r="J176" i="9"/>
  <c r="W304" i="1" s="1"/>
  <c r="W302"/>
  <c r="F173" i="9"/>
  <c r="L301" i="1" s="1"/>
  <c r="L297"/>
  <c r="AB32" i="4"/>
  <c r="B32"/>
  <c r="F304" i="8" s="1"/>
  <c r="Y32" i="4"/>
  <c r="Z32"/>
  <c r="O32"/>
  <c r="G582" i="1" s="1"/>
  <c r="Y21" i="4"/>
  <c r="H319" i="1"/>
  <c r="B21" i="4"/>
  <c r="G371" i="8"/>
  <c r="H677" i="1" s="1"/>
  <c r="G192" i="8"/>
  <c r="H435" i="1" s="1"/>
  <c r="L371" i="8"/>
  <c r="H678" i="1" s="1"/>
  <c r="L122" i="8"/>
  <c r="H249" i="1" s="1"/>
  <c r="F399" i="9"/>
  <c r="L188" i="1"/>
  <c r="M457"/>
  <c r="G203"/>
  <c r="F392" i="8"/>
  <c r="F371"/>
  <c r="G677" i="1" s="1"/>
  <c r="AC32" i="5"/>
  <c r="L353" i="1"/>
  <c r="L356" s="1"/>
  <c r="L75"/>
  <c r="I371" i="9"/>
  <c r="AB24" i="5"/>
  <c r="AD16" i="4"/>
  <c r="AA26" i="5"/>
  <c r="M713" i="1"/>
  <c r="F121" i="9"/>
  <c r="L247" i="1" s="1"/>
  <c r="O26" i="4"/>
  <c r="G430" i="1" s="1"/>
  <c r="G433" s="1"/>
  <c r="F450" i="8"/>
  <c r="G759" i="1" s="1"/>
  <c r="AA30" i="5"/>
  <c r="I304" i="9"/>
  <c r="I283"/>
  <c r="N529" i="1"/>
  <c r="Z30" i="5"/>
  <c r="I10" i="9"/>
  <c r="F453"/>
  <c r="L762" i="1" s="1"/>
  <c r="I31" i="9"/>
  <c r="F92"/>
  <c r="L161" i="1" s="1"/>
  <c r="AB11" i="5"/>
  <c r="H31" i="9"/>
  <c r="B10" i="5"/>
  <c r="F89" i="9"/>
  <c r="L158" i="1" s="1"/>
  <c r="F450" i="9"/>
  <c r="L759" i="1" s="1"/>
  <c r="L746"/>
  <c r="F438" i="9"/>
  <c r="L747" i="1" s="1"/>
  <c r="T647"/>
  <c r="M647"/>
  <c r="L605"/>
  <c r="F303" i="9"/>
  <c r="L608" i="1" s="1"/>
  <c r="L482"/>
  <c r="F237" i="9"/>
  <c r="L483" i="1" s="1"/>
  <c r="L280"/>
  <c r="F158" i="9"/>
  <c r="L286" i="1" s="1"/>
  <c r="H213" i="8"/>
  <c r="I457" i="1" s="1"/>
  <c r="B23" i="4"/>
  <c r="I358" i="1"/>
  <c r="L220" i="8"/>
  <c r="H466" i="1" s="1"/>
  <c r="L399" i="8"/>
  <c r="H708" i="1" s="1"/>
  <c r="I208"/>
  <c r="H371" i="8"/>
  <c r="I677" i="1" s="1"/>
  <c r="H101" i="8"/>
  <c r="I226" i="1" s="1"/>
  <c r="L272" i="9"/>
  <c r="F216" i="8"/>
  <c r="L271"/>
  <c r="AA32" i="5"/>
  <c r="O32"/>
  <c r="Y32"/>
  <c r="AB32"/>
  <c r="Z32"/>
  <c r="AB26"/>
  <c r="O26"/>
  <c r="L430" i="1" s="1"/>
  <c r="L622"/>
  <c r="F323" i="9"/>
  <c r="L629" i="1" s="1"/>
  <c r="T601"/>
  <c r="M601"/>
  <c r="L601"/>
  <c r="H176" i="9"/>
  <c r="N302" i="1"/>
  <c r="T287"/>
  <c r="M287"/>
  <c r="G85" i="9"/>
  <c r="M152" i="1"/>
  <c r="AA26" i="4"/>
  <c r="F274" i="8"/>
  <c r="I416" i="1"/>
  <c r="I213" i="8"/>
  <c r="I458" i="1" s="1"/>
  <c r="F125" i="8"/>
  <c r="F395"/>
  <c r="N10" i="5"/>
  <c r="L50" i="1" s="1"/>
  <c r="N26" i="5"/>
  <c r="L427" i="1" s="1"/>
  <c r="L433" s="1"/>
  <c r="G85" i="8"/>
  <c r="H154" i="1" s="1"/>
  <c r="L251"/>
  <c r="G246"/>
  <c r="G442"/>
  <c r="G441"/>
  <c r="L229"/>
  <c r="L451"/>
  <c r="L443"/>
  <c r="F292" i="8"/>
  <c r="G597" i="1" s="1"/>
  <c r="G596"/>
  <c r="L693"/>
  <c r="L439"/>
  <c r="L684"/>
  <c r="L444"/>
  <c r="F201" i="9"/>
  <c r="L445" i="1" s="1"/>
  <c r="G612"/>
  <c r="L642"/>
  <c r="G81"/>
  <c r="G491"/>
  <c r="L594"/>
  <c r="G102"/>
  <c r="G97"/>
  <c r="G685"/>
  <c r="G719"/>
  <c r="L438"/>
  <c r="G235"/>
  <c r="F110" i="8"/>
  <c r="G236" i="1" s="1"/>
  <c r="L268"/>
  <c r="L84"/>
  <c r="L85"/>
  <c r="L86"/>
  <c r="F19" i="9"/>
  <c r="L87" i="1" s="1"/>
  <c r="G603"/>
  <c r="L682"/>
  <c r="G233"/>
  <c r="L491"/>
  <c r="L233"/>
  <c r="G628"/>
  <c r="L80"/>
  <c r="F20" i="9"/>
  <c r="L477" i="1"/>
  <c r="G451"/>
  <c r="L592"/>
  <c r="G80"/>
  <c r="G733"/>
  <c r="L607"/>
  <c r="G440"/>
  <c r="L680"/>
  <c r="G85"/>
  <c r="G683"/>
  <c r="L83"/>
  <c r="L460"/>
  <c r="G132"/>
  <c r="G230"/>
  <c r="G439"/>
  <c r="L81"/>
  <c r="G93"/>
  <c r="L231"/>
  <c r="G232"/>
  <c r="G282"/>
  <c r="L246"/>
  <c r="G82"/>
  <c r="F380" i="9"/>
  <c r="L687" i="1" s="1"/>
  <c r="L686"/>
  <c r="G590"/>
  <c r="G455"/>
  <c r="G477"/>
  <c r="L590"/>
  <c r="L97"/>
  <c r="L719"/>
  <c r="F292" i="9"/>
  <c r="L597" i="1" s="1"/>
  <c r="L596"/>
  <c r="G84"/>
  <c r="L681"/>
  <c r="G234"/>
  <c r="L282"/>
  <c r="L628"/>
  <c r="G229"/>
  <c r="G607"/>
  <c r="L102"/>
  <c r="L93"/>
  <c r="L230"/>
  <c r="F201" i="8"/>
  <c r="G445" i="1" s="1"/>
  <c r="G444"/>
  <c r="L242"/>
  <c r="L118"/>
  <c r="L603"/>
  <c r="F110" i="9"/>
  <c r="L236" i="1" s="1"/>
  <c r="L235"/>
  <c r="G693"/>
  <c r="L612"/>
  <c r="G680"/>
  <c r="G460"/>
  <c r="L593"/>
  <c r="G682"/>
  <c r="L685"/>
  <c r="G591"/>
  <c r="G118"/>
  <c r="L132"/>
  <c r="G86"/>
  <c r="F19" i="8"/>
  <c r="G87" i="1" s="1"/>
  <c r="G702"/>
  <c r="L697"/>
  <c r="G592"/>
  <c r="L591"/>
  <c r="G268"/>
  <c r="G594"/>
  <c r="L441"/>
  <c r="L702"/>
  <c r="G595"/>
  <c r="G443"/>
  <c r="L232"/>
  <c r="L234"/>
  <c r="G242"/>
  <c r="L440"/>
  <c r="G593"/>
  <c r="G251"/>
  <c r="L455"/>
  <c r="G231"/>
  <c r="L683"/>
  <c r="G684"/>
  <c r="G697"/>
  <c r="G681"/>
  <c r="L733"/>
  <c r="G83"/>
  <c r="G642"/>
  <c r="G438"/>
  <c r="L442"/>
  <c r="L595"/>
  <c r="L82"/>
  <c r="F380" i="8"/>
  <c r="G687" i="1" s="1"/>
  <c r="G686"/>
  <c r="G609" l="1"/>
  <c r="U304"/>
  <c r="N304"/>
  <c r="L582"/>
  <c r="L585" s="1"/>
  <c r="F309" i="9"/>
  <c r="F272"/>
  <c r="L518" i="1" s="1"/>
  <c r="Y518"/>
  <c r="V677"/>
  <c r="N678"/>
  <c r="M699"/>
  <c r="T699"/>
  <c r="F93" i="9"/>
  <c r="L162" i="1" s="1"/>
  <c r="L160"/>
  <c r="F366" i="9"/>
  <c r="L672" i="1" s="1"/>
  <c r="L671"/>
  <c r="L254"/>
  <c r="F179" i="9"/>
  <c r="L307" i="1" s="1"/>
  <c r="F128" i="9"/>
  <c r="L255" i="1" s="1"/>
  <c r="G260"/>
  <c r="F133" i="8"/>
  <c r="G261" i="1" s="1"/>
  <c r="F179" i="8"/>
  <c r="G307" i="1" s="1"/>
  <c r="F454" i="8"/>
  <c r="G763" i="1" s="1"/>
  <c r="G762"/>
  <c r="M100"/>
  <c r="Y99"/>
  <c r="T609"/>
  <c r="M609"/>
  <c r="L314"/>
  <c r="W314"/>
  <c r="W765"/>
  <c r="L765"/>
  <c r="J457" i="9"/>
  <c r="W764" i="1"/>
  <c r="L764"/>
  <c r="W313"/>
  <c r="L313"/>
  <c r="J187" i="9"/>
  <c r="F381"/>
  <c r="F397" i="8"/>
  <c r="F447"/>
  <c r="G756" i="1" s="1"/>
  <c r="G703"/>
  <c r="U99"/>
  <c r="N99"/>
  <c r="V587"/>
  <c r="N588"/>
  <c r="G252"/>
  <c r="F177" i="8"/>
  <c r="G305" i="1" s="1"/>
  <c r="G461"/>
  <c r="F268" i="8"/>
  <c r="G514" i="1" s="1"/>
  <c r="AC23" i="4"/>
  <c r="AD23"/>
  <c r="G358" i="1"/>
  <c r="V77"/>
  <c r="N78"/>
  <c r="V609"/>
  <c r="N610"/>
  <c r="F213" i="8"/>
  <c r="AC21" i="4"/>
  <c r="AD21"/>
  <c r="F192" i="8"/>
  <c r="G435" i="1" s="1"/>
  <c r="G319"/>
  <c r="G336" s="1"/>
  <c r="L30"/>
  <c r="F396" i="9"/>
  <c r="F35"/>
  <c r="L761" i="1"/>
  <c r="F454" i="9"/>
  <c r="L763" i="1" s="1"/>
  <c r="M700"/>
  <c r="Y699"/>
  <c r="L310"/>
  <c r="F184" i="9"/>
  <c r="L312" i="1" s="1"/>
  <c r="F217" i="9"/>
  <c r="L330" i="1"/>
  <c r="L336" s="1"/>
  <c r="L333"/>
  <c r="F218" i="9"/>
  <c r="L547" i="1"/>
  <c r="AD31" i="5"/>
  <c r="F283" i="9"/>
  <c r="L587" i="1" s="1"/>
  <c r="F304" i="9"/>
  <c r="AC31" i="5"/>
  <c r="L674" i="1"/>
  <c r="W674"/>
  <c r="L164"/>
  <c r="W164"/>
  <c r="W522"/>
  <c r="J278" i="9"/>
  <c r="L522" i="1"/>
  <c r="J457" i="8"/>
  <c r="G766" i="1" s="1"/>
  <c r="G764"/>
  <c r="F111" i="8"/>
  <c r="F20"/>
  <c r="F85" s="1"/>
  <c r="G154" i="1" s="1"/>
  <c r="F202" i="9"/>
  <c r="F218" i="8"/>
  <c r="F309"/>
  <c r="G699" i="1"/>
  <c r="L707"/>
  <c r="T77"/>
  <c r="M77"/>
  <c r="F131" i="9"/>
  <c r="L200" i="1"/>
  <c r="F401" i="9"/>
  <c r="L710" i="1" s="1"/>
  <c r="L559"/>
  <c r="F308" i="9"/>
  <c r="W523" i="1"/>
  <c r="L523"/>
  <c r="G522"/>
  <c r="J278" i="8"/>
  <c r="G524" i="1" s="1"/>
  <c r="G313"/>
  <c r="J187" i="8"/>
  <c r="G315" i="1" s="1"/>
  <c r="W673"/>
  <c r="L673"/>
  <c r="J369" i="9"/>
  <c r="F275" i="8"/>
  <c r="G521" i="1" s="1"/>
  <c r="G520"/>
  <c r="M154"/>
  <c r="T154"/>
  <c r="AD10" i="5"/>
  <c r="L38" i="1"/>
  <c r="L56" s="1"/>
  <c r="AC10" i="5"/>
  <c r="F371" i="9"/>
  <c r="L677" i="1" s="1"/>
  <c r="F31" i="9"/>
  <c r="F10"/>
  <c r="L77" i="1" s="1"/>
  <c r="F392" i="9"/>
  <c r="V99" i="1"/>
  <c r="N100"/>
  <c r="AC32" i="4"/>
  <c r="F283" i="8"/>
  <c r="G587" i="1" s="1"/>
  <c r="G567"/>
  <c r="G585" s="1"/>
  <c r="AD32" i="4"/>
  <c r="L33" i="1"/>
  <c r="F397" i="9"/>
  <c r="F36"/>
  <c r="F126" i="8"/>
  <c r="G180" i="1"/>
  <c r="G186" s="1"/>
  <c r="F396" i="8"/>
  <c r="F366"/>
  <c r="G672" i="1" s="1"/>
  <c r="G670"/>
  <c r="T226"/>
  <c r="M226"/>
  <c r="J96" i="9"/>
  <c r="W163" i="1"/>
  <c r="L163"/>
  <c r="G673"/>
  <c r="J369" i="8"/>
  <c r="G675" i="1" s="1"/>
  <c r="G163"/>
  <c r="J96" i="8"/>
  <c r="G165" i="1" s="1"/>
  <c r="L206"/>
  <c r="G88"/>
  <c r="L446"/>
  <c r="F381" i="8"/>
  <c r="F111" i="9"/>
  <c r="G237" i="1"/>
  <c r="L688"/>
  <c r="F202" i="8"/>
  <c r="L88" i="1"/>
  <c r="F293" i="9"/>
  <c r="F293" i="8"/>
  <c r="L9" i="1"/>
  <c r="F448" i="8" l="1"/>
  <c r="G757" i="1" s="1"/>
  <c r="G704"/>
  <c r="L699"/>
  <c r="F398" i="9"/>
  <c r="F360"/>
  <c r="L666" i="1" s="1"/>
  <c r="L614"/>
  <c r="F178" i="9"/>
  <c r="L306" i="1" s="1"/>
  <c r="L259"/>
  <c r="F133" i="9"/>
  <c r="L261" i="1" s="1"/>
  <c r="G463"/>
  <c r="F270" i="8"/>
  <c r="G516" i="1" s="1"/>
  <c r="L104"/>
  <c r="F87" i="9"/>
  <c r="L156" i="1" s="1"/>
  <c r="W766"/>
  <c r="L766"/>
  <c r="L565"/>
  <c r="F403" i="9"/>
  <c r="L712" i="1" s="1"/>
  <c r="F269" i="9"/>
  <c r="L515" i="1" s="1"/>
  <c r="L462"/>
  <c r="F219" i="9"/>
  <c r="L464" i="1" s="1"/>
  <c r="L705"/>
  <c r="F449" i="9"/>
  <c r="L758" i="1" s="1"/>
  <c r="W165"/>
  <c r="L165"/>
  <c r="L105"/>
  <c r="F88" i="9"/>
  <c r="L157" i="1" s="1"/>
  <c r="W675"/>
  <c r="L675"/>
  <c r="G615"/>
  <c r="F361" i="8"/>
  <c r="G667" i="1" s="1"/>
  <c r="W524"/>
  <c r="L524"/>
  <c r="G457"/>
  <c r="F219" i="8"/>
  <c r="G464" i="1" s="1"/>
  <c r="W315"/>
  <c r="L315"/>
  <c r="F361" i="9"/>
  <c r="L667" i="1" s="1"/>
  <c r="L615"/>
  <c r="F310" i="8"/>
  <c r="G616" i="1" s="1"/>
  <c r="F128" i="8"/>
  <c r="G253" i="1"/>
  <c r="F178" i="8"/>
  <c r="G306" i="1" s="1"/>
  <c r="L99"/>
  <c r="F37" i="9"/>
  <c r="F310"/>
  <c r="L616" i="1" s="1"/>
  <c r="L609"/>
  <c r="F270" i="9"/>
  <c r="L516" i="1" s="1"/>
  <c r="L463"/>
  <c r="F398" i="8"/>
  <c r="G706" i="1" s="1"/>
  <c r="L36"/>
  <c r="F448" i="9"/>
  <c r="L757" i="1" s="1"/>
  <c r="L704"/>
  <c r="F449" i="8"/>
  <c r="G758" i="1" s="1"/>
  <c r="G705"/>
  <c r="L237"/>
  <c r="F176" i="9"/>
  <c r="L304" i="1" s="1"/>
  <c r="F446" i="8"/>
  <c r="G755" i="1" s="1"/>
  <c r="G688"/>
  <c r="F358" i="9"/>
  <c r="L664" i="1" s="1"/>
  <c r="L598"/>
  <c r="G598"/>
  <c r="F358" i="8"/>
  <c r="G664" i="1" s="1"/>
  <c r="G446"/>
  <c r="L8"/>
  <c r="L106" l="1"/>
  <c r="F85" i="9"/>
  <c r="L154" i="1" s="1"/>
  <c r="G255"/>
  <c r="F176" i="8"/>
  <c r="G304" i="1" s="1"/>
  <c r="L706"/>
  <c r="F446" i="9"/>
  <c r="L755" i="1" s="1"/>
  <c r="L767" s="1"/>
  <c r="L768" s="1"/>
  <c r="F267" i="9"/>
  <c r="L513" i="1" s="1"/>
  <c r="F267" i="8"/>
  <c r="G513" i="1" s="1"/>
  <c r="L7"/>
</calcChain>
</file>

<file path=xl/sharedStrings.xml><?xml version="1.0" encoding="utf-8"?>
<sst xmlns="http://schemas.openxmlformats.org/spreadsheetml/2006/main" count="3300" uniqueCount="366">
  <si>
    <t>&lt; 2018-С.Щедрин * 2 * 02-01-01 &gt;</t>
  </si>
  <si>
    <t>Документ составлен в ПК РИК (вер.1.3.190311) тел./факс (495) 347-33-01</t>
  </si>
  <si>
    <t>Форма 4т</t>
  </si>
  <si>
    <t xml:space="preserve">Объект: </t>
  </si>
  <si>
    <t>Тверская область,  Осташковский район, Нило-Столобенская пустынь</t>
  </si>
  <si>
    <t>ЛОКАЛЬНАЯ СМЕТА № 02-01-01</t>
  </si>
  <si>
    <t>(Локальный сметный расчет)</t>
  </si>
  <si>
    <t>на Сопутствующие работы</t>
  </si>
  <si>
    <t>Сметная стоимость:</t>
  </si>
  <si>
    <t>тыс. руб.</t>
  </si>
  <si>
    <t>Hормативная трудоемкость:</t>
  </si>
  <si>
    <t>тыс.чел.ч</t>
  </si>
  <si>
    <t>Сметная заработная плата:</t>
  </si>
  <si>
    <t>Составлена в базисных ценах на 01.01.2000 и текущих ценах на 06.2019 г. по НБ: "ТСНБ-2001 Тверской области (эталон) с доп. и изм. 2 (приказ Минстроя России № 337/пр)".</t>
  </si>
  <si>
    <t>№ поз</t>
  </si>
  <si>
    <t xml:space="preserve">Код норматива, Наименование, Единица измерения </t>
  </si>
  <si>
    <t>Объем</t>
  </si>
  <si>
    <t>Базисная стоимость за единицу</t>
  </si>
  <si>
    <t>Базисная стоимость всего</t>
  </si>
  <si>
    <t>Индекс</t>
  </si>
  <si>
    <t>Текущая стоимость всего</t>
  </si>
  <si>
    <t>Всего</t>
  </si>
  <si>
    <t>Осн. З/п</t>
  </si>
  <si>
    <t>Эксп.</t>
  </si>
  <si>
    <t>Материал</t>
  </si>
  <si>
    <t>В т.ч з/п</t>
  </si>
  <si>
    <t>Раздел 1.  Башня на въезде</t>
  </si>
  <si>
    <t>1.</t>
  </si>
  <si>
    <t>Е58-1-2
(Приказ № 337/пр от 05.05.2015)
Разборка деревянных элементов конструкций крыш стропил со стойками и подкосами из досок, 100 м2 кровли</t>
  </si>
  <si>
    <t>Зарплата рабочих</t>
  </si>
  <si>
    <t>Эксплуатация машин</t>
  </si>
  <si>
    <t>в т.ч. зарплата машинистов</t>
  </si>
  <si>
    <t>Материалы</t>
  </si>
  <si>
    <t>в т.ч. Вспомогательные материалы от стоимости материалов</t>
  </si>
  <si>
    <t>в т.ч. Вспомогательные ненормируемые материалы</t>
  </si>
  <si>
    <t>NenormMatOtZPR</t>
  </si>
  <si>
    <t>IsMater</t>
  </si>
  <si>
    <t>в т.ч. Ненормированная з.п. рабочих</t>
  </si>
  <si>
    <t>в т.ч. Ненормированная стоимость эксплуатации машин</t>
  </si>
  <si>
    <t>в т.ч. Ненормированная оплата механизаторов</t>
  </si>
  <si>
    <t>Накладные расходы</t>
  </si>
  <si>
    <t>Nakl</t>
  </si>
  <si>
    <t>НР от ЗПР</t>
  </si>
  <si>
    <t>Nakl_ZPR</t>
  </si>
  <si>
    <t>НР от ЗПМ</t>
  </si>
  <si>
    <t>Nakl_ZPM</t>
  </si>
  <si>
    <t>Плановые накопления / Сметная прибыль</t>
  </si>
  <si>
    <t>Plan</t>
  </si>
  <si>
    <t>СП от ЗПР</t>
  </si>
  <si>
    <t>Plan_ZPR</t>
  </si>
  <si>
    <t>СП от ЗПМ</t>
  </si>
  <si>
    <t>Plan_ZPM</t>
  </si>
  <si>
    <t>Всего с НР и СП</t>
  </si>
  <si>
    <t>2.</t>
  </si>
  <si>
    <t>Е10-01-083-02
(Приказ № 337/пр от 05.05.2015)
Устройство обрешетки под кровлю, 100 м2 покрытия</t>
  </si>
  <si>
    <t xml:space="preserve">   Начисления: Н3= 1.25, Н4= 1.25, Н5= 1.15</t>
  </si>
  <si>
    <t>3.</t>
  </si>
  <si>
    <t>Е58-7-7
(Приказ № 337/пр от 05.05.2015)
Смена существующих рулонных кровель на покрытия из наплавляемых рулонных материалов в один слой, 100 м2 покрытия</t>
  </si>
  <si>
    <t>.    ИТОГО  ПО  РАЗДЕЛУ 1</t>
  </si>
  <si>
    <t>СТОИМОСТЬ ОБОРУДОВАНИЯ -</t>
  </si>
  <si>
    <t>.   ЗАПАСНЫЕ ЧАСТИ -</t>
  </si>
  <si>
    <t>.   ТАРА И УПАКОВКА -</t>
  </si>
  <si>
    <t>.   ТРАНСПОРТНЫЕ РАСХОДЫ -</t>
  </si>
  <si>
    <t>.   КОМПЛЕКТАЦИЯ -</t>
  </si>
  <si>
    <t>.   НАЦЕНКА СНАБА -</t>
  </si>
  <si>
    <t>.   ЗАГОТОВИТЕЛЬНО-СКЛАДСКИЕ РАСХОДЫ -</t>
  </si>
  <si>
    <t>. ШЕФМОНТАЖ ПО ОБОРУДОВАНИЮ -</t>
  </si>
  <si>
    <t>. ШЕФМОНТАЖ -</t>
  </si>
  <si>
    <t>ВСЕГО, СТОИМОСТЬ ОБОРУДОВАНИЯ -</t>
  </si>
  <si>
    <t>СТОИМОСТЬ МОНТАЖНЫХ РАБОТ -</t>
  </si>
  <si>
    <t>.     В ТОМ ЧИСЛЕ:</t>
  </si>
  <si>
    <t>. ОТКЛОНЕНИЕ ПО ЗАРАБОТНОЙ ПЛАТЕ -</t>
  </si>
  <si>
    <t>. КОСВЕННЫЕ РАСХОДЫ -</t>
  </si>
  <si>
    <t>. МАТЕРИАЛЬНЫЕ РЕСУРСЫ НЕ УЧТЕННЫЕ В РАСЦЕНКАХ -</t>
  </si>
  <si>
    <t>.   СТОИМОСТЬ ВОЗВРАЩАЕМЫХ МАТЕРИАЛОВ -</t>
  </si>
  <si>
    <t>.   НАКЛАДНЫЕ РАСХОДЫ -</t>
  </si>
  <si>
    <t>.   СМЕТНАЯ ПРИБЫЛЬ -</t>
  </si>
  <si>
    <t>ВСЕГО, СТОИМОСТЬ МОНТАЖНЫХ РАБОТ -</t>
  </si>
  <si>
    <t>СТОИМОСТЬ ОБЩЕСТРОИТЕЛЬНЫХ РАБОТ -</t>
  </si>
  <si>
    <t>.       МАТЕРИАЛОВ -</t>
  </si>
  <si>
    <t>.   НАКЛАДНЫЕ РАСХОДЫ - (%=83 - по стр. 1, 3; %=106 - по стр. 2)</t>
  </si>
  <si>
    <t>.   СМЕТНАЯ ПРИБЫЛЬ - (%=65 - по стр. 1, 3; %=54 - по стр. 2)</t>
  </si>
  <si>
    <t>ВСЕГО, СТОИМОСТЬ ОБЩЕСТРОИТЕЛЬНЫХ РАБОТ -</t>
  </si>
  <si>
    <t>СТОИМОСТЬ МЕТАЛЛОМОНТАЖНЫХ РАБОТ -</t>
  </si>
  <si>
    <t>ВСЕГО, СТОИМОСТЬ МЕТАЛЛОМОНТАЖНЫХ РАБОТ -</t>
  </si>
  <si>
    <t>СТОИМОСТЬ САНТЕХНИЧЕСКИХ РАБОТ -</t>
  </si>
  <si>
    <t>. СДАЧА И ИСПЫТАНИЕ -</t>
  </si>
  <si>
    <t>ВСЕГО, СТОИМОСТЬ САНТЕХНИЧЕСКИХ РАБОТ -</t>
  </si>
  <si>
    <t>СТОИМОСТЬ БУРО-ВЗРЫВНЫХ РАБОТ -</t>
  </si>
  <si>
    <t>ВСЕГО, СТОИМОСТЬ БУРО-ВЗРЫВНЫХ РАБОТ -</t>
  </si>
  <si>
    <t>СТОИМОСТЬ ГОРНОПРОХОДЧЕСКИХ РАБОТ -</t>
  </si>
  <si>
    <t>ВСЕГО, СТОИМОСТЬ ГОРНОПРОХОДЧЕСКИХ РАБОТ -</t>
  </si>
  <si>
    <t>СТОИМОСТЬ РЕСТАВРАЦИОННЫХ РАБОТ -</t>
  </si>
  <si>
    <t>ВСЕГО, СТОИМОСТЬ РЕСТАВРАЦИОННЫХ РАБОТ -</t>
  </si>
  <si>
    <t>СТОИМОСТЬ ПЕРЕВОЗКИ ГРУЗОВ -</t>
  </si>
  <si>
    <t>.   В Т.Ч. НАКЛАДНЫЕ РАСХОДЫ -</t>
  </si>
  <si>
    <t>.   В Т.Ч. СМЕТНАЯ ПРИБЫЛЬ -</t>
  </si>
  <si>
    <t>ВСЕГО, СТОИМОСТЬ ПЕРЕВОЗКИ ГРУЗОВ -</t>
  </si>
  <si>
    <t>СТОИМОСТЬ ПУСКОНАЛАДОЧНЫХ РАБОТ -</t>
  </si>
  <si>
    <t>ВСЕГО, СТОИМОСТЬ ПУСКОНАЛАДОЧНЫХ РАБОТ -</t>
  </si>
  <si>
    <t>СТОИМОСТЬ ПРОЧИХ РАБОТ (с НР и СП) -</t>
  </si>
  <si>
    <t>ВСЕГО, СТОИМОСТЬ ПРОЧИХ РАБОТ (с НР и СП) -</t>
  </si>
  <si>
    <t>ВСЕГО, СТОИМОСТЬ ПРОЧИХ РАБОТ (без НР и СП) -</t>
  </si>
  <si>
    <t>. ВСЕГО  ПО  РАЗДЕЛУ 1</t>
  </si>
  <si>
    <t>ВСЕГО СТОИМОСТЬ ВОЗВРАЩАЕМЫХ МАТЕРИАЛОВ -</t>
  </si>
  <si>
    <t>ВСЕГО НАКЛАДНЫЕ РАСХОДЫ</t>
  </si>
  <si>
    <t>ВСЕГО СМЕТНАЯ ПРИБЫЛЬ</t>
  </si>
  <si>
    <t>в т.ч. Вспомогательные материалы от ОЗП</t>
  </si>
  <si>
    <t>Оплата основных рабочих</t>
  </si>
  <si>
    <t>Оплата механизаторов</t>
  </si>
  <si>
    <t>Сметная заработная плата</t>
  </si>
  <si>
    <t>Трудозатраты осн. рабочих</t>
  </si>
  <si>
    <t>Трудозатраты механизаторов</t>
  </si>
  <si>
    <t>Нормативная трудоемкость</t>
  </si>
  <si>
    <t>Раздел 2.  Церковь всех святых</t>
  </si>
  <si>
    <t>4.</t>
  </si>
  <si>
    <t>Е46-04-008-02
(Приказ № 337/пр от 05.05.2015)
Разборка покрытий кровель из листовой стали, 100 м2 покрытия</t>
  </si>
  <si>
    <t>5.</t>
  </si>
  <si>
    <t>Е09-04-002-01
(Приказ № 337/пр от 05.05.2015)
Монтаж кровельного покрытия из профилированного листа при высоте здания до 25 м, 100 м2 покрытия</t>
  </si>
  <si>
    <t>6.</t>
  </si>
  <si>
    <t>С101-3833
(Приказ № 337/пр от 05.05.2015)
Профилированный лист оцинкованный Н75-750-0,7, т</t>
  </si>
  <si>
    <t>.    ИТОГО  ПО  РАЗДЕЛУ 2</t>
  </si>
  <si>
    <t>.   НАКЛАДНЫЕ РАСХОДЫ - (%=99 - по стр. 4)</t>
  </si>
  <si>
    <t>.   СМЕТНАЯ ПРИБЫЛЬ - (%=60 - по стр. 4)</t>
  </si>
  <si>
    <t>.   НАКЛАДНЫЕ РАСХОДЫ - (%=81 - по стр. 5)</t>
  </si>
  <si>
    <t>.   СМЕТНАЯ ПРИБЫЛЬ - (%=72 - по стр. 5)</t>
  </si>
  <si>
    <t>. ВСЕГО  ПО  РАЗДЕЛУ 2</t>
  </si>
  <si>
    <t>Раздел 3.  Больничный корпус</t>
  </si>
  <si>
    <t>7.</t>
  </si>
  <si>
    <t>8.</t>
  </si>
  <si>
    <t>9.</t>
  </si>
  <si>
    <t>10.</t>
  </si>
  <si>
    <t>Е58-19-1
(Приказ № 337/пр от 05.05.2015
Прим.)
Смена мелких покрытий из листовой стали в кровлях (конек), 100 м покрытия</t>
  </si>
  <si>
    <t>11.</t>
  </si>
  <si>
    <t>Е15-04-037-08
(Приказ № 337/пр от 05.05.2015)
Проолифка металлических поверхностей вручную, 100 м2 обрабатываемой поверхности</t>
  </si>
  <si>
    <t xml:space="preserve">   Начисления: Н5= 1.15</t>
  </si>
  <si>
    <t>12.</t>
  </si>
  <si>
    <t>Е15-04-031-01
(Приказ № 337/пр от 05.05.2015)
Окраска кровли суриком за 1 раз, 100 м2 кровли</t>
  </si>
  <si>
    <t>.    ИТОГО  ПО  РАЗДЕЛУ 3</t>
  </si>
  <si>
    <t>.   НАКЛАДНЫЕ РАСХОДЫ - (%=99 - по стр. 7; %=83 - по стр. 10; %=95 - по стр. 11, 12)</t>
  </si>
  <si>
    <t>.   СМЕТНАЯ ПРИБЫЛЬ - (%=60 - по стр. 7; %=65 - по стр. 10; %=47 - по стр. 11, 12)</t>
  </si>
  <si>
    <t>.   НАКЛАДНЫЕ РАСХОДЫ - (%=81 - по стр. 8)</t>
  </si>
  <si>
    <t>.   СМЕТНАЯ ПРИБЫЛЬ - (%=72 - по стр. 8)</t>
  </si>
  <si>
    <t>. ВСЕГО  ПО  РАЗДЕЛУ 3</t>
  </si>
  <si>
    <t>Раздел 4.  Братский корпус</t>
  </si>
  <si>
    <t>13.</t>
  </si>
  <si>
    <t>Е58-14-1
(Приказ № 337/пр от 05.05.2015)
Смена покрытия кровли средней сложности из листовой стали, 100 м2 покрытия</t>
  </si>
  <si>
    <t>14.</t>
  </si>
  <si>
    <t>15.</t>
  </si>
  <si>
    <t>.    ИТОГО  ПО  РАЗДЕЛУ 4</t>
  </si>
  <si>
    <t>.   НАКЛАДНЫЕ РАСХОДЫ - (%=83 - по стр. 13; %=95 - по стр. 14, 15)</t>
  </si>
  <si>
    <t>.   СМЕТНАЯ ПРИБЫЛЬ - (%=65 - по стр. 13; %=47 - по стр. 14, 15)</t>
  </si>
  <si>
    <t>. ВСЕГО  ПО  РАЗДЕЛУ 4</t>
  </si>
  <si>
    <t>.    ИТОГО  ПО  СМЕТЕ</t>
  </si>
  <si>
    <t>.   НАКЛАДНЫЕ РАСХОДЫ - (%=83 - по стр. 1, 3, 10, 13; %=106 - по стр. 2; %=99 - по стр. 4, 7; %=95 - по стр. 11, 12, 14, 15)</t>
  </si>
  <si>
    <t>.   СМЕТНАЯ ПРИБЫЛЬ - (%=65 - по стр. 1, 3, 10, 13; %=54 - по стр. 2; %=60 - по стр. 4, 7; %=47 - по стр. 11, 12, 14, 15)</t>
  </si>
  <si>
    <t>.   НАКЛАДНЫЕ РАСХОДЫ - (%=81 - по стр. 5, 8)</t>
  </si>
  <si>
    <t>.   СМЕТНАЯ ПРИБЫЛЬ - (%=72 - по стр. 5, 8)</t>
  </si>
  <si>
    <t>. ВСЕГО  ПО  СМЕТЕ</t>
  </si>
  <si>
    <t>Составил:</t>
  </si>
  <si>
    <t>(должность, подпись, Ф.И.О)</t>
  </si>
  <si>
    <t>Проверил:</t>
  </si>
  <si>
    <t>C1</t>
  </si>
  <si>
    <t>C2</t>
  </si>
  <si>
    <t>C3</t>
  </si>
  <si>
    <t>C4</t>
  </si>
  <si>
    <t>C5</t>
  </si>
  <si>
    <t>C6</t>
  </si>
  <si>
    <t>VOZVR</t>
  </si>
  <si>
    <t>C8</t>
  </si>
  <si>
    <t>C9</t>
  </si>
  <si>
    <t>C10</t>
  </si>
  <si>
    <t>C11</t>
  </si>
  <si>
    <t>C12</t>
  </si>
  <si>
    <t>NAKL</t>
  </si>
  <si>
    <t>PLAN</t>
  </si>
  <si>
    <t>NAKL_ZPR</t>
  </si>
  <si>
    <t>NAKL_ZPM</t>
  </si>
  <si>
    <t>PLAN_ZPR</t>
  </si>
  <si>
    <t>PLAN_ZPM</t>
  </si>
  <si>
    <t>RN11</t>
  </si>
  <si>
    <t>RN12</t>
  </si>
  <si>
    <t>RN13</t>
  </si>
  <si>
    <t>OBORUD_VSPOMOG</t>
  </si>
  <si>
    <t>NAKL_PN</t>
  </si>
  <si>
    <t>NAKL_VX</t>
  </si>
  <si>
    <t>PLAN_PN</t>
  </si>
  <si>
    <t>PLAN_VX</t>
  </si>
  <si>
    <t>VTCH_PN</t>
  </si>
  <si>
    <t>VTCH_VX</t>
  </si>
  <si>
    <t>MR_BY_ZPR_VSPOMOG</t>
  </si>
  <si>
    <t>NAKL_INC</t>
  </si>
  <si>
    <t>PLAN_INC</t>
  </si>
  <si>
    <t>RN14</t>
  </si>
  <si>
    <t>RN15</t>
  </si>
  <si>
    <t>RN16</t>
  </si>
  <si>
    <t>OBORUD</t>
  </si>
  <si>
    <t>N = &lt; 2018-С.Щедрин * 2 * 02-01-01 &gt;</t>
  </si>
  <si>
    <t xml:space="preserve">          Сопутствующие работы</t>
  </si>
  <si>
    <t>Н1</t>
  </si>
  <si>
    <t>Н2</t>
  </si>
  <si>
    <t>Н3</t>
  </si>
  <si>
    <t>Н4</t>
  </si>
  <si>
    <t>Н5</t>
  </si>
  <si>
    <t>Н6</t>
  </si>
  <si>
    <t>Н7</t>
  </si>
  <si>
    <t>Н8</t>
  </si>
  <si>
    <t>Н9</t>
  </si>
  <si>
    <t>Н10</t>
  </si>
  <si>
    <t>Н11</t>
  </si>
  <si>
    <t>Н12</t>
  </si>
  <si>
    <t>Н13</t>
  </si>
  <si>
    <t>Н14</t>
  </si>
  <si>
    <t>Н15</t>
  </si>
  <si>
    <t>Н16</t>
  </si>
  <si>
    <t>Н17</t>
  </si>
  <si>
    <t>Н18</t>
  </si>
  <si>
    <t>Н19</t>
  </si>
  <si>
    <t>Н20</t>
  </si>
  <si>
    <t>Н21</t>
  </si>
  <si>
    <t>Н22</t>
  </si>
  <si>
    <t>Н23</t>
  </si>
  <si>
    <t>Н24</t>
  </si>
  <si>
    <t>Н25</t>
  </si>
  <si>
    <t>Н26</t>
  </si>
  <si>
    <t>Н27</t>
  </si>
  <si>
    <t>Н28</t>
  </si>
  <si>
    <t>Н29</t>
  </si>
  <si>
    <t>Н30</t>
  </si>
  <si>
    <t>Н31</t>
  </si>
  <si>
    <t>Н32</t>
  </si>
  <si>
    <t>Н33</t>
  </si>
  <si>
    <t>Н34</t>
  </si>
  <si>
    <t>Н35</t>
  </si>
  <si>
    <t>Н36</t>
  </si>
  <si>
    <t>Н37</t>
  </si>
  <si>
    <t>Н38</t>
  </si>
  <si>
    <t>Н39</t>
  </si>
  <si>
    <t>Н40</t>
  </si>
  <si>
    <t>Н41</t>
  </si>
  <si>
    <t>Н42</t>
  </si>
  <si>
    <t>Н43</t>
  </si>
  <si>
    <t>Н44</t>
  </si>
  <si>
    <t>Н45</t>
  </si>
  <si>
    <t>Н46</t>
  </si>
  <si>
    <t>Н47</t>
  </si>
  <si>
    <t>Н48</t>
  </si>
  <si>
    <t>Н49</t>
  </si>
  <si>
    <t>О0</t>
  </si>
  <si>
    <t>О1</t>
  </si>
  <si>
    <t>О2</t>
  </si>
  <si>
    <t>О3</t>
  </si>
  <si>
    <t>О4</t>
  </si>
  <si>
    <t>О5</t>
  </si>
  <si>
    <t>О6</t>
  </si>
  <si>
    <t>О7</t>
  </si>
  <si>
    <t>О8</t>
  </si>
  <si>
    <t>1</t>
  </si>
  <si>
    <t xml:space="preserve"> </t>
  </si>
  <si>
    <t>0</t>
  </si>
  <si>
    <t>2</t>
  </si>
  <si>
    <t>3</t>
  </si>
  <si>
    <t>Наименование</t>
  </si>
  <si>
    <t>Вид</t>
  </si>
  <si>
    <t>Значение</t>
  </si>
  <si>
    <t>ЕИ</t>
  </si>
  <si>
    <t>Z1</t>
  </si>
  <si>
    <t>Z2</t>
  </si>
  <si>
    <t>Z3</t>
  </si>
  <si>
    <t>Z4</t>
  </si>
  <si>
    <t>Z5</t>
  </si>
  <si>
    <t>Z6</t>
  </si>
  <si>
    <t>Z7</t>
  </si>
  <si>
    <t>Z8</t>
  </si>
  <si>
    <t>А</t>
  </si>
  <si>
    <t>Б</t>
  </si>
  <si>
    <t>!</t>
  </si>
  <si>
    <t>h</t>
  </si>
  <si>
    <t>s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</si>
  <si>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</si>
  <si>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</si>
  <si>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</si>
  <si>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</si>
  <si>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</si>
  <si>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</si>
  <si>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</si>
  <si>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</si>
  <si>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</si>
  <si>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</si>
  <si>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</si>
  <si>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</si>
  <si>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</si>
  <si>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</si>
  <si>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</si>
  <si>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</si>
  <si>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</si>
  <si>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</si>
  <si>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</si>
  <si>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</si>
  <si>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</si>
  <si>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</si>
  <si>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</si>
  <si>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</si>
  <si>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</si>
  <si>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</si>
  <si>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</si>
  <si>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</si>
  <si>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</si>
  <si>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</si>
  <si>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</si>
  <si>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</si>
  <si>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</si>
  <si>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</si>
  <si>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</si>
  <si>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</si>
  <si>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</si>
  <si>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</si>
  <si>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</si>
  <si>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</si>
  <si>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</si>
  <si>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</si>
  <si>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</si>
  <si>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</si>
  <si>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</si>
  <si>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</si>
  <si>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</si>
  <si>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</si>
  <si>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</si>
  <si>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</si>
  <si>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</si>
  <si>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</si>
  <si>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</si>
  <si>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</si>
  <si>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</si>
  <si>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</si>
  <si>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</si>
  <si>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</si>
  <si>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</si>
  <si>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</si>
  <si>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</si>
  <si>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</si>
  <si>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</si>
  <si>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</si>
  <si>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</si>
  <si>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</si>
  <si>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</si>
  <si>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</si>
  <si>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</si>
  <si>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</si>
  <si>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</si>
  <si>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</si>
  <si>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</si>
  <si>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</si>
  <si>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</si>
  <si>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</si>
  <si>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</si>
  <si>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</si>
  <si>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</si>
  <si>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</si>
  <si>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</si>
  <si>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</si>
  <si>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</si>
  <si>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</si>
  <si>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НДС</t>
  </si>
  <si>
    <t>Итого с НДС</t>
  </si>
  <si>
    <t>на ремонтные работы по кровлям</t>
  </si>
</sst>
</file>

<file path=xl/styles.xml><?xml version="1.0" encoding="utf-8"?>
<styleSheet xmlns="http://schemas.openxmlformats.org/spreadsheetml/2006/main">
  <numFmts count="8">
    <numFmt numFmtId="172" formatCode="General;\-General;"/>
    <numFmt numFmtId="173" formatCode="##0"/>
    <numFmt numFmtId="174" formatCode="#,##0.00;\-#,##0.00;"/>
    <numFmt numFmtId="175" formatCode="#,##0;\-#,##0;"/>
    <numFmt numFmtId="176" formatCode="#,##0.000;\-#,##0.000;"/>
    <numFmt numFmtId="177" formatCode="#,##0;\-#,##0;#\ ##"/>
    <numFmt numFmtId="178" formatCode="#,##0.00000000;\-#,##0.00000000;"/>
    <numFmt numFmtId="179" formatCode="#,##0.00######################"/>
  </numFmts>
  <fonts count="10">
    <font>
      <sz val="8"/>
      <name val="Verdana"/>
      <charset val="204"/>
    </font>
    <font>
      <sz val="8"/>
      <color indexed="8"/>
      <name val="Verdana"/>
      <charset val="204"/>
    </font>
    <font>
      <b/>
      <sz val="8"/>
      <name val="Verdana"/>
      <charset val="204"/>
    </font>
    <font>
      <b/>
      <u/>
      <sz val="8"/>
      <name val="Verdana"/>
      <charset val="204"/>
    </font>
    <font>
      <u/>
      <sz val="8"/>
      <name val="Verdana"/>
      <family val="2"/>
      <charset val="204"/>
    </font>
    <font>
      <i/>
      <sz val="8"/>
      <name val="Verdana"/>
      <family val="2"/>
      <charset val="204"/>
    </font>
    <font>
      <sz val="8"/>
      <color indexed="9"/>
      <name val="Verdana"/>
      <family val="2"/>
      <charset val="204"/>
    </font>
    <font>
      <sz val="1"/>
      <name val="Verdana"/>
      <family val="2"/>
      <charset val="204"/>
    </font>
    <font>
      <b/>
      <sz val="8"/>
      <name val="Verdana"/>
      <family val="2"/>
      <charset val="204"/>
    </font>
    <font>
      <sz val="8"/>
      <name val="Verdan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top"/>
      <protection locked="0"/>
    </xf>
  </cellStyleXfs>
  <cellXfs count="69">
    <xf numFmtId="0" fontId="0" fillId="0" borderId="0" xfId="0" applyAlignment="1" applyProtection="1"/>
    <xf numFmtId="172" fontId="0" fillId="0" borderId="0" xfId="0" applyNumberFormat="1" applyFont="1" applyAlignment="1">
      <alignment horizontal="right" vertical="top" wrapText="1"/>
      <protection locked="0"/>
    </xf>
    <xf numFmtId="49" fontId="1" fillId="0" borderId="0" xfId="0" applyNumberFormat="1" applyFont="1" applyAlignment="1">
      <alignment horizontal="left" vertical="top"/>
      <protection locked="0"/>
    </xf>
    <xf numFmtId="49" fontId="1" fillId="0" borderId="0" xfId="0" applyNumberFormat="1" applyFont="1" applyAlignment="1">
      <alignment horizontal="right" vertical="top"/>
      <protection locked="0"/>
    </xf>
    <xf numFmtId="49" fontId="0" fillId="0" borderId="0" xfId="0" applyNumberFormat="1" applyFont="1" applyAlignment="1">
      <alignment horizontal="right" vertical="top"/>
      <protection locked="0"/>
    </xf>
    <xf numFmtId="49" fontId="0" fillId="0" borderId="0" xfId="0" applyNumberFormat="1" applyFont="1" applyAlignment="1">
      <alignment horizontal="left" vertical="top" wrapText="1"/>
      <protection locked="0"/>
    </xf>
    <xf numFmtId="49" fontId="0" fillId="0" borderId="0" xfId="0" applyNumberFormat="1" applyFont="1" applyAlignment="1">
      <alignment horizontal="right" vertical="top" wrapText="1"/>
      <protection locked="0"/>
    </xf>
    <xf numFmtId="172" fontId="2" fillId="0" borderId="0" xfId="0" applyNumberFormat="1" applyFont="1" applyAlignment="1">
      <alignment horizontal="right" vertical="top"/>
      <protection locked="0"/>
    </xf>
    <xf numFmtId="49" fontId="2" fillId="0" borderId="0" xfId="0" applyNumberFormat="1" applyFont="1" applyAlignment="1">
      <alignment horizontal="left" vertical="top"/>
      <protection locked="0"/>
    </xf>
    <xf numFmtId="49" fontId="0" fillId="0" borderId="0" xfId="0" applyNumberFormat="1" applyFont="1" applyAlignment="1">
      <alignment horizontal="left" vertical="top"/>
      <protection locked="0"/>
    </xf>
    <xf numFmtId="49" fontId="0" fillId="0" borderId="1" xfId="0" applyNumberFormat="1" applyFont="1" applyBorder="1" applyAlignment="1">
      <alignment horizontal="center" vertical="center" wrapText="1"/>
      <protection locked="0"/>
    </xf>
    <xf numFmtId="173" fontId="0" fillId="0" borderId="2" xfId="0" applyNumberFormat="1" applyFont="1" applyBorder="1" applyAlignment="1">
      <alignment horizontal="center" vertical="top" wrapText="1"/>
      <protection locked="0"/>
    </xf>
    <xf numFmtId="174" fontId="0" fillId="0" borderId="0" xfId="0" applyNumberFormat="1" applyFont="1" applyAlignment="1">
      <alignment horizontal="right" vertical="top" wrapText="1"/>
      <protection locked="0"/>
    </xf>
    <xf numFmtId="174" fontId="4" fillId="0" borderId="0" xfId="0" applyNumberFormat="1" applyFont="1" applyAlignment="1">
      <alignment horizontal="right" vertical="top" wrapText="1"/>
      <protection locked="0"/>
    </xf>
    <xf numFmtId="175" fontId="0" fillId="0" borderId="0" xfId="0" applyNumberFormat="1" applyFont="1" applyAlignment="1">
      <alignment horizontal="right" vertical="top" wrapText="1"/>
      <protection locked="0"/>
    </xf>
    <xf numFmtId="175" fontId="4" fillId="0" borderId="0" xfId="0" applyNumberFormat="1" applyFont="1" applyAlignment="1">
      <alignment horizontal="right" vertical="top" wrapText="1"/>
      <protection locked="0"/>
    </xf>
    <xf numFmtId="176" fontId="0" fillId="0" borderId="0" xfId="0" applyNumberFormat="1" applyFont="1" applyAlignment="1">
      <alignment horizontal="right" vertical="top" wrapText="1"/>
      <protection locked="0"/>
    </xf>
    <xf numFmtId="49" fontId="5" fillId="0" borderId="0" xfId="0" applyNumberFormat="1" applyFont="1" applyAlignment="1">
      <alignment horizontal="left" vertical="top" wrapText="1"/>
      <protection locked="0"/>
    </xf>
    <xf numFmtId="172" fontId="6" fillId="0" borderId="0" xfId="0" applyNumberFormat="1" applyFont="1" applyAlignment="1">
      <alignment horizontal="right" vertical="top" wrapText="1"/>
      <protection locked="0"/>
    </xf>
    <xf numFmtId="172" fontId="0" fillId="0" borderId="3" xfId="0" applyNumberFormat="1" applyFont="1" applyBorder="1" applyAlignment="1">
      <alignment horizontal="right" vertical="top" wrapText="1"/>
      <protection locked="0"/>
    </xf>
    <xf numFmtId="49" fontId="5" fillId="0" borderId="0" xfId="0" applyNumberFormat="1" applyFont="1" applyAlignment="1">
      <alignment horizontal="left" vertical="top"/>
      <protection locked="0"/>
    </xf>
    <xf numFmtId="175" fontId="2" fillId="0" borderId="0" xfId="0" applyNumberFormat="1" applyFont="1" applyAlignment="1">
      <alignment horizontal="right" vertical="top"/>
      <protection locked="0"/>
    </xf>
    <xf numFmtId="175" fontId="3" fillId="0" borderId="0" xfId="0" applyNumberFormat="1" applyFont="1" applyAlignment="1">
      <alignment horizontal="right" vertical="top"/>
      <protection locked="0"/>
    </xf>
    <xf numFmtId="177" fontId="2" fillId="0" borderId="0" xfId="0" applyNumberFormat="1" applyFont="1" applyAlignment="1">
      <alignment horizontal="right" vertical="top"/>
      <protection locked="0"/>
    </xf>
    <xf numFmtId="172" fontId="7" fillId="0" borderId="0" xfId="0" applyNumberFormat="1" applyFont="1" applyAlignment="1">
      <alignment horizontal="right" vertical="top" wrapText="1"/>
      <protection locked="0"/>
    </xf>
    <xf numFmtId="174" fontId="0" fillId="0" borderId="0" xfId="0" applyNumberFormat="1" applyFont="1" applyAlignment="1">
      <alignment horizontal="right" vertical="top"/>
      <protection locked="0"/>
    </xf>
    <xf numFmtId="172" fontId="0" fillId="0" borderId="0" xfId="0" applyNumberFormat="1" applyFont="1" applyAlignment="1">
      <alignment horizontal="right" vertical="top"/>
      <protection locked="0"/>
    </xf>
    <xf numFmtId="172" fontId="2" fillId="0" borderId="0" xfId="0" applyNumberFormat="1" applyFont="1" applyAlignment="1">
      <alignment horizontal="center" vertical="center"/>
      <protection locked="0"/>
    </xf>
    <xf numFmtId="172" fontId="0" fillId="2" borderId="0" xfId="0" applyNumberFormat="1" applyFont="1" applyFill="1" applyBorder="1" applyAlignment="1">
      <alignment horizontal="right" vertical="top"/>
      <protection locked="0"/>
    </xf>
    <xf numFmtId="175" fontId="0" fillId="0" borderId="0" xfId="0" applyNumberFormat="1" applyFont="1" applyAlignment="1">
      <alignment horizontal="right" vertical="top"/>
      <protection locked="0"/>
    </xf>
    <xf numFmtId="178" fontId="0" fillId="0" borderId="0" xfId="0" applyNumberFormat="1" applyFont="1" applyAlignment="1">
      <alignment horizontal="right" vertical="top"/>
      <protection locked="0"/>
    </xf>
    <xf numFmtId="49" fontId="0" fillId="0" borderId="0" xfId="0" applyNumberFormat="1" applyFont="1" applyAlignment="1">
      <alignment horizontal="center" vertical="center"/>
      <protection locked="0"/>
    </xf>
    <xf numFmtId="172" fontId="0" fillId="0" borderId="0" xfId="0" applyNumberFormat="1" applyFont="1" applyAlignment="1">
      <alignment horizontal="right" vertical="center"/>
      <protection locked="0"/>
    </xf>
    <xf numFmtId="172" fontId="0" fillId="2" borderId="0" xfId="0" applyNumberFormat="1" applyFont="1" applyFill="1" applyBorder="1" applyAlignment="1">
      <alignment horizontal="right" vertical="center"/>
      <protection locked="0"/>
    </xf>
    <xf numFmtId="179" fontId="0" fillId="0" borderId="0" xfId="0" applyNumberFormat="1" applyFont="1" applyAlignment="1">
      <alignment horizontal="right" vertical="top"/>
      <protection locked="0"/>
    </xf>
    <xf numFmtId="49" fontId="2" fillId="0" borderId="0" xfId="0" applyNumberFormat="1" applyFont="1" applyAlignment="1">
      <alignment horizontal="center" vertical="center"/>
      <protection locked="0"/>
    </xf>
    <xf numFmtId="172" fontId="8" fillId="0" borderId="0" xfId="0" applyNumberFormat="1" applyFont="1" applyAlignment="1">
      <alignment horizontal="right" vertical="top" wrapText="1"/>
      <protection locked="0"/>
    </xf>
    <xf numFmtId="10" fontId="8" fillId="0" borderId="0" xfId="0" applyNumberFormat="1" applyFont="1" applyAlignment="1">
      <alignment horizontal="right" vertical="top" wrapText="1"/>
      <protection locked="0"/>
    </xf>
    <xf numFmtId="4" fontId="8" fillId="0" borderId="0" xfId="0" applyNumberFormat="1" applyFont="1" applyAlignment="1">
      <alignment horizontal="right" vertical="top" wrapText="1"/>
      <protection locked="0"/>
    </xf>
    <xf numFmtId="172" fontId="8" fillId="0" borderId="0" xfId="0" applyNumberFormat="1" applyFont="1" applyAlignment="1">
      <alignment horizontal="left" vertical="top" wrapText="1"/>
      <protection locked="0"/>
    </xf>
    <xf numFmtId="49" fontId="0" fillId="0" borderId="10" xfId="0" applyNumberFormat="1" applyFont="1" applyBorder="1" applyAlignment="1">
      <alignment horizontal="left" vertical="top"/>
      <protection locked="0"/>
    </xf>
    <xf numFmtId="49" fontId="5" fillId="0" borderId="0" xfId="0" applyNumberFormat="1" applyFont="1" applyAlignment="1">
      <alignment horizontal="center" vertical="top"/>
      <protection locked="0"/>
    </xf>
    <xf numFmtId="0" fontId="2" fillId="0" borderId="0" xfId="0" applyNumberFormat="1" applyFont="1" applyAlignment="1">
      <alignment horizontal="left" vertical="top" wrapText="1"/>
      <protection locked="0"/>
    </xf>
    <xf numFmtId="172" fontId="0" fillId="0" borderId="0" xfId="0" applyNumberFormat="1" applyFont="1" applyAlignment="1">
      <alignment horizontal="right" vertical="top" wrapText="1"/>
      <protection locked="0"/>
    </xf>
    <xf numFmtId="172" fontId="2" fillId="0" borderId="0" xfId="0" applyNumberFormat="1" applyFont="1" applyAlignment="1">
      <alignment horizontal="right" vertical="top" wrapText="1"/>
      <protection locked="0"/>
    </xf>
    <xf numFmtId="172" fontId="2" fillId="0" borderId="0" xfId="0" applyNumberFormat="1" applyFont="1" applyAlignment="1">
      <alignment horizontal="right" vertical="top"/>
      <protection locked="0"/>
    </xf>
    <xf numFmtId="177" fontId="2" fillId="0" borderId="0" xfId="0" applyNumberFormat="1" applyFont="1" applyAlignment="1">
      <alignment horizontal="right" vertical="top"/>
      <protection locked="0"/>
    </xf>
    <xf numFmtId="175" fontId="2" fillId="0" borderId="0" xfId="0" applyNumberFormat="1" applyFont="1" applyAlignment="1">
      <alignment horizontal="right" vertical="top"/>
      <protection locked="0"/>
    </xf>
    <xf numFmtId="49" fontId="0" fillId="0" borderId="0" xfId="0" applyNumberFormat="1" applyFont="1" applyAlignment="1">
      <alignment horizontal="left" vertical="top" wrapText="1"/>
      <protection locked="0"/>
    </xf>
    <xf numFmtId="49" fontId="3" fillId="0" borderId="0" xfId="0" applyNumberFormat="1" applyFont="1" applyAlignment="1">
      <alignment horizontal="left" vertical="top"/>
      <protection locked="0"/>
    </xf>
    <xf numFmtId="49" fontId="0" fillId="0" borderId="4" xfId="0" applyNumberFormat="1" applyFont="1" applyBorder="1" applyAlignment="1">
      <alignment horizontal="center" vertical="center" wrapText="1"/>
      <protection locked="0"/>
    </xf>
    <xf numFmtId="49" fontId="0" fillId="0" borderId="6" xfId="0" applyNumberFormat="1" applyFont="1" applyBorder="1" applyAlignment="1">
      <alignment horizontal="center" vertical="center" wrapText="1"/>
      <protection locked="0"/>
    </xf>
    <xf numFmtId="49" fontId="0" fillId="0" borderId="7" xfId="0" applyNumberFormat="1" applyFont="1" applyBorder="1" applyAlignment="1">
      <alignment horizontal="center" vertical="center" wrapText="1"/>
      <protection locked="0"/>
    </xf>
    <xf numFmtId="49" fontId="0" fillId="0" borderId="8" xfId="0" applyNumberFormat="1" applyFont="1" applyBorder="1" applyAlignment="1">
      <alignment horizontal="center" vertical="center" wrapText="1"/>
      <protection locked="0"/>
    </xf>
    <xf numFmtId="49" fontId="0" fillId="0" borderId="9" xfId="0" applyNumberFormat="1" applyFont="1" applyBorder="1" applyAlignment="1">
      <alignment horizontal="center" vertical="center" wrapText="1"/>
      <protection locked="0"/>
    </xf>
    <xf numFmtId="49" fontId="2" fillId="0" borderId="0" xfId="0" applyNumberFormat="1" applyFont="1" applyAlignment="1">
      <alignment horizontal="center" vertical="top" wrapText="1"/>
      <protection locked="0"/>
    </xf>
    <xf numFmtId="49" fontId="0" fillId="0" borderId="0" xfId="0" applyNumberFormat="1" applyFont="1" applyAlignment="1">
      <alignment horizontal="center" vertical="top" wrapText="1"/>
      <protection locked="0"/>
    </xf>
    <xf numFmtId="49" fontId="9" fillId="0" borderId="0" xfId="0" applyNumberFormat="1" applyFont="1" applyAlignment="1">
      <alignment horizontal="center" vertical="top" wrapText="1"/>
      <protection locked="0"/>
    </xf>
    <xf numFmtId="49" fontId="0" fillId="0" borderId="0" xfId="0" applyNumberFormat="1" applyFont="1" applyAlignment="1">
      <alignment horizontal="left" vertical="top"/>
      <protection locked="0"/>
    </xf>
    <xf numFmtId="49" fontId="0" fillId="0" borderId="5" xfId="0" applyNumberFormat="1" applyFont="1" applyBorder="1" applyAlignment="1">
      <alignment horizontal="center" vertical="center" wrapText="1"/>
      <protection locked="0"/>
    </xf>
    <xf numFmtId="172" fontId="0" fillId="0" borderId="0" xfId="0" applyNumberFormat="1" applyFont="1" applyAlignment="1">
      <alignment horizontal="right" vertical="top"/>
      <protection locked="0"/>
    </xf>
    <xf numFmtId="174" fontId="0" fillId="0" borderId="0" xfId="0" applyNumberFormat="1" applyFont="1" applyAlignment="1">
      <alignment horizontal="right" vertical="top"/>
      <protection locked="0"/>
    </xf>
    <xf numFmtId="49" fontId="2" fillId="2" borderId="0" xfId="0" applyNumberFormat="1" applyFont="1" applyFill="1" applyBorder="1" applyAlignment="1">
      <alignment horizontal="left" vertical="top"/>
      <protection locked="0"/>
    </xf>
    <xf numFmtId="49" fontId="3" fillId="0" borderId="0" xfId="0" applyNumberFormat="1" applyFont="1" applyAlignment="1">
      <alignment horizontal="left" vertical="center"/>
      <protection locked="0"/>
    </xf>
    <xf numFmtId="172" fontId="0" fillId="0" borderId="0" xfId="0" applyNumberFormat="1" applyFont="1" applyAlignment="1">
      <alignment horizontal="right" vertical="center"/>
      <protection locked="0"/>
    </xf>
    <xf numFmtId="49" fontId="0" fillId="0" borderId="0" xfId="0" applyNumberFormat="1" applyFont="1" applyAlignment="1">
      <alignment horizontal="center" vertical="center"/>
      <protection locked="0"/>
    </xf>
    <xf numFmtId="49" fontId="2" fillId="2" borderId="0" xfId="0" applyNumberFormat="1" applyFont="1" applyFill="1" applyBorder="1" applyAlignment="1">
      <alignment horizontal="left" vertical="center"/>
      <protection locked="0"/>
    </xf>
    <xf numFmtId="49" fontId="0" fillId="0" borderId="0" xfId="0" applyNumberFormat="1" applyFont="1" applyAlignment="1">
      <alignment horizontal="right" vertical="top"/>
      <protection locked="0"/>
    </xf>
    <xf numFmtId="179" fontId="0" fillId="0" borderId="0" xfId="0" applyNumberFormat="1" applyFont="1" applyAlignment="1">
      <alignment horizontal="right" vertical="top"/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0C0C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C775"/>
  <sheetViews>
    <sheetView tabSelected="1" workbookViewId="0">
      <selection activeCell="C3" sqref="C3:N3"/>
    </sheetView>
  </sheetViews>
  <sheetFormatPr defaultRowHeight="10.5"/>
  <cols>
    <col min="1" max="1" width="4.140625" style="1" customWidth="1"/>
    <col min="2" max="2" width="28.28515625" style="1" customWidth="1"/>
    <col min="3" max="3" width="8.28515625" style="1" customWidth="1"/>
    <col min="4" max="4" width="12" style="1" customWidth="1"/>
    <col min="5" max="6" width="10.140625" style="1" customWidth="1"/>
    <col min="7" max="7" width="12" style="1" customWidth="1"/>
    <col min="8" max="9" width="10.140625" style="1" customWidth="1"/>
    <col min="10" max="11" width="6.7109375" style="1" customWidth="1"/>
    <col min="12" max="12" width="12" style="1" customWidth="1"/>
    <col min="13" max="14" width="10.140625" style="1" customWidth="1"/>
    <col min="15" max="16" width="9.140625" style="1" hidden="1" customWidth="1"/>
    <col min="17" max="19" width="9.140625" style="1" customWidth="1"/>
    <col min="20" max="26" width="9.140625" style="1" hidden="1" customWidth="1"/>
    <col min="27" max="27" width="9.140625" style="1" customWidth="1"/>
    <col min="28" max="28" width="130.7109375" style="1" hidden="1" customWidth="1"/>
    <col min="29" max="29" width="140.7109375" style="1" hidden="1" customWidth="1"/>
    <col min="30" max="16384" width="9.140625" style="1"/>
  </cols>
  <sheetData>
    <row r="1" spans="1:29">
      <c r="A1" s="2" t="s">
        <v>0</v>
      </c>
      <c r="E1" s="2" t="s">
        <v>1</v>
      </c>
      <c r="N1" s="3" t="s">
        <v>2</v>
      </c>
    </row>
    <row r="3" spans="1:29">
      <c r="B3" s="4" t="s">
        <v>3</v>
      </c>
      <c r="C3" s="48" t="s">
        <v>4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AB3" s="6" t="s">
        <v>4</v>
      </c>
    </row>
    <row r="4" spans="1:29">
      <c r="A4" s="55" t="s">
        <v>5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AC4" s="6" t="s">
        <v>5</v>
      </c>
    </row>
    <row r="5" spans="1:29">
      <c r="A5" s="56" t="s">
        <v>6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AC5" s="6" t="s">
        <v>6</v>
      </c>
    </row>
    <row r="6" spans="1:29">
      <c r="A6" s="57" t="s">
        <v>365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AC6" s="6" t="s">
        <v>7</v>
      </c>
    </row>
    <row r="7" spans="1:29">
      <c r="K7" s="4" t="s">
        <v>8</v>
      </c>
      <c r="L7" s="45" t="e">
        <f ca="1">TEXT((L768)/1000,"# ##0"&amp;GetSeparator()&amp;"000")</f>
        <v>#NAME?</v>
      </c>
      <c r="M7" s="45"/>
      <c r="N7" s="8" t="s">
        <v>9</v>
      </c>
    </row>
    <row r="8" spans="1:29">
      <c r="K8" s="4" t="s">
        <v>10</v>
      </c>
      <c r="L8" s="45" t="e">
        <f ca="1">TEXT((L766)/1000,"# ##0"&amp;GetSeparator()&amp;"000")</f>
        <v>#NAME?</v>
      </c>
      <c r="M8" s="45"/>
      <c r="N8" s="8" t="s">
        <v>11</v>
      </c>
    </row>
    <row r="9" spans="1:29">
      <c r="K9" s="4" t="s">
        <v>12</v>
      </c>
      <c r="L9" s="45" t="e">
        <f ca="1">TEXT((L763)/1000,"# ##0"&amp;GetSeparator()&amp;"000")</f>
        <v>#NAME?</v>
      </c>
      <c r="M9" s="45"/>
      <c r="N9" s="8" t="s">
        <v>9</v>
      </c>
    </row>
    <row r="10" spans="1:29">
      <c r="A10" s="58" t="s">
        <v>13</v>
      </c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</row>
    <row r="11" spans="1:29" ht="4.9000000000000004" customHeight="1"/>
    <row r="12" spans="1:29" ht="10.9" customHeight="1">
      <c r="A12" s="50" t="s">
        <v>14</v>
      </c>
      <c r="B12" s="50" t="s">
        <v>15</v>
      </c>
      <c r="C12" s="50" t="s">
        <v>16</v>
      </c>
      <c r="D12" s="52" t="s">
        <v>17</v>
      </c>
      <c r="E12" s="53"/>
      <c r="F12" s="54"/>
      <c r="G12" s="52" t="s">
        <v>18</v>
      </c>
      <c r="H12" s="53"/>
      <c r="I12" s="54"/>
      <c r="J12" s="52" t="s">
        <v>19</v>
      </c>
      <c r="K12" s="54"/>
      <c r="L12" s="52" t="s">
        <v>20</v>
      </c>
      <c r="M12" s="53"/>
      <c r="N12" s="54"/>
    </row>
    <row r="13" spans="1:29" ht="10.9" customHeight="1">
      <c r="A13" s="59"/>
      <c r="B13" s="59"/>
      <c r="C13" s="59"/>
      <c r="D13" s="50" t="s">
        <v>21</v>
      </c>
      <c r="E13" s="10" t="s">
        <v>22</v>
      </c>
      <c r="F13" s="10" t="s">
        <v>23</v>
      </c>
      <c r="G13" s="50" t="s">
        <v>21</v>
      </c>
      <c r="H13" s="10" t="s">
        <v>22</v>
      </c>
      <c r="I13" s="10" t="s">
        <v>23</v>
      </c>
      <c r="J13" s="10" t="s">
        <v>22</v>
      </c>
      <c r="K13" s="10" t="s">
        <v>23</v>
      </c>
      <c r="L13" s="50" t="s">
        <v>21</v>
      </c>
      <c r="M13" s="10" t="s">
        <v>22</v>
      </c>
      <c r="N13" s="10" t="s">
        <v>23</v>
      </c>
    </row>
    <row r="14" spans="1:29" ht="22.15" customHeight="1">
      <c r="A14" s="51"/>
      <c r="B14" s="51"/>
      <c r="C14" s="51"/>
      <c r="D14" s="51"/>
      <c r="E14" s="10" t="s">
        <v>24</v>
      </c>
      <c r="F14" s="10" t="s">
        <v>25</v>
      </c>
      <c r="G14" s="51"/>
      <c r="H14" s="10" t="s">
        <v>24</v>
      </c>
      <c r="I14" s="10" t="s">
        <v>25</v>
      </c>
      <c r="J14" s="10" t="s">
        <v>24</v>
      </c>
      <c r="K14" s="10" t="s">
        <v>25</v>
      </c>
      <c r="L14" s="51"/>
      <c r="M14" s="10" t="s">
        <v>24</v>
      </c>
      <c r="N14" s="10" t="s">
        <v>25</v>
      </c>
    </row>
    <row r="15" spans="1:29">
      <c r="A15" s="11">
        <v>1</v>
      </c>
      <c r="B15" s="11">
        <v>2</v>
      </c>
      <c r="C15" s="11">
        <v>3</v>
      </c>
      <c r="D15" s="11">
        <v>4</v>
      </c>
      <c r="E15" s="11">
        <v>5</v>
      </c>
      <c r="F15" s="11">
        <v>6</v>
      </c>
      <c r="G15" s="11">
        <v>7</v>
      </c>
      <c r="H15" s="11">
        <v>8</v>
      </c>
      <c r="I15" s="11">
        <v>9</v>
      </c>
      <c r="J15" s="11">
        <v>10</v>
      </c>
      <c r="K15" s="11">
        <v>11</v>
      </c>
      <c r="L15" s="11">
        <v>12</v>
      </c>
      <c r="M15" s="11">
        <v>13</v>
      </c>
      <c r="N15" s="11">
        <v>14</v>
      </c>
    </row>
    <row r="17" spans="1:16">
      <c r="B17" s="49" t="s">
        <v>26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</row>
    <row r="18" spans="1:16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</row>
    <row r="19" spans="1:16">
      <c r="A19" s="6" t="s">
        <v>27</v>
      </c>
      <c r="B19" s="48" t="s">
        <v>28</v>
      </c>
      <c r="C19" s="1">
        <v>0.2</v>
      </c>
      <c r="D19" s="12">
        <f>'Базовые цены за единицу'!B9</f>
        <v>202.05</v>
      </c>
      <c r="E19" s="13">
        <f>'Базовые цены за единицу'!C9</f>
        <v>177.13</v>
      </c>
      <c r="F19" s="13">
        <f>'Базовые цены за единицу'!D9</f>
        <v>24.92</v>
      </c>
      <c r="G19" s="14">
        <f>'Базовые цены с учетом расхода'!B9</f>
        <v>40</v>
      </c>
      <c r="H19" s="15">
        <f>'Базовые цены с учетом расхода'!C9</f>
        <v>35</v>
      </c>
      <c r="I19" s="15">
        <f>'Базовые цены с учетом расхода'!D9</f>
        <v>5</v>
      </c>
      <c r="J19" s="16">
        <v>20.63</v>
      </c>
      <c r="K19" s="16">
        <v>5.88</v>
      </c>
      <c r="L19" s="14">
        <f>'Текущие цены с учетом расхода'!B9</f>
        <v>760</v>
      </c>
      <c r="M19" s="15">
        <f>'Текущие цены с учетом расхода'!C9</f>
        <v>731</v>
      </c>
      <c r="N19" s="15">
        <f>'Текущие цены с учетом расхода'!D9</f>
        <v>29</v>
      </c>
    </row>
    <row r="20" spans="1:16" ht="66" customHeight="1">
      <c r="B20" s="43"/>
      <c r="E20" s="12">
        <f>'Базовые цены за единицу'!F9</f>
        <v>0</v>
      </c>
      <c r="F20" s="12">
        <f>'Базовые цены за единицу'!E9</f>
        <v>3.78</v>
      </c>
      <c r="H20" s="14">
        <f>'Базовые цены с учетом расхода'!F9</f>
        <v>0</v>
      </c>
      <c r="I20" s="14">
        <f>'Базовые цены с учетом расхода'!E9</f>
        <v>1</v>
      </c>
      <c r="J20" s="16">
        <v>1</v>
      </c>
      <c r="K20" s="16">
        <v>20.63</v>
      </c>
      <c r="M20" s="14">
        <f>'Текущие цены с учетом расхода'!F9</f>
        <v>0</v>
      </c>
      <c r="N20" s="14">
        <f>'Текущие цены с учетом расхода'!E9</f>
        <v>16</v>
      </c>
    </row>
    <row r="21" spans="1:16" hidden="1">
      <c r="B21" s="17" t="s">
        <v>29</v>
      </c>
      <c r="G21" s="1">
        <v>35</v>
      </c>
      <c r="L21" s="1">
        <v>731</v>
      </c>
    </row>
    <row r="22" spans="1:16" hidden="1">
      <c r="B22" s="17" t="s">
        <v>30</v>
      </c>
      <c r="G22" s="1">
        <v>5</v>
      </c>
      <c r="L22" s="1">
        <v>29</v>
      </c>
    </row>
    <row r="23" spans="1:16" hidden="1">
      <c r="B23" s="17" t="s">
        <v>31</v>
      </c>
      <c r="G23" s="1">
        <v>1</v>
      </c>
      <c r="L23" s="1">
        <v>16</v>
      </c>
    </row>
    <row r="24" spans="1:16" hidden="1">
      <c r="B24" s="17" t="s">
        <v>32</v>
      </c>
    </row>
    <row r="25" spans="1:16" ht="31.5" hidden="1">
      <c r="B25" s="17" t="s">
        <v>33</v>
      </c>
    </row>
    <row r="26" spans="1:16" ht="21" hidden="1">
      <c r="B26" s="17" t="s">
        <v>34</v>
      </c>
      <c r="D26" s="18"/>
      <c r="K26" s="18"/>
      <c r="O26" s="1" t="s">
        <v>35</v>
      </c>
      <c r="P26" s="1" t="s">
        <v>36</v>
      </c>
    </row>
    <row r="27" spans="1:16" ht="21" hidden="1">
      <c r="B27" s="17" t="s">
        <v>37</v>
      </c>
    </row>
    <row r="28" spans="1:16" ht="21" hidden="1">
      <c r="B28" s="17" t="s">
        <v>38</v>
      </c>
    </row>
    <row r="29" spans="1:16" ht="21" hidden="1">
      <c r="B29" s="17" t="s">
        <v>39</v>
      </c>
    </row>
    <row r="30" spans="1:16">
      <c r="B30" s="17" t="s">
        <v>40</v>
      </c>
      <c r="D30" s="1">
        <v>83</v>
      </c>
      <c r="G30" s="14">
        <f>IF('Базовые цены с учетом расхода'!N9&gt;0,'Базовые цены с учетом расхода'!N9,IF('Базовые цены с учетом расхода'!N9&lt;0,'Базовые цены с учетом расхода'!N9,""))</f>
        <v>30</v>
      </c>
      <c r="K30" s="1">
        <v>83</v>
      </c>
      <c r="L30" s="14">
        <f>IF('Текущие цены с учетом расхода'!N9&gt;0,'Текущие цены с учетом расхода'!N9,IF('Текущие цены с учетом расхода'!N9&lt;0,'Текущие цены с учетом расхода'!N9,""))</f>
        <v>620</v>
      </c>
      <c r="P30" s="5" t="s">
        <v>41</v>
      </c>
    </row>
    <row r="31" spans="1:16" hidden="1">
      <c r="B31" s="17" t="s">
        <v>42</v>
      </c>
      <c r="D31" s="1">
        <v>83</v>
      </c>
      <c r="G31" s="14">
        <f>IF('Базовые цены с учетом расхода'!P9&gt;0,'Базовые цены с учетом расхода'!P9,IF('Базовые цены с учетом расхода'!P9&lt;0,'Базовые цены с учетом расхода'!P9,""))</f>
        <v>29</v>
      </c>
      <c r="K31" s="1">
        <v>83</v>
      </c>
      <c r="L31" s="14">
        <f>IF('Текущие цены с учетом расхода'!P9&gt;0,'Текущие цены с учетом расхода'!P9,IF('Текущие цены с учетом расхода'!P9&lt;0,'Текущие цены с учетом расхода'!P9,""))</f>
        <v>607</v>
      </c>
      <c r="P31" s="5" t="s">
        <v>43</v>
      </c>
    </row>
    <row r="32" spans="1:16" hidden="1">
      <c r="B32" s="17" t="s">
        <v>44</v>
      </c>
      <c r="D32" s="1">
        <v>83</v>
      </c>
      <c r="G32" s="14">
        <f>IF('Базовые цены с учетом расхода'!Q9&gt;0,'Базовые цены с учетом расхода'!Q9,IF('Базовые цены с учетом расхода'!Q9&lt;0,'Базовые цены с учетом расхода'!Q9,""))</f>
        <v>1</v>
      </c>
      <c r="K32" s="1">
        <v>83</v>
      </c>
      <c r="L32" s="14">
        <f>IF('Текущие цены с учетом расхода'!Q9&gt;0,'Текущие цены с учетом расхода'!Q9,IF('Текущие цены с учетом расхода'!Q9&lt;0,'Текущие цены с учетом расхода'!Q9,""))</f>
        <v>13</v>
      </c>
      <c r="P32" s="5" t="s">
        <v>45</v>
      </c>
    </row>
    <row r="33" spans="1:16" ht="21">
      <c r="B33" s="17" t="s">
        <v>46</v>
      </c>
      <c r="D33" s="1">
        <v>65</v>
      </c>
      <c r="G33" s="14">
        <f>IF('Базовые цены с учетом расхода'!O9&gt;0,'Базовые цены с учетом расхода'!O9,IF('Базовые цены с учетом расхода'!O9&lt;0,'Базовые цены с учетом расхода'!O9,""))</f>
        <v>23</v>
      </c>
      <c r="K33" s="1">
        <v>65</v>
      </c>
      <c r="L33" s="14">
        <f>IF('Текущие цены с учетом расхода'!O9&gt;0,'Текущие цены с учетом расхода'!O9,IF('Текущие цены с учетом расхода'!O9&lt;0,'Текущие цены с учетом расхода'!O9,""))</f>
        <v>486</v>
      </c>
      <c r="P33" s="5" t="s">
        <v>47</v>
      </c>
    </row>
    <row r="34" spans="1:16" hidden="1">
      <c r="B34" s="17" t="s">
        <v>48</v>
      </c>
      <c r="D34" s="1">
        <v>65</v>
      </c>
      <c r="G34" s="14">
        <f>IF('Базовые цены с учетом расхода'!R9&gt;0,'Базовые цены с учетом расхода'!R9,IF('Базовые цены с учетом расхода'!R9&lt;0,'Базовые цены с учетом расхода'!R9,""))</f>
        <v>23</v>
      </c>
      <c r="K34" s="1">
        <v>65</v>
      </c>
      <c r="L34" s="14">
        <f>IF('Текущие цены с учетом расхода'!R9&gt;0,'Текущие цены с учетом расхода'!R9,IF('Текущие цены с учетом расхода'!R9&lt;0,'Текущие цены с учетом расхода'!R9,""))</f>
        <v>475</v>
      </c>
      <c r="P34" s="5" t="s">
        <v>49</v>
      </c>
    </row>
    <row r="35" spans="1:16" hidden="1">
      <c r="B35" s="17" t="s">
        <v>50</v>
      </c>
      <c r="D35" s="1">
        <v>65</v>
      </c>
      <c r="G35" s="14" t="str">
        <f>IF('Базовые цены с учетом расхода'!S9&gt;0,'Базовые цены с учетом расхода'!S9,IF('Базовые цены с учетом расхода'!S9&lt;0,'Базовые цены с учетом расхода'!S9,""))</f>
        <v/>
      </c>
      <c r="K35" s="1">
        <v>65</v>
      </c>
      <c r="L35" s="14">
        <f>IF('Текущие цены с учетом расхода'!S9&gt;0,'Текущие цены с учетом расхода'!S9,IF('Текущие цены с учетом расхода'!S9&lt;0,'Текущие цены с учетом расхода'!S9,""))</f>
        <v>10</v>
      </c>
      <c r="P35" s="5" t="s">
        <v>51</v>
      </c>
    </row>
    <row r="36" spans="1:16">
      <c r="B36" s="17" t="s">
        <v>52</v>
      </c>
      <c r="G36" s="14">
        <f>ROUND(IF(G19="",0,G19)+IF(G30="",0,G30)+IF(G33="",0,G33),0)</f>
        <v>93</v>
      </c>
      <c r="L36" s="14">
        <f>ROUND(IF(L19="",0,L19)+IF(L30="",0,L30)+IF(L33="",0,L33),0)</f>
        <v>1866</v>
      </c>
    </row>
    <row r="37" spans="1:16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</row>
    <row r="38" spans="1:16">
      <c r="A38" s="6" t="s">
        <v>53</v>
      </c>
      <c r="B38" s="48" t="s">
        <v>54</v>
      </c>
      <c r="C38" s="1">
        <v>0.2</v>
      </c>
      <c r="D38" s="12">
        <f>'Базовые цены за единицу'!B10</f>
        <v>3057.9</v>
      </c>
      <c r="E38" s="13">
        <f>'Базовые цены за единицу'!C10</f>
        <v>229.39</v>
      </c>
      <c r="F38" s="13">
        <f>'Базовые цены за единицу'!D10</f>
        <v>99.01</v>
      </c>
      <c r="G38" s="14">
        <f>'Базовые цены с учетом расхода'!B10</f>
        <v>612</v>
      </c>
      <c r="H38" s="15">
        <f>'Базовые цены с учетом расхода'!C10</f>
        <v>46</v>
      </c>
      <c r="I38" s="15">
        <f>'Базовые цены с учетом расхода'!D10</f>
        <v>20</v>
      </c>
      <c r="J38" s="16">
        <v>20.63</v>
      </c>
      <c r="K38" s="16">
        <v>8.06</v>
      </c>
      <c r="L38" s="14">
        <f>'Текущие цены с учетом расхода'!B10</f>
        <v>3371</v>
      </c>
      <c r="M38" s="15">
        <f>'Текущие цены с учетом расхода'!C10</f>
        <v>946</v>
      </c>
      <c r="N38" s="15">
        <f>'Текущие цены с учетом расхода'!D10</f>
        <v>160</v>
      </c>
    </row>
    <row r="39" spans="1:16" ht="43.9" customHeight="1">
      <c r="B39" s="43"/>
      <c r="E39" s="12">
        <f>'Базовые цены за единицу'!F10</f>
        <v>2729.5</v>
      </c>
      <c r="F39" s="12">
        <f>'Базовые цены за единицу'!E10</f>
        <v>7.49</v>
      </c>
      <c r="H39" s="14">
        <f>'Базовые цены с учетом расхода'!F10</f>
        <v>546</v>
      </c>
      <c r="I39" s="14">
        <f>'Базовые цены с учетом расхода'!E10</f>
        <v>1</v>
      </c>
      <c r="J39" s="16">
        <v>4.1500000000000004</v>
      </c>
      <c r="K39" s="16">
        <v>20.63</v>
      </c>
      <c r="M39" s="14">
        <f>'Текущие цены с учетом расхода'!F10</f>
        <v>2265</v>
      </c>
      <c r="N39" s="14">
        <f>'Текущие цены с учетом расхода'!E10</f>
        <v>31</v>
      </c>
    </row>
    <row r="40" spans="1:16">
      <c r="B40" s="20" t="s">
        <v>55</v>
      </c>
    </row>
    <row r="41" spans="1:16" hidden="1">
      <c r="B41" s="17" t="s">
        <v>29</v>
      </c>
      <c r="G41" s="1">
        <v>46</v>
      </c>
      <c r="L41" s="1">
        <v>946</v>
      </c>
    </row>
    <row r="42" spans="1:16" hidden="1">
      <c r="B42" s="17" t="s">
        <v>30</v>
      </c>
      <c r="G42" s="1">
        <v>20</v>
      </c>
      <c r="L42" s="1">
        <v>160</v>
      </c>
    </row>
    <row r="43" spans="1:16" hidden="1">
      <c r="B43" s="17" t="s">
        <v>31</v>
      </c>
      <c r="G43" s="1">
        <v>1</v>
      </c>
      <c r="L43" s="1">
        <v>31</v>
      </c>
    </row>
    <row r="44" spans="1:16" hidden="1">
      <c r="B44" s="17" t="s">
        <v>32</v>
      </c>
      <c r="G44" s="1">
        <v>546</v>
      </c>
      <c r="L44" s="1">
        <v>2265</v>
      </c>
    </row>
    <row r="45" spans="1:16" ht="31.5" hidden="1">
      <c r="B45" s="17" t="s">
        <v>33</v>
      </c>
    </row>
    <row r="46" spans="1:16" ht="21" hidden="1">
      <c r="B46" s="17" t="s">
        <v>34</v>
      </c>
      <c r="D46" s="18"/>
      <c r="K46" s="18"/>
      <c r="O46" s="1" t="s">
        <v>35</v>
      </c>
      <c r="P46" s="1" t="s">
        <v>36</v>
      </c>
    </row>
    <row r="47" spans="1:16" ht="21" hidden="1">
      <c r="B47" s="17" t="s">
        <v>37</v>
      </c>
    </row>
    <row r="48" spans="1:16" ht="21" hidden="1">
      <c r="B48" s="17" t="s">
        <v>38</v>
      </c>
    </row>
    <row r="49" spans="1:16" ht="21" hidden="1">
      <c r="B49" s="17" t="s">
        <v>39</v>
      </c>
    </row>
    <row r="50" spans="1:16">
      <c r="B50" s="17" t="s">
        <v>40</v>
      </c>
      <c r="D50" s="1">
        <v>106</v>
      </c>
      <c r="G50" s="14">
        <f>IF('Базовые цены с учетом расхода'!N10&gt;0,'Базовые цены с учетом расхода'!N10,IF('Базовые цены с учетом расхода'!N10&lt;0,'Базовые цены с учетом расхода'!N10,""))</f>
        <v>50</v>
      </c>
      <c r="K50" s="1">
        <v>106</v>
      </c>
      <c r="L50" s="14">
        <f>IF('Текущие цены с учетом расхода'!N10&gt;0,'Текущие цены с учетом расхода'!N10,IF('Текущие цены с учетом расхода'!N10&lt;0,'Текущие цены с учетом расхода'!N10,""))</f>
        <v>1036</v>
      </c>
      <c r="P50" s="5" t="s">
        <v>41</v>
      </c>
    </row>
    <row r="51" spans="1:16" hidden="1">
      <c r="B51" s="17" t="s">
        <v>42</v>
      </c>
      <c r="D51" s="1">
        <v>106</v>
      </c>
      <c r="G51" s="14">
        <f>IF('Базовые цены с учетом расхода'!P10&gt;0,'Базовые цены с учетом расхода'!P10,IF('Базовые цены с учетом расхода'!P10&lt;0,'Базовые цены с учетом расхода'!P10,""))</f>
        <v>49</v>
      </c>
      <c r="K51" s="1">
        <v>106</v>
      </c>
      <c r="L51" s="14">
        <f>IF('Текущие цены с учетом расхода'!P10&gt;0,'Текущие цены с учетом расхода'!P10,IF('Текущие цены с учетом расхода'!P10&lt;0,'Текущие цены с учетом расхода'!P10,""))</f>
        <v>1003</v>
      </c>
      <c r="P51" s="5" t="s">
        <v>43</v>
      </c>
    </row>
    <row r="52" spans="1:16" hidden="1">
      <c r="B52" s="17" t="s">
        <v>44</v>
      </c>
      <c r="D52" s="1">
        <v>106</v>
      </c>
      <c r="G52" s="14">
        <f>IF('Базовые цены с учетом расхода'!Q10&gt;0,'Базовые цены с учетом расхода'!Q10,IF('Базовые цены с учетом расхода'!Q10&lt;0,'Базовые цены с учетом расхода'!Q10,""))</f>
        <v>2</v>
      </c>
      <c r="K52" s="1">
        <v>106</v>
      </c>
      <c r="L52" s="14">
        <f>IF('Текущие цены с учетом расхода'!Q10&gt;0,'Текущие цены с учетом расхода'!Q10,IF('Текущие цены с учетом расхода'!Q10&lt;0,'Текущие цены с учетом расхода'!Q10,""))</f>
        <v>33</v>
      </c>
      <c r="P52" s="5" t="s">
        <v>45</v>
      </c>
    </row>
    <row r="53" spans="1:16" ht="21">
      <c r="B53" s="17" t="s">
        <v>46</v>
      </c>
      <c r="D53" s="1">
        <v>54</v>
      </c>
      <c r="G53" s="14">
        <f>IF('Базовые цены с учетом расхода'!O10&gt;0,'Базовые цены с учетом расхода'!O10,IF('Базовые цены с учетом расхода'!O10&lt;0,'Базовые цены с учетом расхода'!O10,""))</f>
        <v>25</v>
      </c>
      <c r="K53" s="1">
        <v>54</v>
      </c>
      <c r="L53" s="14">
        <f>IF('Текущие цены с учетом расхода'!O10&gt;0,'Текущие цены с учетом расхода'!O10,IF('Текущие цены с учетом расхода'!O10&lt;0,'Текущие цены с учетом расхода'!O10,""))</f>
        <v>528</v>
      </c>
      <c r="P53" s="5" t="s">
        <v>47</v>
      </c>
    </row>
    <row r="54" spans="1:16" hidden="1">
      <c r="B54" s="17" t="s">
        <v>48</v>
      </c>
      <c r="D54" s="1">
        <v>54</v>
      </c>
      <c r="G54" s="14">
        <f>IF('Базовые цены с учетом расхода'!R10&gt;0,'Базовые цены с учетом расхода'!R10,IF('Базовые цены с учетом расхода'!R10&lt;0,'Базовые цены с учетом расхода'!R10,""))</f>
        <v>25</v>
      </c>
      <c r="K54" s="1">
        <v>54</v>
      </c>
      <c r="L54" s="14">
        <f>IF('Текущие цены с учетом расхода'!R10&gt;0,'Текущие цены с учетом расхода'!R10,IF('Текущие цены с учетом расхода'!R10&lt;0,'Текущие цены с учетом расхода'!R10,""))</f>
        <v>511</v>
      </c>
      <c r="P54" s="5" t="s">
        <v>49</v>
      </c>
    </row>
    <row r="55" spans="1:16" hidden="1">
      <c r="B55" s="17" t="s">
        <v>50</v>
      </c>
      <c r="D55" s="1">
        <v>54</v>
      </c>
      <c r="G55" s="14">
        <f>IF('Базовые цены с учетом расхода'!S10&gt;0,'Базовые цены с учетом расхода'!S10,IF('Базовые цены с учетом расхода'!S10&lt;0,'Базовые цены с учетом расхода'!S10,""))</f>
        <v>1</v>
      </c>
      <c r="K55" s="1">
        <v>54</v>
      </c>
      <c r="L55" s="14">
        <f>IF('Текущие цены с учетом расхода'!S10&gt;0,'Текущие цены с учетом расхода'!S10,IF('Текущие цены с учетом расхода'!S10&lt;0,'Текущие цены с учетом расхода'!S10,""))</f>
        <v>17</v>
      </c>
      <c r="P55" s="5" t="s">
        <v>51</v>
      </c>
    </row>
    <row r="56" spans="1:16">
      <c r="B56" s="17" t="s">
        <v>52</v>
      </c>
      <c r="G56" s="14">
        <f>ROUND(IF(G38="",0,G38)+IF(G50="",0,G50)+IF(G53="",0,G53),0)</f>
        <v>687</v>
      </c>
      <c r="L56" s="14">
        <f>ROUND(IF(L38="",0,L38)+IF(L50="",0,L50)+IF(L53="",0,L53),0)</f>
        <v>4935</v>
      </c>
    </row>
    <row r="57" spans="1:16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</row>
    <row r="58" spans="1:16">
      <c r="A58" s="6" t="s">
        <v>56</v>
      </c>
      <c r="B58" s="48" t="s">
        <v>57</v>
      </c>
      <c r="C58" s="1">
        <v>0.7</v>
      </c>
      <c r="D58" s="12">
        <f>'Базовые цены за единицу'!B11</f>
        <v>7016.26</v>
      </c>
      <c r="E58" s="13">
        <f>'Базовые цены за единицу'!C11</f>
        <v>407.08</v>
      </c>
      <c r="F58" s="13">
        <f>'Базовые цены за единицу'!D11</f>
        <v>29.15</v>
      </c>
      <c r="G58" s="14">
        <f>'Базовые цены с учетом расхода'!B11</f>
        <v>4911</v>
      </c>
      <c r="H58" s="15">
        <f>'Базовые цены с учетом расхода'!C11</f>
        <v>285</v>
      </c>
      <c r="I58" s="15">
        <f>'Базовые цены с учетом расхода'!D11</f>
        <v>20</v>
      </c>
      <c r="J58" s="16">
        <v>20.63</v>
      </c>
      <c r="K58" s="16">
        <v>5.26</v>
      </c>
      <c r="L58" s="14">
        <f>'Текущие цены с учетом расхода'!B11</f>
        <v>30905</v>
      </c>
      <c r="M58" s="15">
        <f>'Текущие цены с учетом расхода'!C11</f>
        <v>5879</v>
      </c>
      <c r="N58" s="15">
        <f>'Текущие цены с учетом расхода'!D11</f>
        <v>107</v>
      </c>
    </row>
    <row r="59" spans="1:16" ht="66" customHeight="1">
      <c r="B59" s="43"/>
      <c r="E59" s="12">
        <f>'Базовые цены за единицу'!F11</f>
        <v>6580.03</v>
      </c>
      <c r="F59" s="12">
        <f>'Базовые цены за единицу'!E11</f>
        <v>1.95</v>
      </c>
      <c r="H59" s="14">
        <f>'Базовые цены с учетом расхода'!F11</f>
        <v>4606</v>
      </c>
      <c r="I59" s="14">
        <f>'Базовые цены с учетом расхода'!E11</f>
        <v>1</v>
      </c>
      <c r="J59" s="16">
        <v>5.41</v>
      </c>
      <c r="K59" s="16">
        <v>20.63</v>
      </c>
      <c r="M59" s="14">
        <f>'Текущие цены с учетом расхода'!F11</f>
        <v>24919</v>
      </c>
      <c r="N59" s="14">
        <f>'Текущие цены с учетом расхода'!E11</f>
        <v>28</v>
      </c>
    </row>
    <row r="60" spans="1:16" hidden="1">
      <c r="B60" s="17" t="s">
        <v>29</v>
      </c>
      <c r="G60" s="1">
        <v>285</v>
      </c>
      <c r="L60" s="1">
        <v>5879</v>
      </c>
    </row>
    <row r="61" spans="1:16" hidden="1">
      <c r="B61" s="17" t="s">
        <v>30</v>
      </c>
      <c r="G61" s="1">
        <v>20</v>
      </c>
      <c r="L61" s="1">
        <v>107</v>
      </c>
    </row>
    <row r="62" spans="1:16" hidden="1">
      <c r="B62" s="17" t="s">
        <v>31</v>
      </c>
      <c r="G62" s="1">
        <v>1</v>
      </c>
      <c r="L62" s="1">
        <v>28</v>
      </c>
    </row>
    <row r="63" spans="1:16" hidden="1">
      <c r="B63" s="17" t="s">
        <v>32</v>
      </c>
      <c r="G63" s="1">
        <v>4606</v>
      </c>
      <c r="L63" s="1">
        <v>24919</v>
      </c>
    </row>
    <row r="64" spans="1:16" ht="31.5" hidden="1">
      <c r="B64" s="17" t="s">
        <v>33</v>
      </c>
    </row>
    <row r="65" spans="1:26" ht="21" hidden="1">
      <c r="B65" s="17" t="s">
        <v>34</v>
      </c>
      <c r="D65" s="18"/>
      <c r="K65" s="18"/>
      <c r="O65" s="1" t="s">
        <v>35</v>
      </c>
      <c r="P65" s="1" t="s">
        <v>36</v>
      </c>
    </row>
    <row r="66" spans="1:26" ht="21" hidden="1">
      <c r="B66" s="17" t="s">
        <v>37</v>
      </c>
    </row>
    <row r="67" spans="1:26" ht="21" hidden="1">
      <c r="B67" s="17" t="s">
        <v>38</v>
      </c>
    </row>
    <row r="68" spans="1:26" ht="21" hidden="1">
      <c r="B68" s="17" t="s">
        <v>39</v>
      </c>
    </row>
    <row r="69" spans="1:26">
      <c r="B69" s="17" t="s">
        <v>40</v>
      </c>
      <c r="D69" s="1">
        <v>83</v>
      </c>
      <c r="G69" s="14">
        <f>IF('Базовые цены с учетом расхода'!N11&gt;0,'Базовые цены с учетом расхода'!N11,IF('Базовые цены с учетом расхода'!N11&lt;0,'Базовые цены с учетом расхода'!N11,""))</f>
        <v>237</v>
      </c>
      <c r="K69" s="1">
        <v>83</v>
      </c>
      <c r="L69" s="14">
        <f>IF('Текущие цены с учетом расхода'!N11&gt;0,'Текущие цены с учетом расхода'!N11,IF('Текущие цены с учетом расхода'!N11&lt;0,'Текущие цены с учетом расхода'!N11,""))</f>
        <v>4903</v>
      </c>
      <c r="P69" s="5" t="s">
        <v>41</v>
      </c>
    </row>
    <row r="70" spans="1:26" hidden="1">
      <c r="B70" s="17" t="s">
        <v>42</v>
      </c>
      <c r="D70" s="1">
        <v>83</v>
      </c>
      <c r="G70" s="14">
        <f>IF('Базовые цены с учетом расхода'!P11&gt;0,'Базовые цены с учетом расхода'!P11,IF('Базовые цены с учетом расхода'!P11&lt;0,'Базовые цены с учетом расхода'!P11,""))</f>
        <v>237</v>
      </c>
      <c r="K70" s="1">
        <v>83</v>
      </c>
      <c r="L70" s="14">
        <f>IF('Текущие цены с учетом расхода'!P11&gt;0,'Текущие цены с учетом расхода'!P11,IF('Текущие цены с учетом расхода'!P11&lt;0,'Текущие цены с учетом расхода'!P11,""))</f>
        <v>4879</v>
      </c>
      <c r="P70" s="5" t="s">
        <v>43</v>
      </c>
    </row>
    <row r="71" spans="1:26" hidden="1">
      <c r="B71" s="17" t="s">
        <v>44</v>
      </c>
      <c r="D71" s="1">
        <v>83</v>
      </c>
      <c r="G71" s="14">
        <f>IF('Базовые цены с учетом расхода'!Q11&gt;0,'Базовые цены с учетом расхода'!Q11,IF('Базовые цены с учетом расхода'!Q11&lt;0,'Базовые цены с учетом расхода'!Q11,""))</f>
        <v>1</v>
      </c>
      <c r="K71" s="1">
        <v>83</v>
      </c>
      <c r="L71" s="14">
        <f>IF('Текущие цены с учетом расхода'!Q11&gt;0,'Текущие цены с учетом расхода'!Q11,IF('Текущие цены с учетом расхода'!Q11&lt;0,'Текущие цены с учетом расхода'!Q11,""))</f>
        <v>23</v>
      </c>
      <c r="P71" s="5" t="s">
        <v>45</v>
      </c>
    </row>
    <row r="72" spans="1:26" ht="21">
      <c r="B72" s="17" t="s">
        <v>46</v>
      </c>
      <c r="D72" s="1">
        <v>65</v>
      </c>
      <c r="G72" s="14">
        <f>IF('Базовые цены с учетом расхода'!O11&gt;0,'Базовые цены с учетом расхода'!O11,IF('Базовые цены с учетом расхода'!O11&lt;0,'Базовые цены с учетом расхода'!O11,""))</f>
        <v>186</v>
      </c>
      <c r="K72" s="1">
        <v>65</v>
      </c>
      <c r="L72" s="14">
        <f>IF('Текущие цены с учетом расхода'!O11&gt;0,'Текущие цены с учетом расхода'!O11,IF('Текущие цены с учетом расхода'!O11&lt;0,'Текущие цены с учетом расхода'!O11,""))</f>
        <v>3840</v>
      </c>
      <c r="P72" s="5" t="s">
        <v>47</v>
      </c>
    </row>
    <row r="73" spans="1:26" hidden="1">
      <c r="B73" s="17" t="s">
        <v>48</v>
      </c>
      <c r="D73" s="1">
        <v>65</v>
      </c>
      <c r="G73" s="14">
        <f>IF('Базовые цены с учетом расхода'!R11&gt;0,'Базовые цены с учетом расхода'!R11,IF('Базовые цены с учетом расхода'!R11&lt;0,'Базовые цены с учетом расхода'!R11,""))</f>
        <v>185</v>
      </c>
      <c r="K73" s="1">
        <v>65</v>
      </c>
      <c r="L73" s="14">
        <f>IF('Текущие цены с учетом расхода'!R11&gt;0,'Текущие цены с учетом расхода'!R11,IF('Текущие цены с учетом расхода'!R11&lt;0,'Текущие цены с учетом расхода'!R11,""))</f>
        <v>3821</v>
      </c>
      <c r="P73" s="5" t="s">
        <v>49</v>
      </c>
    </row>
    <row r="74" spans="1:26" hidden="1">
      <c r="B74" s="17" t="s">
        <v>50</v>
      </c>
      <c r="D74" s="1">
        <v>65</v>
      </c>
      <c r="G74" s="14">
        <f>IF('Базовые цены с учетом расхода'!S11&gt;0,'Базовые цены с учетом расхода'!S11,IF('Базовые цены с учетом расхода'!S11&lt;0,'Базовые цены с учетом расхода'!S11,""))</f>
        <v>1</v>
      </c>
      <c r="K74" s="1">
        <v>65</v>
      </c>
      <c r="L74" s="14">
        <f>IF('Текущие цены с учетом расхода'!S11&gt;0,'Текущие цены с учетом расхода'!S11,IF('Текущие цены с учетом расхода'!S11&lt;0,'Текущие цены с учетом расхода'!S11,""))</f>
        <v>18</v>
      </c>
      <c r="P74" s="5" t="s">
        <v>51</v>
      </c>
    </row>
    <row r="75" spans="1:26">
      <c r="B75" s="17" t="s">
        <v>52</v>
      </c>
      <c r="G75" s="14">
        <f>ROUND(IF(G58="",0,G58)+IF(G69="",0,G69)+IF(G72="",0,G72),0)</f>
        <v>5334</v>
      </c>
      <c r="L75" s="14">
        <f>ROUND(IF(L58="",0,L58)+IF(L69="",0,L69)+IF(L72="",0,L72),0)</f>
        <v>39648</v>
      </c>
    </row>
    <row r="76" spans="1:26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</row>
    <row r="77" spans="1:26">
      <c r="B77" s="42" t="s">
        <v>58</v>
      </c>
      <c r="C77" s="43"/>
      <c r="D77" s="43"/>
      <c r="E77" s="43"/>
      <c r="F77" s="44"/>
      <c r="G77" s="47">
        <f>'Базовые концовки'!F10</f>
        <v>5563</v>
      </c>
      <c r="H77" s="22">
        <f>'Базовые концовки'!G10</f>
        <v>366</v>
      </c>
      <c r="I77" s="22">
        <f>'Базовые концовки'!H10</f>
        <v>45</v>
      </c>
      <c r="L77" s="47">
        <f>'Текущие концовки'!F10</f>
        <v>35036</v>
      </c>
      <c r="M77" s="22">
        <f>'Текущие концовки'!G10</f>
        <v>7556</v>
      </c>
      <c r="N77" s="22">
        <f>'Текущие концовки'!H10</f>
        <v>296</v>
      </c>
      <c r="T77" s="46">
        <f>'Текущие концовки'!G10</f>
        <v>7556</v>
      </c>
      <c r="U77" s="46">
        <f>'Текущие концовки'!H10</f>
        <v>296</v>
      </c>
      <c r="V77" s="46">
        <f>'Текущие концовки'!I10</f>
        <v>75</v>
      </c>
      <c r="W77" s="45" t="e">
        <f ca="1">'Текущие концовки'!J10</f>
        <v>#NAME?</v>
      </c>
      <c r="X77" s="45" t="e">
        <f ca="1">'Текущие концовки'!K10</f>
        <v>#NAME?</v>
      </c>
      <c r="Y77" s="46">
        <f>'Текущие концовки'!L10</f>
        <v>27184</v>
      </c>
      <c r="Z77" s="46">
        <f>'Текущие концовки'!M10</f>
        <v>0</v>
      </c>
    </row>
    <row r="78" spans="1:26">
      <c r="B78" s="43"/>
      <c r="C78" s="43"/>
      <c r="D78" s="43"/>
      <c r="E78" s="43"/>
      <c r="F78" s="43"/>
      <c r="G78" s="47"/>
      <c r="H78" s="21">
        <f>'Базовые концовки'!L10</f>
        <v>5152</v>
      </c>
      <c r="I78" s="21">
        <f>'Базовые концовки'!I10</f>
        <v>3</v>
      </c>
      <c r="L78" s="47"/>
      <c r="M78" s="21">
        <f>'Текущие концовки'!L10</f>
        <v>27184</v>
      </c>
      <c r="N78" s="21">
        <f>'Текущие концовки'!I10</f>
        <v>75</v>
      </c>
      <c r="T78" s="46"/>
      <c r="U78" s="46"/>
      <c r="V78" s="46"/>
      <c r="W78" s="45"/>
      <c r="X78" s="45"/>
      <c r="Y78" s="46"/>
      <c r="Z78" s="46"/>
    </row>
    <row r="79" spans="1:26" hidden="1">
      <c r="B79" s="42" t="s">
        <v>59</v>
      </c>
      <c r="C79" s="43"/>
      <c r="D79" s="43"/>
      <c r="E79" s="44"/>
      <c r="G79" s="21">
        <f>'Базовые концовки'!F11</f>
        <v>0</v>
      </c>
      <c r="H79" s="21">
        <f>'Базовые концовки'!G11</f>
        <v>0</v>
      </c>
      <c r="I79" s="21">
        <f>'Базовые концовки'!H11</f>
        <v>0</v>
      </c>
      <c r="L79" s="21">
        <f>'Текущие концовки'!F11</f>
        <v>0</v>
      </c>
      <c r="M79" s="21">
        <f>'Текущие концовки'!G11</f>
        <v>0</v>
      </c>
      <c r="N79" s="21">
        <f>'Текущие концовки'!H11</f>
        <v>0</v>
      </c>
      <c r="T79" s="23">
        <f>'Текущие концовки'!G11</f>
        <v>0</v>
      </c>
      <c r="U79" s="23">
        <f>'Текущие концовки'!H11</f>
        <v>0</v>
      </c>
      <c r="V79" s="23">
        <f>'Текущие концовки'!I11</f>
        <v>0</v>
      </c>
      <c r="W79" s="7">
        <f>'Текущие концовки'!J11</f>
        <v>0</v>
      </c>
      <c r="X79" s="7">
        <f>'Текущие концовки'!K11</f>
        <v>0</v>
      </c>
      <c r="Y79" s="23">
        <f>'Текущие концовки'!L11</f>
        <v>0</v>
      </c>
      <c r="Z79" s="23">
        <f>'Текущие концовки'!M11</f>
        <v>0</v>
      </c>
    </row>
    <row r="80" spans="1:26" hidden="1">
      <c r="B80" s="42" t="s">
        <v>60</v>
      </c>
      <c r="C80" s="43"/>
      <c r="D80" s="43"/>
      <c r="E80" s="44"/>
      <c r="G80" s="21" t="e">
        <f ca="1">'Базовые концовки'!F12</f>
        <v>#NAME?</v>
      </c>
      <c r="H80" s="21"/>
      <c r="I80" s="21"/>
      <c r="L80" s="21" t="e">
        <f ca="1">'Текущие концовки'!F12</f>
        <v>#NAME?</v>
      </c>
      <c r="M80" s="21"/>
      <c r="N80" s="21"/>
      <c r="T80" s="23"/>
      <c r="U80" s="23"/>
      <c r="V80" s="23"/>
      <c r="W80" s="7"/>
      <c r="X80" s="7"/>
      <c r="Y80" s="23"/>
      <c r="Z80" s="23"/>
    </row>
    <row r="81" spans="2:26" hidden="1">
      <c r="B81" s="42" t="s">
        <v>61</v>
      </c>
      <c r="C81" s="43"/>
      <c r="D81" s="43"/>
      <c r="E81" s="44"/>
      <c r="G81" s="21" t="e">
        <f ca="1">'Базовые концовки'!F13</f>
        <v>#NAME?</v>
      </c>
      <c r="H81" s="21"/>
      <c r="I81" s="21"/>
      <c r="L81" s="21" t="e">
        <f ca="1">'Текущие концовки'!F13</f>
        <v>#NAME?</v>
      </c>
      <c r="M81" s="21"/>
      <c r="N81" s="21"/>
      <c r="T81" s="23"/>
      <c r="U81" s="23"/>
      <c r="V81" s="23"/>
      <c r="W81" s="7"/>
      <c r="X81" s="7"/>
      <c r="Y81" s="23"/>
      <c r="Z81" s="23"/>
    </row>
    <row r="82" spans="2:26" hidden="1">
      <c r="B82" s="42" t="s">
        <v>62</v>
      </c>
      <c r="C82" s="43"/>
      <c r="D82" s="43"/>
      <c r="E82" s="44"/>
      <c r="G82" s="21" t="e">
        <f ca="1">'Базовые концовки'!F14</f>
        <v>#NAME?</v>
      </c>
      <c r="H82" s="21"/>
      <c r="I82" s="21"/>
      <c r="L82" s="21" t="e">
        <f ca="1">'Текущие концовки'!F14</f>
        <v>#NAME?</v>
      </c>
      <c r="M82" s="21"/>
      <c r="N82" s="21"/>
      <c r="T82" s="23"/>
      <c r="U82" s="23"/>
      <c r="V82" s="23"/>
      <c r="W82" s="7"/>
      <c r="X82" s="7"/>
      <c r="Y82" s="23"/>
      <c r="Z82" s="23"/>
    </row>
    <row r="83" spans="2:26" hidden="1">
      <c r="B83" s="42" t="s">
        <v>63</v>
      </c>
      <c r="C83" s="43"/>
      <c r="D83" s="43"/>
      <c r="E83" s="44"/>
      <c r="G83" s="21" t="e">
        <f ca="1">'Базовые концовки'!F15</f>
        <v>#NAME?</v>
      </c>
      <c r="H83" s="21"/>
      <c r="I83" s="21"/>
      <c r="L83" s="21" t="e">
        <f ca="1">'Текущие концовки'!F15</f>
        <v>#NAME?</v>
      </c>
      <c r="M83" s="21"/>
      <c r="N83" s="21"/>
      <c r="T83" s="23"/>
      <c r="U83" s="23"/>
      <c r="V83" s="23"/>
      <c r="W83" s="7"/>
      <c r="X83" s="7"/>
      <c r="Y83" s="23"/>
      <c r="Z83" s="23"/>
    </row>
    <row r="84" spans="2:26" hidden="1">
      <c r="B84" s="42" t="s">
        <v>64</v>
      </c>
      <c r="C84" s="43"/>
      <c r="D84" s="43"/>
      <c r="E84" s="44"/>
      <c r="G84" s="21" t="e">
        <f ca="1">'Базовые концовки'!F16</f>
        <v>#NAME?</v>
      </c>
      <c r="H84" s="21"/>
      <c r="I84" s="21"/>
      <c r="L84" s="21" t="e">
        <f ca="1">'Текущие концовки'!F16</f>
        <v>#NAME?</v>
      </c>
      <c r="M84" s="21"/>
      <c r="N84" s="21"/>
      <c r="T84" s="23"/>
      <c r="U84" s="23"/>
      <c r="V84" s="23"/>
      <c r="W84" s="7"/>
      <c r="X84" s="7"/>
      <c r="Y84" s="23"/>
      <c r="Z84" s="23"/>
    </row>
    <row r="85" spans="2:26" hidden="1">
      <c r="B85" s="42" t="s">
        <v>65</v>
      </c>
      <c r="C85" s="43"/>
      <c r="D85" s="43"/>
      <c r="E85" s="44"/>
      <c r="G85" s="21" t="e">
        <f ca="1">'Базовые концовки'!F17</f>
        <v>#NAME?</v>
      </c>
      <c r="H85" s="21"/>
      <c r="I85" s="21"/>
      <c r="L85" s="21" t="e">
        <f ca="1">'Текущие концовки'!F17</f>
        <v>#NAME?</v>
      </c>
      <c r="M85" s="21"/>
      <c r="N85" s="21"/>
      <c r="T85" s="23"/>
      <c r="U85" s="23"/>
      <c r="V85" s="23"/>
      <c r="W85" s="7"/>
      <c r="X85" s="7"/>
      <c r="Y85" s="23"/>
      <c r="Z85" s="23"/>
    </row>
    <row r="86" spans="2:26" hidden="1">
      <c r="B86" s="42" t="s">
        <v>66</v>
      </c>
      <c r="C86" s="43"/>
      <c r="D86" s="43"/>
      <c r="E86" s="44"/>
      <c r="G86" s="21" t="e">
        <f ca="1">'Базовые концовки'!F18</f>
        <v>#NAME?</v>
      </c>
      <c r="H86" s="21"/>
      <c r="I86" s="21"/>
      <c r="L86" s="21" t="e">
        <f ca="1">'Текущие концовки'!F18</f>
        <v>#NAME?</v>
      </c>
      <c r="M86" s="21"/>
      <c r="N86" s="21"/>
      <c r="T86" s="23"/>
      <c r="U86" s="23"/>
      <c r="V86" s="23"/>
      <c r="W86" s="7"/>
      <c r="X86" s="7"/>
      <c r="Y86" s="23"/>
      <c r="Z86" s="23"/>
    </row>
    <row r="87" spans="2:26" hidden="1">
      <c r="B87" s="42" t="s">
        <v>67</v>
      </c>
      <c r="C87" s="43"/>
      <c r="D87" s="43"/>
      <c r="E87" s="44"/>
      <c r="G87" s="21" t="e">
        <f ca="1">'Базовые концовки'!F19</f>
        <v>#NAME?</v>
      </c>
      <c r="H87" s="21"/>
      <c r="I87" s="21"/>
      <c r="L87" s="21" t="e">
        <f ca="1">'Текущие концовки'!F19</f>
        <v>#NAME?</v>
      </c>
      <c r="M87" s="21"/>
      <c r="N87" s="21"/>
      <c r="T87" s="23"/>
      <c r="U87" s="23"/>
      <c r="V87" s="23"/>
      <c r="W87" s="7"/>
      <c r="X87" s="7"/>
      <c r="Y87" s="23"/>
      <c r="Z87" s="23"/>
    </row>
    <row r="88" spans="2:26" hidden="1">
      <c r="B88" s="42" t="s">
        <v>68</v>
      </c>
      <c r="C88" s="43"/>
      <c r="D88" s="43"/>
      <c r="E88" s="44"/>
      <c r="G88" s="21" t="e">
        <f ca="1">'Базовые концовки'!F20</f>
        <v>#NAME?</v>
      </c>
      <c r="H88" s="21"/>
      <c r="I88" s="21"/>
      <c r="L88" s="21" t="e">
        <f ca="1">'Текущие концовки'!F20</f>
        <v>#NAME?</v>
      </c>
      <c r="M88" s="21"/>
      <c r="N88" s="21"/>
      <c r="T88" s="23"/>
      <c r="U88" s="23"/>
      <c r="V88" s="23"/>
      <c r="W88" s="7"/>
      <c r="X88" s="7"/>
      <c r="Y88" s="23"/>
      <c r="Z88" s="23"/>
    </row>
    <row r="89" spans="2:26" hidden="1">
      <c r="B89" s="42" t="s">
        <v>69</v>
      </c>
      <c r="C89" s="43"/>
      <c r="D89" s="43"/>
      <c r="E89" s="44"/>
      <c r="G89" s="21">
        <f>'Базовые концовки'!F21</f>
        <v>0</v>
      </c>
      <c r="H89" s="21">
        <f>'Базовые концовки'!G21</f>
        <v>0</v>
      </c>
      <c r="I89" s="21">
        <f>'Базовые концовки'!H21</f>
        <v>0</v>
      </c>
      <c r="L89" s="21">
        <f>'Текущие концовки'!F21</f>
        <v>0</v>
      </c>
      <c r="M89" s="21">
        <f>'Текущие концовки'!G21</f>
        <v>0</v>
      </c>
      <c r="N89" s="21">
        <f>'Текущие концовки'!H21</f>
        <v>0</v>
      </c>
      <c r="T89" s="23">
        <f>'Текущие концовки'!G21</f>
        <v>0</v>
      </c>
      <c r="U89" s="23">
        <f>'Текущие концовки'!H21</f>
        <v>0</v>
      </c>
      <c r="V89" s="23">
        <f>'Текущие концовки'!I21</f>
        <v>0</v>
      </c>
      <c r="W89" s="7">
        <f>'Текущие концовки'!J21</f>
        <v>0</v>
      </c>
      <c r="X89" s="7">
        <f>'Текущие концовки'!K21</f>
        <v>0</v>
      </c>
      <c r="Y89" s="23">
        <f>'Текущие концовки'!L21</f>
        <v>0</v>
      </c>
      <c r="Z89" s="23">
        <f>'Текущие концовки'!M21</f>
        <v>0</v>
      </c>
    </row>
    <row r="90" spans="2:26" hidden="1">
      <c r="B90" s="42" t="s">
        <v>70</v>
      </c>
      <c r="C90" s="43"/>
      <c r="D90" s="43"/>
      <c r="E90" s="44"/>
      <c r="G90" s="21"/>
      <c r="H90" s="21"/>
      <c r="I90" s="21"/>
      <c r="L90" s="21"/>
      <c r="M90" s="21"/>
      <c r="N90" s="21"/>
      <c r="T90" s="23"/>
      <c r="U90" s="23"/>
      <c r="V90" s="23"/>
      <c r="W90" s="7"/>
      <c r="X90" s="7"/>
      <c r="Y90" s="23"/>
      <c r="Z90" s="23"/>
    </row>
    <row r="91" spans="2:26" hidden="1">
      <c r="B91" s="42" t="s">
        <v>71</v>
      </c>
      <c r="C91" s="43"/>
      <c r="D91" s="43"/>
      <c r="E91" s="44"/>
      <c r="G91" s="21">
        <f>'Базовые концовки'!G23</f>
        <v>0</v>
      </c>
      <c r="H91" s="21">
        <f>'Базовые концовки'!G23</f>
        <v>0</v>
      </c>
      <c r="I91" s="21"/>
      <c r="L91" s="21">
        <f>'Текущие концовки'!G23</f>
        <v>0</v>
      </c>
      <c r="M91" s="21">
        <f>'Текущие концовки'!G23</f>
        <v>0</v>
      </c>
      <c r="N91" s="21"/>
      <c r="T91" s="23">
        <f>'Текущие концовки'!G23</f>
        <v>0</v>
      </c>
      <c r="U91" s="23"/>
      <c r="V91" s="23"/>
      <c r="W91" s="7"/>
      <c r="X91" s="7"/>
      <c r="Y91" s="23"/>
      <c r="Z91" s="23"/>
    </row>
    <row r="92" spans="2:26" hidden="1">
      <c r="B92" s="42" t="s">
        <v>72</v>
      </c>
      <c r="C92" s="43"/>
      <c r="D92" s="43"/>
      <c r="E92" s="44"/>
      <c r="G92" s="21">
        <f>'Базовые концовки'!F24</f>
        <v>0</v>
      </c>
      <c r="H92" s="21"/>
      <c r="I92" s="21"/>
      <c r="L92" s="21">
        <f>'Текущие концовки'!F24</f>
        <v>0</v>
      </c>
      <c r="M92" s="21"/>
      <c r="N92" s="21"/>
      <c r="T92" s="23"/>
      <c r="U92" s="23"/>
      <c r="V92" s="23"/>
      <c r="W92" s="7"/>
      <c r="X92" s="7"/>
      <c r="Y92" s="23"/>
      <c r="Z92" s="23"/>
    </row>
    <row r="93" spans="2:26" hidden="1">
      <c r="B93" s="42" t="s">
        <v>73</v>
      </c>
      <c r="C93" s="43"/>
      <c r="D93" s="43"/>
      <c r="E93" s="44"/>
      <c r="G93" s="21" t="e">
        <f ca="1">'Базовые концовки'!F25</f>
        <v>#NAME?</v>
      </c>
      <c r="H93" s="21"/>
      <c r="I93" s="21"/>
      <c r="L93" s="21" t="e">
        <f ca="1">'Текущие концовки'!F25</f>
        <v>#NAME?</v>
      </c>
      <c r="M93" s="21"/>
      <c r="N93" s="21"/>
      <c r="T93" s="23"/>
      <c r="U93" s="23"/>
      <c r="V93" s="23"/>
      <c r="W93" s="7"/>
      <c r="X93" s="7"/>
      <c r="Y93" s="23"/>
      <c r="Z93" s="23"/>
    </row>
    <row r="94" spans="2:26" hidden="1">
      <c r="B94" s="42" t="s">
        <v>74</v>
      </c>
      <c r="C94" s="43"/>
      <c r="D94" s="43"/>
      <c r="E94" s="44"/>
      <c r="G94" s="21">
        <f>'Базовые концовки'!F26</f>
        <v>0</v>
      </c>
      <c r="H94" s="21"/>
      <c r="I94" s="21"/>
      <c r="L94" s="21">
        <f>'Текущие концовки'!F26</f>
        <v>0</v>
      </c>
      <c r="M94" s="21"/>
      <c r="N94" s="21"/>
      <c r="T94" s="23"/>
      <c r="U94" s="23"/>
      <c r="V94" s="23"/>
      <c r="W94" s="7"/>
      <c r="X94" s="7"/>
      <c r="Y94" s="23"/>
      <c r="Z94" s="23"/>
    </row>
    <row r="95" spans="2:26" hidden="1">
      <c r="B95" s="42" t="s">
        <v>75</v>
      </c>
      <c r="C95" s="43"/>
      <c r="D95" s="43"/>
      <c r="E95" s="44"/>
      <c r="G95" s="21">
        <f>'Базовые концовки'!F27</f>
        <v>0</v>
      </c>
      <c r="H95" s="21"/>
      <c r="I95" s="21"/>
      <c r="L95" s="21">
        <f>'Текущие концовки'!F27</f>
        <v>0</v>
      </c>
      <c r="M95" s="21"/>
      <c r="N95" s="21"/>
      <c r="T95" s="23"/>
      <c r="U95" s="23"/>
      <c r="V95" s="23"/>
      <c r="W95" s="7"/>
      <c r="X95" s="7"/>
      <c r="Y95" s="23"/>
      <c r="Z95" s="23"/>
    </row>
    <row r="96" spans="2:26" hidden="1">
      <c r="B96" s="42" t="s">
        <v>76</v>
      </c>
      <c r="C96" s="43"/>
      <c r="D96" s="43"/>
      <c r="E96" s="44"/>
      <c r="G96" s="21">
        <f>'Базовые концовки'!F28</f>
        <v>0</v>
      </c>
      <c r="H96" s="21"/>
      <c r="I96" s="21"/>
      <c r="L96" s="21">
        <f>'Текущие концовки'!F28</f>
        <v>0</v>
      </c>
      <c r="M96" s="21"/>
      <c r="N96" s="21"/>
      <c r="T96" s="23"/>
      <c r="U96" s="23"/>
      <c r="V96" s="23"/>
      <c r="W96" s="7"/>
      <c r="X96" s="7"/>
      <c r="Y96" s="23"/>
      <c r="Z96" s="23"/>
    </row>
    <row r="97" spans="2:26" hidden="1">
      <c r="B97" s="42" t="s">
        <v>67</v>
      </c>
      <c r="C97" s="43"/>
      <c r="D97" s="43"/>
      <c r="E97" s="44"/>
      <c r="G97" s="21" t="e">
        <f ca="1">'Базовые концовки'!F29</f>
        <v>#NAME?</v>
      </c>
      <c r="H97" s="21"/>
      <c r="I97" s="21"/>
      <c r="L97" s="21" t="e">
        <f ca="1">'Текущие концовки'!F29</f>
        <v>#NAME?</v>
      </c>
      <c r="M97" s="21"/>
      <c r="N97" s="21"/>
      <c r="T97" s="23"/>
      <c r="U97" s="23"/>
      <c r="V97" s="23"/>
      <c r="W97" s="7"/>
      <c r="X97" s="7"/>
      <c r="Y97" s="23"/>
      <c r="Z97" s="23"/>
    </row>
    <row r="98" spans="2:26" hidden="1">
      <c r="B98" s="42" t="s">
        <v>77</v>
      </c>
      <c r="C98" s="43"/>
      <c r="D98" s="43"/>
      <c r="E98" s="44"/>
      <c r="G98" s="21">
        <f>'Базовые концовки'!F30</f>
        <v>0</v>
      </c>
      <c r="H98" s="21"/>
      <c r="I98" s="21"/>
      <c r="L98" s="21">
        <f>'Текущие концовки'!F30</f>
        <v>0</v>
      </c>
      <c r="M98" s="21"/>
      <c r="N98" s="21"/>
      <c r="T98" s="23"/>
      <c r="U98" s="23"/>
      <c r="V98" s="23"/>
      <c r="W98" s="7"/>
      <c r="X98" s="7"/>
      <c r="Y98" s="23"/>
      <c r="Z98" s="23"/>
    </row>
    <row r="99" spans="2:26">
      <c r="B99" s="42" t="s">
        <v>78</v>
      </c>
      <c r="C99" s="43"/>
      <c r="D99" s="43"/>
      <c r="E99" s="43"/>
      <c r="F99" s="44"/>
      <c r="G99" s="47">
        <f>'Базовые концовки'!F31</f>
        <v>5563</v>
      </c>
      <c r="H99" s="22">
        <f>'Базовые концовки'!G31</f>
        <v>366</v>
      </c>
      <c r="I99" s="22">
        <f>'Базовые концовки'!H31</f>
        <v>45</v>
      </c>
      <c r="L99" s="47">
        <f>'Текущие концовки'!F31</f>
        <v>35036</v>
      </c>
      <c r="M99" s="22">
        <f>'Текущие концовки'!G31</f>
        <v>7556</v>
      </c>
      <c r="N99" s="22">
        <f>'Текущие концовки'!H31</f>
        <v>296</v>
      </c>
      <c r="T99" s="46">
        <f>'Текущие концовки'!G31</f>
        <v>7556</v>
      </c>
      <c r="U99" s="46">
        <f>'Текущие концовки'!H31</f>
        <v>296</v>
      </c>
      <c r="V99" s="46">
        <f>'Текущие концовки'!I31</f>
        <v>75</v>
      </c>
      <c r="W99" s="45" t="e">
        <f ca="1">'Текущие концовки'!J31</f>
        <v>#NAME?</v>
      </c>
      <c r="X99" s="45" t="e">
        <f ca="1">'Текущие концовки'!K31</f>
        <v>#NAME?</v>
      </c>
      <c r="Y99" s="46">
        <f>'Текущие концовки'!L31</f>
        <v>27184</v>
      </c>
      <c r="Z99" s="46">
        <f>'Текущие концовки'!M31</f>
        <v>0</v>
      </c>
    </row>
    <row r="100" spans="2:26">
      <c r="B100" s="43"/>
      <c r="C100" s="43"/>
      <c r="D100" s="43"/>
      <c r="E100" s="43"/>
      <c r="F100" s="43"/>
      <c r="G100" s="47"/>
      <c r="H100" s="21">
        <f>'Базовые концовки'!L31</f>
        <v>5152</v>
      </c>
      <c r="I100" s="21">
        <f>'Базовые концовки'!I31</f>
        <v>3</v>
      </c>
      <c r="L100" s="47"/>
      <c r="M100" s="21">
        <f>'Текущие концовки'!L31</f>
        <v>27184</v>
      </c>
      <c r="N100" s="21">
        <f>'Текущие концовки'!I31</f>
        <v>75</v>
      </c>
      <c r="T100" s="46"/>
      <c r="U100" s="46"/>
      <c r="V100" s="46"/>
      <c r="W100" s="45"/>
      <c r="X100" s="45"/>
      <c r="Y100" s="46"/>
      <c r="Z100" s="46"/>
    </row>
    <row r="101" spans="2:26" hidden="1">
      <c r="B101" s="42" t="s">
        <v>70</v>
      </c>
      <c r="C101" s="43"/>
      <c r="D101" s="43"/>
      <c r="E101" s="44"/>
      <c r="G101" s="21"/>
      <c r="H101" s="21"/>
      <c r="I101" s="21"/>
      <c r="L101" s="21"/>
      <c r="M101" s="21"/>
      <c r="N101" s="21"/>
      <c r="T101" s="23"/>
      <c r="U101" s="23"/>
      <c r="V101" s="23"/>
      <c r="W101" s="7"/>
      <c r="X101" s="7"/>
      <c r="Y101" s="23"/>
      <c r="Z101" s="23"/>
    </row>
    <row r="102" spans="2:26" hidden="1">
      <c r="B102" s="42" t="s">
        <v>79</v>
      </c>
      <c r="C102" s="43"/>
      <c r="D102" s="43"/>
      <c r="E102" s="44"/>
      <c r="G102" s="21" t="e">
        <f ca="1">'Базовые концовки'!F33</f>
        <v>#NAME?</v>
      </c>
      <c r="H102" s="21"/>
      <c r="I102" s="21"/>
      <c r="L102" s="21" t="e">
        <f ca="1">'Текущие концовки'!F33</f>
        <v>#NAME?</v>
      </c>
      <c r="M102" s="21"/>
      <c r="N102" s="21"/>
      <c r="T102" s="23"/>
      <c r="U102" s="23"/>
      <c r="V102" s="23"/>
      <c r="W102" s="7"/>
      <c r="X102" s="7"/>
      <c r="Y102" s="23"/>
      <c r="Z102" s="23"/>
    </row>
    <row r="103" spans="2:26" hidden="1">
      <c r="B103" s="42" t="s">
        <v>74</v>
      </c>
      <c r="C103" s="43"/>
      <c r="D103" s="43"/>
      <c r="E103" s="44"/>
      <c r="G103" s="21">
        <f>'Базовые концовки'!F34</f>
        <v>0</v>
      </c>
      <c r="H103" s="21"/>
      <c r="I103" s="21"/>
      <c r="L103" s="21">
        <f>'Текущие концовки'!F34</f>
        <v>0</v>
      </c>
      <c r="M103" s="21"/>
      <c r="N103" s="21"/>
      <c r="T103" s="23"/>
      <c r="U103" s="23"/>
      <c r="V103" s="23"/>
      <c r="W103" s="7"/>
      <c r="X103" s="7"/>
      <c r="Y103" s="23"/>
      <c r="Z103" s="23"/>
    </row>
    <row r="104" spans="2:26">
      <c r="B104" s="42" t="s">
        <v>80</v>
      </c>
      <c r="C104" s="43"/>
      <c r="D104" s="43"/>
      <c r="E104" s="43"/>
      <c r="F104" s="44"/>
      <c r="G104" s="21">
        <f>'Базовые концовки'!F35</f>
        <v>317</v>
      </c>
      <c r="H104" s="21"/>
      <c r="I104" s="21"/>
      <c r="L104" s="21">
        <f>'Текущие концовки'!F35</f>
        <v>6559</v>
      </c>
      <c r="M104" s="21"/>
      <c r="N104" s="21"/>
      <c r="T104" s="23"/>
      <c r="U104" s="23"/>
      <c r="V104" s="23"/>
      <c r="W104" s="7"/>
      <c r="X104" s="7"/>
      <c r="Y104" s="23"/>
      <c r="Z104" s="23"/>
    </row>
    <row r="105" spans="2:26">
      <c r="B105" s="42" t="s">
        <v>81</v>
      </c>
      <c r="C105" s="43"/>
      <c r="D105" s="43"/>
      <c r="E105" s="43"/>
      <c r="F105" s="44"/>
      <c r="G105" s="21">
        <f>'Базовые концовки'!F36</f>
        <v>234</v>
      </c>
      <c r="H105" s="21"/>
      <c r="I105" s="21"/>
      <c r="L105" s="21">
        <f>'Текущие концовки'!F36</f>
        <v>4854</v>
      </c>
      <c r="M105" s="21"/>
      <c r="N105" s="21"/>
      <c r="T105" s="23"/>
      <c r="U105" s="23"/>
      <c r="V105" s="23"/>
      <c r="W105" s="7"/>
      <c r="X105" s="7"/>
      <c r="Y105" s="23"/>
      <c r="Z105" s="23"/>
    </row>
    <row r="106" spans="2:26">
      <c r="B106" s="42" t="s">
        <v>82</v>
      </c>
      <c r="C106" s="43"/>
      <c r="D106" s="43"/>
      <c r="E106" s="43"/>
      <c r="F106" s="44"/>
      <c r="G106" s="21">
        <f>'Базовые концовки'!F37</f>
        <v>6114</v>
      </c>
      <c r="H106" s="21"/>
      <c r="I106" s="21"/>
      <c r="L106" s="21">
        <f>'Текущие концовки'!F37</f>
        <v>46449</v>
      </c>
      <c r="M106" s="21"/>
      <c r="N106" s="21"/>
      <c r="T106" s="23"/>
      <c r="U106" s="23"/>
      <c r="V106" s="23"/>
      <c r="W106" s="7"/>
      <c r="X106" s="7"/>
      <c r="Y106" s="23"/>
      <c r="Z106" s="23"/>
    </row>
    <row r="107" spans="2:26" hidden="1">
      <c r="B107" s="42" t="s">
        <v>83</v>
      </c>
      <c r="C107" s="43"/>
      <c r="D107" s="43"/>
      <c r="E107" s="44"/>
      <c r="G107" s="21">
        <f>'Базовые концовки'!F38</f>
        <v>0</v>
      </c>
      <c r="H107" s="21">
        <f>'Базовые концовки'!G38</f>
        <v>0</v>
      </c>
      <c r="I107" s="21">
        <f>'Базовые концовки'!H38</f>
        <v>0</v>
      </c>
      <c r="L107" s="21">
        <f>'Текущие концовки'!F38</f>
        <v>0</v>
      </c>
      <c r="M107" s="21">
        <f>'Текущие концовки'!G38</f>
        <v>0</v>
      </c>
      <c r="N107" s="21">
        <f>'Текущие концовки'!H38</f>
        <v>0</v>
      </c>
      <c r="T107" s="23">
        <f>'Текущие концовки'!G38</f>
        <v>0</v>
      </c>
      <c r="U107" s="23">
        <f>'Текущие концовки'!H38</f>
        <v>0</v>
      </c>
      <c r="V107" s="23">
        <f>'Текущие концовки'!I38</f>
        <v>0</v>
      </c>
      <c r="W107" s="7">
        <f>'Текущие концовки'!J38</f>
        <v>0</v>
      </c>
      <c r="X107" s="7">
        <f>'Текущие концовки'!K38</f>
        <v>0</v>
      </c>
      <c r="Y107" s="23">
        <f>'Текущие концовки'!L38</f>
        <v>0</v>
      </c>
      <c r="Z107" s="23">
        <f>'Текущие концовки'!M38</f>
        <v>0</v>
      </c>
    </row>
    <row r="108" spans="2:26" hidden="1">
      <c r="B108" s="42" t="s">
        <v>74</v>
      </c>
      <c r="C108" s="43"/>
      <c r="D108" s="43"/>
      <c r="E108" s="44"/>
      <c r="G108" s="21">
        <f>'Базовые концовки'!F39</f>
        <v>0</v>
      </c>
      <c r="H108" s="21"/>
      <c r="I108" s="21"/>
      <c r="L108" s="21">
        <f>'Текущие концовки'!F39</f>
        <v>0</v>
      </c>
      <c r="M108" s="21"/>
      <c r="N108" s="21"/>
      <c r="T108" s="23"/>
      <c r="U108" s="23"/>
      <c r="V108" s="23"/>
      <c r="W108" s="7"/>
      <c r="X108" s="7"/>
      <c r="Y108" s="23"/>
      <c r="Z108" s="23"/>
    </row>
    <row r="109" spans="2:26" hidden="1">
      <c r="B109" s="42" t="s">
        <v>75</v>
      </c>
      <c r="C109" s="43"/>
      <c r="D109" s="43"/>
      <c r="E109" s="44"/>
      <c r="G109" s="21">
        <f>'Базовые концовки'!F40</f>
        <v>0</v>
      </c>
      <c r="H109" s="21"/>
      <c r="I109" s="21"/>
      <c r="L109" s="21">
        <f>'Текущие концовки'!F40</f>
        <v>0</v>
      </c>
      <c r="M109" s="21"/>
      <c r="N109" s="21"/>
      <c r="T109" s="23"/>
      <c r="U109" s="23"/>
      <c r="V109" s="23"/>
      <c r="W109" s="7"/>
      <c r="X109" s="7"/>
      <c r="Y109" s="23"/>
      <c r="Z109" s="23"/>
    </row>
    <row r="110" spans="2:26" hidden="1">
      <c r="B110" s="42" t="s">
        <v>76</v>
      </c>
      <c r="C110" s="43"/>
      <c r="D110" s="43"/>
      <c r="E110" s="44"/>
      <c r="G110" s="21">
        <f>'Базовые концовки'!F41</f>
        <v>0</v>
      </c>
      <c r="H110" s="21"/>
      <c r="I110" s="21"/>
      <c r="L110" s="21">
        <f>'Текущие концовки'!F41</f>
        <v>0</v>
      </c>
      <c r="M110" s="21"/>
      <c r="N110" s="21"/>
      <c r="T110" s="23"/>
      <c r="U110" s="23"/>
      <c r="V110" s="23"/>
      <c r="W110" s="7"/>
      <c r="X110" s="7"/>
      <c r="Y110" s="23"/>
      <c r="Z110" s="23"/>
    </row>
    <row r="111" spans="2:26" hidden="1">
      <c r="B111" s="42" t="s">
        <v>84</v>
      </c>
      <c r="C111" s="43"/>
      <c r="D111" s="43"/>
      <c r="E111" s="44"/>
      <c r="G111" s="21">
        <f>'Базовые концовки'!F42</f>
        <v>0</v>
      </c>
      <c r="H111" s="21"/>
      <c r="I111" s="21"/>
      <c r="L111" s="21">
        <f>'Текущие концовки'!F42</f>
        <v>0</v>
      </c>
      <c r="M111" s="21"/>
      <c r="N111" s="21"/>
      <c r="T111" s="23"/>
      <c r="U111" s="23"/>
      <c r="V111" s="23"/>
      <c r="W111" s="7"/>
      <c r="X111" s="7"/>
      <c r="Y111" s="23"/>
      <c r="Z111" s="23"/>
    </row>
    <row r="112" spans="2:26" hidden="1">
      <c r="B112" s="42" t="s">
        <v>85</v>
      </c>
      <c r="C112" s="43"/>
      <c r="D112" s="43"/>
      <c r="E112" s="44"/>
      <c r="G112" s="21">
        <f>'Базовые концовки'!F43</f>
        <v>0</v>
      </c>
      <c r="H112" s="21">
        <f>'Базовые концовки'!G43</f>
        <v>0</v>
      </c>
      <c r="I112" s="21">
        <f>'Базовые концовки'!H43</f>
        <v>0</v>
      </c>
      <c r="L112" s="21">
        <f>'Текущие концовки'!F43</f>
        <v>0</v>
      </c>
      <c r="M112" s="21">
        <f>'Текущие концовки'!G43</f>
        <v>0</v>
      </c>
      <c r="N112" s="21">
        <f>'Текущие концовки'!H43</f>
        <v>0</v>
      </c>
      <c r="T112" s="23">
        <f>'Текущие концовки'!G43</f>
        <v>0</v>
      </c>
      <c r="U112" s="23">
        <f>'Текущие концовки'!H43</f>
        <v>0</v>
      </c>
      <c r="V112" s="23">
        <f>'Текущие концовки'!I43</f>
        <v>0</v>
      </c>
      <c r="W112" s="7">
        <f>'Текущие концовки'!J43</f>
        <v>0</v>
      </c>
      <c r="X112" s="7">
        <f>'Текущие концовки'!K43</f>
        <v>0</v>
      </c>
      <c r="Y112" s="23">
        <f>'Текущие концовки'!L43</f>
        <v>0</v>
      </c>
      <c r="Z112" s="23">
        <f>'Текущие концовки'!M43</f>
        <v>0</v>
      </c>
    </row>
    <row r="113" spans="2:26" hidden="1">
      <c r="B113" s="42" t="s">
        <v>70</v>
      </c>
      <c r="C113" s="43"/>
      <c r="D113" s="43"/>
      <c r="E113" s="44"/>
      <c r="G113" s="21"/>
      <c r="H113" s="21"/>
      <c r="I113" s="21"/>
      <c r="L113" s="21"/>
      <c r="M113" s="21"/>
      <c r="N113" s="21"/>
      <c r="T113" s="23"/>
      <c r="U113" s="23"/>
      <c r="V113" s="23"/>
      <c r="W113" s="7"/>
      <c r="X113" s="7"/>
      <c r="Y113" s="23"/>
      <c r="Z113" s="23"/>
    </row>
    <row r="114" spans="2:26" hidden="1">
      <c r="B114" s="42" t="s">
        <v>86</v>
      </c>
      <c r="C114" s="43"/>
      <c r="D114" s="43"/>
      <c r="E114" s="44"/>
      <c r="G114" s="21">
        <f>'Базовые концовки'!F45</f>
        <v>0</v>
      </c>
      <c r="H114" s="21">
        <f>'Базовые концовки'!G45</f>
        <v>0</v>
      </c>
      <c r="I114" s="21">
        <f>'Базовые концовки'!H45</f>
        <v>0</v>
      </c>
      <c r="L114" s="21">
        <f>'Текущие концовки'!F45</f>
        <v>0</v>
      </c>
      <c r="M114" s="21">
        <f>'Текущие концовки'!G45</f>
        <v>0</v>
      </c>
      <c r="N114" s="21">
        <f>'Текущие концовки'!H45</f>
        <v>0</v>
      </c>
      <c r="T114" s="23">
        <f>'Текущие концовки'!G45</f>
        <v>0</v>
      </c>
      <c r="U114" s="23">
        <f>'Текущие концовки'!H45</f>
        <v>0</v>
      </c>
      <c r="V114" s="23">
        <f>'Текущие концовки'!I45</f>
        <v>0</v>
      </c>
      <c r="W114" s="7">
        <f>'Текущие концовки'!J45</f>
        <v>0</v>
      </c>
      <c r="X114" s="7">
        <f>'Текущие концовки'!K45</f>
        <v>0</v>
      </c>
      <c r="Y114" s="23">
        <f>'Текущие концовки'!L45</f>
        <v>0</v>
      </c>
      <c r="Z114" s="23">
        <f>'Текущие концовки'!M45</f>
        <v>0</v>
      </c>
    </row>
    <row r="115" spans="2:26" hidden="1">
      <c r="B115" s="42" t="s">
        <v>74</v>
      </c>
      <c r="C115" s="43"/>
      <c r="D115" s="43"/>
      <c r="E115" s="44"/>
      <c r="G115" s="21">
        <f>'Базовые концовки'!F46</f>
        <v>0</v>
      </c>
      <c r="H115" s="21"/>
      <c r="I115" s="21"/>
      <c r="L115" s="21">
        <f>'Текущие концовки'!F46</f>
        <v>0</v>
      </c>
      <c r="M115" s="21"/>
      <c r="N115" s="21"/>
      <c r="T115" s="23"/>
      <c r="U115" s="23"/>
      <c r="V115" s="23"/>
      <c r="W115" s="7"/>
      <c r="X115" s="7"/>
      <c r="Y115" s="23"/>
      <c r="Z115" s="23"/>
    </row>
    <row r="116" spans="2:26" hidden="1">
      <c r="B116" s="42" t="s">
        <v>75</v>
      </c>
      <c r="C116" s="43"/>
      <c r="D116" s="43"/>
      <c r="E116" s="44"/>
      <c r="G116" s="21">
        <f>'Базовые концовки'!F47</f>
        <v>0</v>
      </c>
      <c r="H116" s="21"/>
      <c r="I116" s="21"/>
      <c r="L116" s="21">
        <f>'Текущие концовки'!F47</f>
        <v>0</v>
      </c>
      <c r="M116" s="21"/>
      <c r="N116" s="21"/>
      <c r="T116" s="23"/>
      <c r="U116" s="23"/>
      <c r="V116" s="23"/>
      <c r="W116" s="7"/>
      <c r="X116" s="7"/>
      <c r="Y116" s="23"/>
      <c r="Z116" s="23"/>
    </row>
    <row r="117" spans="2:26" hidden="1">
      <c r="B117" s="42" t="s">
        <v>76</v>
      </c>
      <c r="C117" s="43"/>
      <c r="D117" s="43"/>
      <c r="E117" s="44"/>
      <c r="G117" s="21">
        <f>'Базовые концовки'!F48</f>
        <v>0</v>
      </c>
      <c r="H117" s="21"/>
      <c r="I117" s="21"/>
      <c r="L117" s="21">
        <f>'Текущие концовки'!F48</f>
        <v>0</v>
      </c>
      <c r="M117" s="21"/>
      <c r="N117" s="21"/>
      <c r="T117" s="23"/>
      <c r="U117" s="23"/>
      <c r="V117" s="23"/>
      <c r="W117" s="7"/>
      <c r="X117" s="7"/>
      <c r="Y117" s="23"/>
      <c r="Z117" s="23"/>
    </row>
    <row r="118" spans="2:26" hidden="1">
      <c r="B118" s="42" t="s">
        <v>67</v>
      </c>
      <c r="C118" s="43"/>
      <c r="D118" s="43"/>
      <c r="E118" s="44"/>
      <c r="G118" s="21" t="e">
        <f ca="1">'Базовые концовки'!F49</f>
        <v>#NAME?</v>
      </c>
      <c r="H118" s="21"/>
      <c r="I118" s="21"/>
      <c r="L118" s="21" t="e">
        <f ca="1">'Текущие концовки'!F49</f>
        <v>#NAME?</v>
      </c>
      <c r="M118" s="21"/>
      <c r="N118" s="21"/>
      <c r="T118" s="23"/>
      <c r="U118" s="23"/>
      <c r="V118" s="23"/>
      <c r="W118" s="7"/>
      <c r="X118" s="7"/>
      <c r="Y118" s="23"/>
      <c r="Z118" s="23"/>
    </row>
    <row r="119" spans="2:26" hidden="1">
      <c r="B119" s="42" t="s">
        <v>87</v>
      </c>
      <c r="C119" s="43"/>
      <c r="D119" s="43"/>
      <c r="E119" s="44"/>
      <c r="G119" s="21">
        <f>'Базовые концовки'!F50</f>
        <v>0</v>
      </c>
      <c r="H119" s="21"/>
      <c r="I119" s="21"/>
      <c r="L119" s="21">
        <f>'Текущие концовки'!F50</f>
        <v>0</v>
      </c>
      <c r="M119" s="21"/>
      <c r="N119" s="21"/>
      <c r="T119" s="23"/>
      <c r="U119" s="23"/>
      <c r="V119" s="23"/>
      <c r="W119" s="7"/>
      <c r="X119" s="7"/>
      <c r="Y119" s="23"/>
      <c r="Z119" s="23"/>
    </row>
    <row r="120" spans="2:26" hidden="1">
      <c r="B120" s="42" t="s">
        <v>88</v>
      </c>
      <c r="C120" s="43"/>
      <c r="D120" s="43"/>
      <c r="E120" s="44"/>
      <c r="G120" s="21">
        <f>'Базовые концовки'!F51</f>
        <v>0</v>
      </c>
      <c r="H120" s="21">
        <f>'Базовые концовки'!G51</f>
        <v>0</v>
      </c>
      <c r="I120" s="21">
        <f>'Базовые концовки'!H51</f>
        <v>0</v>
      </c>
      <c r="L120" s="21">
        <f>'Текущие концовки'!F51</f>
        <v>0</v>
      </c>
      <c r="M120" s="21">
        <f>'Текущие концовки'!G51</f>
        <v>0</v>
      </c>
      <c r="N120" s="21">
        <f>'Текущие концовки'!H51</f>
        <v>0</v>
      </c>
      <c r="T120" s="23">
        <f>'Текущие концовки'!G51</f>
        <v>0</v>
      </c>
      <c r="U120" s="23">
        <f>'Текущие концовки'!H51</f>
        <v>0</v>
      </c>
      <c r="V120" s="23">
        <f>'Текущие концовки'!I51</f>
        <v>0</v>
      </c>
      <c r="W120" s="7">
        <f>'Текущие концовки'!J51</f>
        <v>0</v>
      </c>
      <c r="X120" s="7">
        <f>'Текущие концовки'!K51</f>
        <v>0</v>
      </c>
      <c r="Y120" s="23">
        <f>'Текущие концовки'!L51</f>
        <v>0</v>
      </c>
      <c r="Z120" s="23">
        <f>'Текущие концовки'!M51</f>
        <v>0</v>
      </c>
    </row>
    <row r="121" spans="2:26" hidden="1">
      <c r="B121" s="42" t="s">
        <v>74</v>
      </c>
      <c r="C121" s="43"/>
      <c r="D121" s="43"/>
      <c r="E121" s="44"/>
      <c r="G121" s="21">
        <f>'Базовые концовки'!F52</f>
        <v>0</v>
      </c>
      <c r="H121" s="21"/>
      <c r="I121" s="21"/>
      <c r="L121" s="21">
        <f>'Текущие концовки'!F52</f>
        <v>0</v>
      </c>
      <c r="M121" s="21"/>
      <c r="N121" s="21"/>
      <c r="T121" s="23"/>
      <c r="U121" s="23"/>
      <c r="V121" s="23"/>
      <c r="W121" s="7"/>
      <c r="X121" s="7"/>
      <c r="Y121" s="23"/>
      <c r="Z121" s="23"/>
    </row>
    <row r="122" spans="2:26" hidden="1">
      <c r="B122" s="42" t="s">
        <v>75</v>
      </c>
      <c r="C122" s="43"/>
      <c r="D122" s="43"/>
      <c r="E122" s="44"/>
      <c r="G122" s="21">
        <f>'Базовые концовки'!F53</f>
        <v>0</v>
      </c>
      <c r="H122" s="21"/>
      <c r="I122" s="21"/>
      <c r="L122" s="21">
        <f>'Текущие концовки'!F53</f>
        <v>0</v>
      </c>
      <c r="M122" s="21"/>
      <c r="N122" s="21"/>
      <c r="T122" s="23"/>
      <c r="U122" s="23"/>
      <c r="V122" s="23"/>
      <c r="W122" s="7"/>
      <c r="X122" s="7"/>
      <c r="Y122" s="23"/>
      <c r="Z122" s="23"/>
    </row>
    <row r="123" spans="2:26" hidden="1">
      <c r="B123" s="42" t="s">
        <v>76</v>
      </c>
      <c r="C123" s="43"/>
      <c r="D123" s="43"/>
      <c r="E123" s="44"/>
      <c r="G123" s="21">
        <f>'Базовые концовки'!F54</f>
        <v>0</v>
      </c>
      <c r="H123" s="21"/>
      <c r="I123" s="21"/>
      <c r="L123" s="21">
        <f>'Текущие концовки'!F54</f>
        <v>0</v>
      </c>
      <c r="M123" s="21"/>
      <c r="N123" s="21"/>
      <c r="T123" s="23"/>
      <c r="U123" s="23"/>
      <c r="V123" s="23"/>
      <c r="W123" s="7"/>
      <c r="X123" s="7"/>
      <c r="Y123" s="23"/>
      <c r="Z123" s="23"/>
    </row>
    <row r="124" spans="2:26" hidden="1">
      <c r="B124" s="42" t="s">
        <v>89</v>
      </c>
      <c r="C124" s="43"/>
      <c r="D124" s="43"/>
      <c r="E124" s="44"/>
      <c r="G124" s="21">
        <f>'Базовые концовки'!F55</f>
        <v>0</v>
      </c>
      <c r="H124" s="21"/>
      <c r="I124" s="21"/>
      <c r="L124" s="21">
        <f>'Текущие концовки'!F55</f>
        <v>0</v>
      </c>
      <c r="M124" s="21"/>
      <c r="N124" s="21"/>
      <c r="T124" s="23"/>
      <c r="U124" s="23"/>
      <c r="V124" s="23"/>
      <c r="W124" s="7"/>
      <c r="X124" s="7"/>
      <c r="Y124" s="23"/>
      <c r="Z124" s="23"/>
    </row>
    <row r="125" spans="2:26" hidden="1">
      <c r="B125" s="42" t="s">
        <v>90</v>
      </c>
      <c r="C125" s="43"/>
      <c r="D125" s="43"/>
      <c r="E125" s="44"/>
      <c r="G125" s="21">
        <f>'Базовые концовки'!F56</f>
        <v>0</v>
      </c>
      <c r="H125" s="21">
        <f>'Базовые концовки'!G56</f>
        <v>0</v>
      </c>
      <c r="I125" s="21">
        <f>'Базовые концовки'!H56</f>
        <v>0</v>
      </c>
      <c r="L125" s="21">
        <f>'Текущие концовки'!F56</f>
        <v>0</v>
      </c>
      <c r="M125" s="21">
        <f>'Текущие концовки'!G56</f>
        <v>0</v>
      </c>
      <c r="N125" s="21">
        <f>'Текущие концовки'!H56</f>
        <v>0</v>
      </c>
      <c r="T125" s="23">
        <f>'Текущие концовки'!G56</f>
        <v>0</v>
      </c>
      <c r="U125" s="23">
        <f>'Текущие концовки'!H56</f>
        <v>0</v>
      </c>
      <c r="V125" s="23">
        <f>'Текущие концовки'!I56</f>
        <v>0</v>
      </c>
      <c r="W125" s="7">
        <f>'Текущие концовки'!J56</f>
        <v>0</v>
      </c>
      <c r="X125" s="7">
        <f>'Текущие концовки'!K56</f>
        <v>0</v>
      </c>
      <c r="Y125" s="23">
        <f>'Текущие концовки'!L56</f>
        <v>0</v>
      </c>
      <c r="Z125" s="23">
        <f>'Текущие концовки'!M56</f>
        <v>0</v>
      </c>
    </row>
    <row r="126" spans="2:26" hidden="1">
      <c r="B126" s="42" t="s">
        <v>74</v>
      </c>
      <c r="C126" s="43"/>
      <c r="D126" s="43"/>
      <c r="E126" s="44"/>
      <c r="G126" s="21">
        <f>'Базовые концовки'!F57</f>
        <v>0</v>
      </c>
      <c r="H126" s="21"/>
      <c r="I126" s="21"/>
      <c r="L126" s="21">
        <f>'Текущие концовки'!F57</f>
        <v>0</v>
      </c>
      <c r="M126" s="21"/>
      <c r="N126" s="21"/>
      <c r="T126" s="23"/>
      <c r="U126" s="23"/>
      <c r="V126" s="23"/>
      <c r="W126" s="7"/>
      <c r="X126" s="7"/>
      <c r="Y126" s="23"/>
      <c r="Z126" s="23"/>
    </row>
    <row r="127" spans="2:26" hidden="1">
      <c r="B127" s="42" t="s">
        <v>75</v>
      </c>
      <c r="C127" s="43"/>
      <c r="D127" s="43"/>
      <c r="E127" s="44"/>
      <c r="G127" s="21">
        <f>'Базовые концовки'!F58</f>
        <v>0</v>
      </c>
      <c r="H127" s="21"/>
      <c r="I127" s="21"/>
      <c r="L127" s="21">
        <f>'Текущие концовки'!F58</f>
        <v>0</v>
      </c>
      <c r="M127" s="21"/>
      <c r="N127" s="21"/>
      <c r="T127" s="23"/>
      <c r="U127" s="23"/>
      <c r="V127" s="23"/>
      <c r="W127" s="7"/>
      <c r="X127" s="7"/>
      <c r="Y127" s="23"/>
      <c r="Z127" s="23"/>
    </row>
    <row r="128" spans="2:26" hidden="1">
      <c r="B128" s="42" t="s">
        <v>76</v>
      </c>
      <c r="C128" s="43"/>
      <c r="D128" s="43"/>
      <c r="E128" s="44"/>
      <c r="G128" s="21">
        <f>'Базовые концовки'!F59</f>
        <v>0</v>
      </c>
      <c r="H128" s="21"/>
      <c r="I128" s="21"/>
      <c r="L128" s="21">
        <f>'Текущие концовки'!F59</f>
        <v>0</v>
      </c>
      <c r="M128" s="21"/>
      <c r="N128" s="21"/>
      <c r="T128" s="23"/>
      <c r="U128" s="23"/>
      <c r="V128" s="23"/>
      <c r="W128" s="7"/>
      <c r="X128" s="7"/>
      <c r="Y128" s="23"/>
      <c r="Z128" s="23"/>
    </row>
    <row r="129" spans="2:26" hidden="1">
      <c r="B129" s="42" t="s">
        <v>91</v>
      </c>
      <c r="C129" s="43"/>
      <c r="D129" s="43"/>
      <c r="E129" s="44"/>
      <c r="G129" s="21">
        <f>'Базовые концовки'!F60</f>
        <v>0</v>
      </c>
      <c r="H129" s="21"/>
      <c r="I129" s="21"/>
      <c r="L129" s="21">
        <f>'Текущие концовки'!F60</f>
        <v>0</v>
      </c>
      <c r="M129" s="21"/>
      <c r="N129" s="21"/>
      <c r="T129" s="23"/>
      <c r="U129" s="23"/>
      <c r="V129" s="23"/>
      <c r="W129" s="7"/>
      <c r="X129" s="7"/>
      <c r="Y129" s="23"/>
      <c r="Z129" s="23"/>
    </row>
    <row r="130" spans="2:26" hidden="1">
      <c r="B130" s="42" t="s">
        <v>92</v>
      </c>
      <c r="C130" s="43"/>
      <c r="D130" s="43"/>
      <c r="E130" s="44"/>
      <c r="G130" s="21">
        <f>'Базовые концовки'!F61</f>
        <v>0</v>
      </c>
      <c r="H130" s="21">
        <f>'Базовые концовки'!G61</f>
        <v>0</v>
      </c>
      <c r="I130" s="21">
        <f>'Базовые концовки'!H61</f>
        <v>0</v>
      </c>
      <c r="L130" s="21">
        <f>'Текущие концовки'!F61</f>
        <v>0</v>
      </c>
      <c r="M130" s="21">
        <f>'Текущие концовки'!G61</f>
        <v>0</v>
      </c>
      <c r="N130" s="21">
        <f>'Текущие концовки'!H61</f>
        <v>0</v>
      </c>
      <c r="T130" s="23">
        <f>'Текущие концовки'!G61</f>
        <v>0</v>
      </c>
      <c r="U130" s="23">
        <f>'Текущие концовки'!H61</f>
        <v>0</v>
      </c>
      <c r="V130" s="23">
        <f>'Текущие концовки'!I61</f>
        <v>0</v>
      </c>
      <c r="W130" s="7">
        <f>'Текущие концовки'!J61</f>
        <v>0</v>
      </c>
      <c r="X130" s="7">
        <f>'Текущие концовки'!K61</f>
        <v>0</v>
      </c>
      <c r="Y130" s="23">
        <f>'Текущие концовки'!L61</f>
        <v>0</v>
      </c>
      <c r="Z130" s="23">
        <f>'Текущие концовки'!M61</f>
        <v>0</v>
      </c>
    </row>
    <row r="131" spans="2:26" hidden="1">
      <c r="B131" s="42" t="s">
        <v>70</v>
      </c>
      <c r="C131" s="43"/>
      <c r="D131" s="43"/>
      <c r="E131" s="44"/>
      <c r="G131" s="21"/>
      <c r="H131" s="21"/>
      <c r="I131" s="21"/>
      <c r="L131" s="21"/>
      <c r="M131" s="21"/>
      <c r="N131" s="21"/>
      <c r="T131" s="23"/>
      <c r="U131" s="23"/>
      <c r="V131" s="23"/>
      <c r="W131" s="7"/>
      <c r="X131" s="7"/>
      <c r="Y131" s="23"/>
      <c r="Z131" s="23"/>
    </row>
    <row r="132" spans="2:26" hidden="1">
      <c r="B132" s="42" t="s">
        <v>79</v>
      </c>
      <c r="C132" s="43"/>
      <c r="D132" s="43"/>
      <c r="E132" s="44"/>
      <c r="G132" s="21" t="e">
        <f ca="1">'Базовые концовки'!F63</f>
        <v>#NAME?</v>
      </c>
      <c r="H132" s="21"/>
      <c r="I132" s="21"/>
      <c r="L132" s="21" t="e">
        <f ca="1">'Текущие концовки'!F63</f>
        <v>#NAME?</v>
      </c>
      <c r="M132" s="21"/>
      <c r="N132" s="21"/>
      <c r="T132" s="23"/>
      <c r="U132" s="23"/>
      <c r="V132" s="23"/>
      <c r="W132" s="7"/>
      <c r="X132" s="7"/>
      <c r="Y132" s="23"/>
      <c r="Z132" s="23"/>
    </row>
    <row r="133" spans="2:26" hidden="1">
      <c r="B133" s="42" t="s">
        <v>74</v>
      </c>
      <c r="C133" s="43"/>
      <c r="D133" s="43"/>
      <c r="E133" s="44"/>
      <c r="G133" s="21">
        <f>'Базовые концовки'!F64</f>
        <v>0</v>
      </c>
      <c r="H133" s="21"/>
      <c r="I133" s="21"/>
      <c r="L133" s="21">
        <f>'Текущие концовки'!F64</f>
        <v>0</v>
      </c>
      <c r="M133" s="21"/>
      <c r="N133" s="21"/>
      <c r="T133" s="23"/>
      <c r="U133" s="23"/>
      <c r="V133" s="23"/>
      <c r="W133" s="7"/>
      <c r="X133" s="7"/>
      <c r="Y133" s="23"/>
      <c r="Z133" s="23"/>
    </row>
    <row r="134" spans="2:26" hidden="1">
      <c r="B134" s="42" t="s">
        <v>75</v>
      </c>
      <c r="C134" s="43"/>
      <c r="D134" s="43"/>
      <c r="E134" s="44"/>
      <c r="G134" s="21">
        <f>'Базовые концовки'!F65</f>
        <v>0</v>
      </c>
      <c r="H134" s="21"/>
      <c r="I134" s="21"/>
      <c r="L134" s="21">
        <f>'Текущие концовки'!F65</f>
        <v>0</v>
      </c>
      <c r="M134" s="21"/>
      <c r="N134" s="21"/>
      <c r="T134" s="23"/>
      <c r="U134" s="23"/>
      <c r="V134" s="23"/>
      <c r="W134" s="7"/>
      <c r="X134" s="7"/>
      <c r="Y134" s="23"/>
      <c r="Z134" s="23"/>
    </row>
    <row r="135" spans="2:26" hidden="1">
      <c r="B135" s="42" t="s">
        <v>76</v>
      </c>
      <c r="C135" s="43"/>
      <c r="D135" s="43"/>
      <c r="E135" s="44"/>
      <c r="G135" s="21">
        <f>'Базовые концовки'!F66</f>
        <v>0</v>
      </c>
      <c r="H135" s="21"/>
      <c r="I135" s="21"/>
      <c r="L135" s="21">
        <f>'Текущие концовки'!F66</f>
        <v>0</v>
      </c>
      <c r="M135" s="21"/>
      <c r="N135" s="21"/>
      <c r="T135" s="23"/>
      <c r="U135" s="23"/>
      <c r="V135" s="23"/>
      <c r="W135" s="7"/>
      <c r="X135" s="7"/>
      <c r="Y135" s="23"/>
      <c r="Z135" s="23"/>
    </row>
    <row r="136" spans="2:26" hidden="1">
      <c r="B136" s="42" t="s">
        <v>93</v>
      </c>
      <c r="C136" s="43"/>
      <c r="D136" s="43"/>
      <c r="E136" s="44"/>
      <c r="G136" s="21">
        <f>'Базовые концовки'!F67</f>
        <v>0</v>
      </c>
      <c r="H136" s="21"/>
      <c r="I136" s="21"/>
      <c r="L136" s="21">
        <f>'Текущие концовки'!F67</f>
        <v>0</v>
      </c>
      <c r="M136" s="21"/>
      <c r="N136" s="21"/>
      <c r="T136" s="23"/>
      <c r="U136" s="23"/>
      <c r="V136" s="23"/>
      <c r="W136" s="7"/>
      <c r="X136" s="7"/>
      <c r="Y136" s="23"/>
      <c r="Z136" s="23"/>
    </row>
    <row r="137" spans="2:26" hidden="1">
      <c r="B137" s="42" t="s">
        <v>94</v>
      </c>
      <c r="C137" s="43"/>
      <c r="D137" s="43"/>
      <c r="E137" s="44"/>
      <c r="G137" s="21">
        <f>'Базовые концовки'!F68</f>
        <v>0</v>
      </c>
      <c r="H137" s="21">
        <f>'Базовые концовки'!G68</f>
        <v>0</v>
      </c>
      <c r="I137" s="21">
        <f>'Базовые концовки'!H68</f>
        <v>0</v>
      </c>
      <c r="L137" s="21">
        <f>'Текущие концовки'!F68</f>
        <v>0</v>
      </c>
      <c r="M137" s="21">
        <f>'Текущие концовки'!G68</f>
        <v>0</v>
      </c>
      <c r="N137" s="21">
        <f>'Текущие концовки'!H68</f>
        <v>0</v>
      </c>
      <c r="T137" s="23">
        <f>'Текущие концовки'!G68</f>
        <v>0</v>
      </c>
      <c r="U137" s="23">
        <f>'Текущие концовки'!H68</f>
        <v>0</v>
      </c>
      <c r="V137" s="23">
        <f>'Текущие концовки'!I68</f>
        <v>0</v>
      </c>
      <c r="W137" s="7">
        <f>'Текущие концовки'!J68</f>
        <v>0</v>
      </c>
      <c r="X137" s="7">
        <f>'Текущие концовки'!K68</f>
        <v>0</v>
      </c>
      <c r="Y137" s="23">
        <f>'Текущие концовки'!L68</f>
        <v>0</v>
      </c>
      <c r="Z137" s="23">
        <f>'Текущие концовки'!M68</f>
        <v>0</v>
      </c>
    </row>
    <row r="138" spans="2:26" hidden="1">
      <c r="B138" s="42" t="s">
        <v>95</v>
      </c>
      <c r="C138" s="43"/>
      <c r="D138" s="43"/>
      <c r="E138" s="44"/>
      <c r="G138" s="21">
        <f>'Базовые концовки'!F69</f>
        <v>0</v>
      </c>
      <c r="H138" s="21"/>
      <c r="I138" s="21"/>
      <c r="L138" s="21">
        <f>'Текущие концовки'!F69</f>
        <v>0</v>
      </c>
      <c r="M138" s="21"/>
      <c r="N138" s="21"/>
      <c r="T138" s="23"/>
      <c r="U138" s="23"/>
      <c r="V138" s="23"/>
      <c r="W138" s="7"/>
      <c r="X138" s="7"/>
      <c r="Y138" s="23"/>
      <c r="Z138" s="23"/>
    </row>
    <row r="139" spans="2:26" hidden="1">
      <c r="B139" s="42" t="s">
        <v>96</v>
      </c>
      <c r="C139" s="43"/>
      <c r="D139" s="43"/>
      <c r="E139" s="44"/>
      <c r="G139" s="21">
        <f>'Базовые концовки'!F70</f>
        <v>0</v>
      </c>
      <c r="H139" s="21"/>
      <c r="I139" s="21"/>
      <c r="L139" s="21">
        <f>'Текущие концовки'!F70</f>
        <v>0</v>
      </c>
      <c r="M139" s="21"/>
      <c r="N139" s="21"/>
      <c r="T139" s="23"/>
      <c r="U139" s="23"/>
      <c r="V139" s="23"/>
      <c r="W139" s="7"/>
      <c r="X139" s="7"/>
      <c r="Y139" s="23"/>
      <c r="Z139" s="23"/>
    </row>
    <row r="140" spans="2:26" hidden="1">
      <c r="B140" s="42" t="s">
        <v>75</v>
      </c>
      <c r="C140" s="43"/>
      <c r="D140" s="43"/>
      <c r="E140" s="44"/>
      <c r="G140" s="21">
        <f>'Базовые концовки'!F71</f>
        <v>0</v>
      </c>
      <c r="H140" s="21"/>
      <c r="I140" s="21"/>
      <c r="L140" s="21">
        <f>'Текущие концовки'!F71</f>
        <v>0</v>
      </c>
      <c r="M140" s="21"/>
      <c r="N140" s="21"/>
      <c r="T140" s="23"/>
      <c r="U140" s="23"/>
      <c r="V140" s="23"/>
      <c r="W140" s="7"/>
      <c r="X140" s="7"/>
      <c r="Y140" s="23"/>
      <c r="Z140" s="23"/>
    </row>
    <row r="141" spans="2:26" hidden="1">
      <c r="B141" s="42" t="s">
        <v>76</v>
      </c>
      <c r="C141" s="43"/>
      <c r="D141" s="43"/>
      <c r="E141" s="44"/>
      <c r="G141" s="21">
        <f>'Базовые концовки'!F72</f>
        <v>0</v>
      </c>
      <c r="H141" s="21"/>
      <c r="I141" s="21"/>
      <c r="L141" s="21">
        <f>'Текущие концовки'!F72</f>
        <v>0</v>
      </c>
      <c r="M141" s="21"/>
      <c r="N141" s="21"/>
      <c r="T141" s="23"/>
      <c r="U141" s="23"/>
      <c r="V141" s="23"/>
      <c r="W141" s="7"/>
      <c r="X141" s="7"/>
      <c r="Y141" s="23"/>
      <c r="Z141" s="23"/>
    </row>
    <row r="142" spans="2:26" hidden="1">
      <c r="B142" s="42" t="s">
        <v>97</v>
      </c>
      <c r="C142" s="43"/>
      <c r="D142" s="43"/>
      <c r="E142" s="44"/>
      <c r="G142" s="21">
        <f>'Базовые концовки'!F73</f>
        <v>0</v>
      </c>
      <c r="H142" s="21"/>
      <c r="I142" s="21"/>
      <c r="L142" s="21">
        <f>'Текущие концовки'!F73</f>
        <v>0</v>
      </c>
      <c r="M142" s="21"/>
      <c r="N142" s="21"/>
      <c r="T142" s="23"/>
      <c r="U142" s="23"/>
      <c r="V142" s="23"/>
      <c r="W142" s="7"/>
      <c r="X142" s="7"/>
      <c r="Y142" s="23"/>
      <c r="Z142" s="23"/>
    </row>
    <row r="143" spans="2:26" hidden="1">
      <c r="B143" s="42" t="s">
        <v>98</v>
      </c>
      <c r="C143" s="43"/>
      <c r="D143" s="43"/>
      <c r="E143" s="44"/>
      <c r="G143" s="21">
        <f>'Базовые концовки'!F74</f>
        <v>0</v>
      </c>
      <c r="H143" s="21">
        <f>'Базовые концовки'!G74</f>
        <v>0</v>
      </c>
      <c r="I143" s="21">
        <f>'Базовые концовки'!H74</f>
        <v>0</v>
      </c>
      <c r="L143" s="21">
        <f>'Текущие концовки'!F74</f>
        <v>0</v>
      </c>
      <c r="M143" s="21">
        <f>'Текущие концовки'!G74</f>
        <v>0</v>
      </c>
      <c r="N143" s="21">
        <f>'Текущие концовки'!H74</f>
        <v>0</v>
      </c>
      <c r="T143" s="23">
        <f>'Текущие концовки'!G74</f>
        <v>0</v>
      </c>
      <c r="U143" s="23">
        <f>'Текущие концовки'!H74</f>
        <v>0</v>
      </c>
      <c r="V143" s="23">
        <f>'Текущие концовки'!I74</f>
        <v>0</v>
      </c>
      <c r="W143" s="7">
        <f>'Текущие концовки'!J74</f>
        <v>0</v>
      </c>
      <c r="X143" s="7">
        <f>'Текущие концовки'!K74</f>
        <v>0</v>
      </c>
      <c r="Y143" s="23">
        <f>'Текущие концовки'!L74</f>
        <v>0</v>
      </c>
      <c r="Z143" s="23">
        <f>'Текущие концовки'!M74</f>
        <v>0</v>
      </c>
    </row>
    <row r="144" spans="2:26" hidden="1">
      <c r="B144" s="42" t="s">
        <v>75</v>
      </c>
      <c r="C144" s="43"/>
      <c r="D144" s="43"/>
      <c r="E144" s="44"/>
      <c r="G144" s="21">
        <f>'Базовые концовки'!F75</f>
        <v>0</v>
      </c>
      <c r="H144" s="21"/>
      <c r="I144" s="21"/>
      <c r="L144" s="21">
        <f>'Текущие концовки'!F75</f>
        <v>0</v>
      </c>
      <c r="M144" s="21"/>
      <c r="N144" s="21"/>
      <c r="T144" s="23"/>
      <c r="U144" s="23"/>
      <c r="V144" s="23"/>
      <c r="W144" s="7"/>
      <c r="X144" s="7"/>
      <c r="Y144" s="23"/>
      <c r="Z144" s="23"/>
    </row>
    <row r="145" spans="2:26" hidden="1">
      <c r="B145" s="42" t="s">
        <v>76</v>
      </c>
      <c r="C145" s="43"/>
      <c r="D145" s="43"/>
      <c r="E145" s="44"/>
      <c r="G145" s="21">
        <f>'Базовые концовки'!F76</f>
        <v>0</v>
      </c>
      <c r="H145" s="21"/>
      <c r="I145" s="21"/>
      <c r="L145" s="21">
        <f>'Текущие концовки'!F76</f>
        <v>0</v>
      </c>
      <c r="M145" s="21"/>
      <c r="N145" s="21"/>
      <c r="T145" s="23"/>
      <c r="U145" s="23"/>
      <c r="V145" s="23"/>
      <c r="W145" s="7"/>
      <c r="X145" s="7"/>
      <c r="Y145" s="23"/>
      <c r="Z145" s="23"/>
    </row>
    <row r="146" spans="2:26" hidden="1">
      <c r="B146" s="42" t="s">
        <v>99</v>
      </c>
      <c r="C146" s="43"/>
      <c r="D146" s="43"/>
      <c r="E146" s="44"/>
      <c r="G146" s="21">
        <f>'Базовые концовки'!F77</f>
        <v>0</v>
      </c>
      <c r="H146" s="21"/>
      <c r="I146" s="21"/>
      <c r="L146" s="21">
        <f>'Текущие концовки'!F77</f>
        <v>0</v>
      </c>
      <c r="M146" s="21"/>
      <c r="N146" s="21"/>
      <c r="T146" s="23"/>
      <c r="U146" s="23"/>
      <c r="V146" s="23"/>
      <c r="W146" s="7"/>
      <c r="X146" s="7"/>
      <c r="Y146" s="23"/>
      <c r="Z146" s="23"/>
    </row>
    <row r="147" spans="2:26" hidden="1">
      <c r="B147" s="42" t="s">
        <v>100</v>
      </c>
      <c r="C147" s="43"/>
      <c r="D147" s="43"/>
      <c r="E147" s="44"/>
      <c r="G147" s="21">
        <f>'Базовые концовки'!F78</f>
        <v>0</v>
      </c>
      <c r="H147" s="21">
        <f>'Базовые концовки'!G78</f>
        <v>0</v>
      </c>
      <c r="I147" s="21">
        <f>'Базовые концовки'!H78</f>
        <v>0</v>
      </c>
      <c r="L147" s="21">
        <f>'Текущие концовки'!F78</f>
        <v>0</v>
      </c>
      <c r="M147" s="21">
        <f>'Текущие концовки'!G78</f>
        <v>0</v>
      </c>
      <c r="N147" s="21">
        <f>'Текущие концовки'!H78</f>
        <v>0</v>
      </c>
      <c r="T147" s="23">
        <f>'Текущие концовки'!G78</f>
        <v>0</v>
      </c>
      <c r="U147" s="23">
        <f>'Текущие концовки'!H78</f>
        <v>0</v>
      </c>
      <c r="V147" s="23">
        <f>'Текущие концовки'!I78</f>
        <v>0</v>
      </c>
      <c r="W147" s="7">
        <f>'Текущие концовки'!J78</f>
        <v>0</v>
      </c>
      <c r="X147" s="7">
        <f>'Текущие концовки'!K78</f>
        <v>0</v>
      </c>
      <c r="Y147" s="23">
        <f>'Текущие концовки'!L78</f>
        <v>0</v>
      </c>
      <c r="Z147" s="23">
        <f>'Текущие концовки'!M78</f>
        <v>0</v>
      </c>
    </row>
    <row r="148" spans="2:26" hidden="1">
      <c r="B148" s="42" t="s">
        <v>74</v>
      </c>
      <c r="C148" s="43"/>
      <c r="D148" s="43"/>
      <c r="E148" s="44"/>
      <c r="G148" s="21">
        <f>'Базовые концовки'!F79</f>
        <v>0</v>
      </c>
      <c r="H148" s="21"/>
      <c r="I148" s="21"/>
      <c r="L148" s="21">
        <f>'Текущие концовки'!F79</f>
        <v>0</v>
      </c>
      <c r="M148" s="21"/>
      <c r="N148" s="21"/>
      <c r="T148" s="23"/>
      <c r="U148" s="23"/>
      <c r="V148" s="23"/>
      <c r="W148" s="7"/>
      <c r="X148" s="7"/>
      <c r="Y148" s="23"/>
      <c r="Z148" s="23"/>
    </row>
    <row r="149" spans="2:26" hidden="1">
      <c r="B149" s="42" t="s">
        <v>75</v>
      </c>
      <c r="C149" s="43"/>
      <c r="D149" s="43"/>
      <c r="E149" s="44"/>
      <c r="G149" s="21">
        <f>'Базовые концовки'!F80</f>
        <v>0</v>
      </c>
      <c r="H149" s="21"/>
      <c r="I149" s="21"/>
      <c r="L149" s="21">
        <f>'Текущие концовки'!F80</f>
        <v>0</v>
      </c>
      <c r="M149" s="21"/>
      <c r="N149" s="21"/>
      <c r="T149" s="23"/>
      <c r="U149" s="23"/>
      <c r="V149" s="23"/>
      <c r="W149" s="7"/>
      <c r="X149" s="7"/>
      <c r="Y149" s="23"/>
      <c r="Z149" s="23"/>
    </row>
    <row r="150" spans="2:26" hidden="1">
      <c r="B150" s="42" t="s">
        <v>76</v>
      </c>
      <c r="C150" s="43"/>
      <c r="D150" s="43"/>
      <c r="E150" s="44"/>
      <c r="G150" s="21">
        <f>'Базовые концовки'!F81</f>
        <v>0</v>
      </c>
      <c r="H150" s="21"/>
      <c r="I150" s="21"/>
      <c r="L150" s="21">
        <f>'Текущие концовки'!F81</f>
        <v>0</v>
      </c>
      <c r="M150" s="21"/>
      <c r="N150" s="21"/>
      <c r="T150" s="23"/>
      <c r="U150" s="23"/>
      <c r="V150" s="23"/>
      <c r="W150" s="7"/>
      <c r="X150" s="7"/>
      <c r="Y150" s="23"/>
      <c r="Z150" s="23"/>
    </row>
    <row r="151" spans="2:26" hidden="1">
      <c r="B151" s="42" t="s">
        <v>101</v>
      </c>
      <c r="C151" s="43"/>
      <c r="D151" s="43"/>
      <c r="E151" s="44"/>
      <c r="G151" s="21">
        <f>'Базовые концовки'!F82</f>
        <v>0</v>
      </c>
      <c r="H151" s="21"/>
      <c r="I151" s="21"/>
      <c r="L151" s="21">
        <f>'Текущие концовки'!F82</f>
        <v>0</v>
      </c>
      <c r="M151" s="21"/>
      <c r="N151" s="21"/>
      <c r="T151" s="23"/>
      <c r="U151" s="23"/>
      <c r="V151" s="23"/>
      <c r="W151" s="7"/>
      <c r="X151" s="7"/>
      <c r="Y151" s="23"/>
      <c r="Z151" s="23"/>
    </row>
    <row r="152" spans="2:26" hidden="1">
      <c r="B152" s="42" t="s">
        <v>102</v>
      </c>
      <c r="C152" s="43"/>
      <c r="D152" s="43"/>
      <c r="E152" s="44"/>
      <c r="G152" s="21">
        <f>'Базовые концовки'!F83</f>
        <v>0</v>
      </c>
      <c r="H152" s="21">
        <f>'Базовые концовки'!G83</f>
        <v>0</v>
      </c>
      <c r="I152" s="21">
        <f>'Базовые концовки'!H83</f>
        <v>0</v>
      </c>
      <c r="L152" s="21">
        <f>'Текущие концовки'!F83</f>
        <v>0</v>
      </c>
      <c r="M152" s="21">
        <f>'Текущие концовки'!G83</f>
        <v>0</v>
      </c>
      <c r="N152" s="21">
        <f>'Текущие концовки'!H83</f>
        <v>0</v>
      </c>
      <c r="T152" s="23">
        <f>'Текущие концовки'!G83</f>
        <v>0</v>
      </c>
      <c r="U152" s="23">
        <f>'Текущие концовки'!H83</f>
        <v>0</v>
      </c>
      <c r="V152" s="23">
        <f>'Текущие концовки'!I83</f>
        <v>0</v>
      </c>
      <c r="W152" s="7">
        <f>'Текущие концовки'!J83</f>
        <v>0</v>
      </c>
      <c r="X152" s="7">
        <f>'Текущие концовки'!K83</f>
        <v>0</v>
      </c>
      <c r="Y152" s="23">
        <f>'Текущие концовки'!L83</f>
        <v>0</v>
      </c>
      <c r="Z152" s="23">
        <f>'Текущие концовки'!M83</f>
        <v>0</v>
      </c>
    </row>
    <row r="153" spans="2:26" hidden="1">
      <c r="B153" s="42" t="s">
        <v>74</v>
      </c>
      <c r="C153" s="43"/>
      <c r="D153" s="43"/>
      <c r="E153" s="44"/>
      <c r="G153" s="21">
        <f>'Базовые концовки'!F84</f>
        <v>0</v>
      </c>
      <c r="H153" s="21"/>
      <c r="I153" s="21"/>
      <c r="L153" s="21">
        <f>'Текущие концовки'!F84</f>
        <v>0</v>
      </c>
      <c r="M153" s="21"/>
      <c r="N153" s="21"/>
      <c r="T153" s="23"/>
      <c r="U153" s="23"/>
      <c r="V153" s="23"/>
      <c r="W153" s="7"/>
      <c r="X153" s="7"/>
      <c r="Y153" s="23"/>
      <c r="Z153" s="23"/>
    </row>
    <row r="154" spans="2:26">
      <c r="B154" s="42" t="s">
        <v>103</v>
      </c>
      <c r="C154" s="43"/>
      <c r="D154" s="43"/>
      <c r="E154" s="43"/>
      <c r="F154" s="44"/>
      <c r="G154" s="21" t="e">
        <f ca="1">'Базовые концовки'!F85</f>
        <v>#NAME?</v>
      </c>
      <c r="H154" s="21">
        <f>'Базовые концовки'!G85</f>
        <v>0</v>
      </c>
      <c r="I154" s="21">
        <f>'Базовые концовки'!H85</f>
        <v>0</v>
      </c>
      <c r="L154" s="21" t="e">
        <f ca="1">'Текущие концовки'!F85</f>
        <v>#NAME?</v>
      </c>
      <c r="M154" s="21">
        <f>'Текущие концовки'!G85</f>
        <v>0</v>
      </c>
      <c r="N154" s="21">
        <f>'Текущие концовки'!H85</f>
        <v>0</v>
      </c>
      <c r="T154" s="23">
        <f>'Текущие концовки'!G85</f>
        <v>0</v>
      </c>
      <c r="U154" s="23">
        <f>'Текущие концовки'!H85</f>
        <v>0</v>
      </c>
      <c r="V154" s="23">
        <f>'Текущие концовки'!I85</f>
        <v>0</v>
      </c>
      <c r="W154" s="7">
        <f>'Текущие концовки'!J85</f>
        <v>0</v>
      </c>
      <c r="X154" s="7">
        <f>'Текущие концовки'!K85</f>
        <v>0</v>
      </c>
      <c r="Y154" s="23">
        <f>'Текущие концовки'!L85</f>
        <v>0</v>
      </c>
      <c r="Z154" s="23">
        <f>'Текущие концовки'!M85</f>
        <v>0</v>
      </c>
    </row>
    <row r="155" spans="2:26" hidden="1">
      <c r="B155" s="42" t="s">
        <v>104</v>
      </c>
      <c r="C155" s="43"/>
      <c r="D155" s="43"/>
      <c r="E155" s="44"/>
      <c r="G155" s="21">
        <f>'Базовые концовки'!F86</f>
        <v>0</v>
      </c>
      <c r="H155" s="21"/>
      <c r="I155" s="21"/>
      <c r="L155" s="21">
        <f>'Текущие концовки'!F86</f>
        <v>0</v>
      </c>
      <c r="M155" s="21"/>
      <c r="N155" s="21"/>
      <c r="T155" s="23"/>
      <c r="U155" s="23"/>
      <c r="V155" s="23"/>
      <c r="W155" s="7"/>
      <c r="X155" s="7"/>
      <c r="Y155" s="23"/>
      <c r="Z155" s="23"/>
    </row>
    <row r="156" spans="2:26">
      <c r="B156" s="42" t="s">
        <v>105</v>
      </c>
      <c r="C156" s="43"/>
      <c r="D156" s="43"/>
      <c r="E156" s="43"/>
      <c r="F156" s="44"/>
      <c r="G156" s="21">
        <f>'Базовые концовки'!F87</f>
        <v>317</v>
      </c>
      <c r="H156" s="21"/>
      <c r="I156" s="21"/>
      <c r="L156" s="21">
        <f>'Текущие концовки'!F87</f>
        <v>6559</v>
      </c>
      <c r="M156" s="21"/>
      <c r="N156" s="21"/>
      <c r="T156" s="23"/>
      <c r="U156" s="23"/>
      <c r="V156" s="23"/>
      <c r="W156" s="7"/>
      <c r="X156" s="7"/>
      <c r="Y156" s="23"/>
      <c r="Z156" s="23"/>
    </row>
    <row r="157" spans="2:26">
      <c r="B157" s="42" t="s">
        <v>106</v>
      </c>
      <c r="C157" s="43"/>
      <c r="D157" s="43"/>
      <c r="E157" s="43"/>
      <c r="F157" s="44"/>
      <c r="G157" s="21">
        <f>'Базовые концовки'!F88</f>
        <v>234</v>
      </c>
      <c r="H157" s="21"/>
      <c r="I157" s="21"/>
      <c r="L157" s="21">
        <f>'Текущие концовки'!F88</f>
        <v>4854</v>
      </c>
      <c r="M157" s="21"/>
      <c r="N157" s="21"/>
      <c r="T157" s="23"/>
      <c r="U157" s="23"/>
      <c r="V157" s="23"/>
      <c r="W157" s="7"/>
      <c r="X157" s="7"/>
      <c r="Y157" s="23"/>
      <c r="Z157" s="23"/>
    </row>
    <row r="158" spans="2:26" hidden="1">
      <c r="B158" s="42" t="s">
        <v>33</v>
      </c>
      <c r="C158" s="43"/>
      <c r="D158" s="43"/>
      <c r="E158" s="44"/>
      <c r="G158" s="21">
        <f>'Базовые концовки'!F89</f>
        <v>0</v>
      </c>
      <c r="H158" s="21"/>
      <c r="I158" s="21"/>
      <c r="L158" s="21">
        <f>'Текущие концовки'!F89</f>
        <v>0</v>
      </c>
      <c r="M158" s="21"/>
      <c r="N158" s="21"/>
      <c r="T158" s="23"/>
      <c r="U158" s="23"/>
      <c r="V158" s="23"/>
      <c r="W158" s="7"/>
      <c r="X158" s="7"/>
      <c r="Y158" s="23">
        <f>'Текущие концовки'!L89</f>
        <v>0</v>
      </c>
      <c r="Z158" s="23"/>
    </row>
    <row r="159" spans="2:26" hidden="1">
      <c r="B159" s="42" t="s">
        <v>107</v>
      </c>
      <c r="C159" s="43"/>
      <c r="D159" s="43"/>
      <c r="E159" s="44"/>
      <c r="G159" s="21">
        <f>'Базовые концовки'!F90</f>
        <v>0</v>
      </c>
      <c r="H159" s="21"/>
      <c r="I159" s="21"/>
      <c r="L159" s="21">
        <f>'Текущие концовки'!F90</f>
        <v>0</v>
      </c>
      <c r="M159" s="21"/>
      <c r="N159" s="21"/>
      <c r="T159" s="23"/>
      <c r="U159" s="23"/>
      <c r="V159" s="23"/>
      <c r="W159" s="7"/>
      <c r="X159" s="7"/>
      <c r="Y159" s="23">
        <f>'Текущие концовки'!L90</f>
        <v>0</v>
      </c>
      <c r="Z159" s="23"/>
    </row>
    <row r="160" spans="2:26" hidden="1">
      <c r="B160" s="42" t="s">
        <v>108</v>
      </c>
      <c r="C160" s="43"/>
      <c r="D160" s="43"/>
      <c r="E160" s="43"/>
      <c r="F160" s="44"/>
      <c r="G160" s="21">
        <f>'Базовые концовки'!F91</f>
        <v>366</v>
      </c>
      <c r="H160" s="21"/>
      <c r="I160" s="21"/>
      <c r="L160" s="21">
        <f>'Текущие концовки'!F91</f>
        <v>7556</v>
      </c>
      <c r="M160" s="21"/>
      <c r="N160" s="21"/>
      <c r="T160" s="23"/>
      <c r="U160" s="23"/>
      <c r="V160" s="23"/>
      <c r="W160" s="7"/>
      <c r="X160" s="7"/>
      <c r="Y160" s="23"/>
      <c r="Z160" s="23"/>
    </row>
    <row r="161" spans="1:26" hidden="1">
      <c r="B161" s="42" t="s">
        <v>109</v>
      </c>
      <c r="C161" s="43"/>
      <c r="D161" s="43"/>
      <c r="E161" s="43"/>
      <c r="F161" s="44"/>
      <c r="G161" s="21">
        <f>'Базовые концовки'!F92</f>
        <v>3</v>
      </c>
      <c r="H161" s="21"/>
      <c r="I161" s="21"/>
      <c r="L161" s="21">
        <f>'Текущие концовки'!F92</f>
        <v>75</v>
      </c>
      <c r="M161" s="21"/>
      <c r="N161" s="21"/>
      <c r="T161" s="23"/>
      <c r="U161" s="23"/>
      <c r="V161" s="23"/>
      <c r="W161" s="7"/>
      <c r="X161" s="7"/>
      <c r="Y161" s="23"/>
      <c r="Z161" s="23"/>
    </row>
    <row r="162" spans="1:26" hidden="1">
      <c r="B162" s="42" t="s">
        <v>110</v>
      </c>
      <c r="C162" s="43"/>
      <c r="D162" s="43"/>
      <c r="E162" s="43"/>
      <c r="F162" s="44"/>
      <c r="G162" s="21">
        <f>'Базовые концовки'!F93</f>
        <v>369</v>
      </c>
      <c r="H162" s="21"/>
      <c r="I162" s="21"/>
      <c r="L162" s="21">
        <f>'Текущие концовки'!F93</f>
        <v>7631</v>
      </c>
      <c r="M162" s="21"/>
      <c r="N162" s="21"/>
      <c r="T162" s="23"/>
      <c r="U162" s="23"/>
      <c r="V162" s="23"/>
      <c r="W162" s="7"/>
      <c r="X162" s="7"/>
      <c r="Y162" s="23"/>
      <c r="Z162" s="23"/>
    </row>
    <row r="163" spans="1:26" hidden="1">
      <c r="B163" s="42" t="s">
        <v>111</v>
      </c>
      <c r="C163" s="43"/>
      <c r="D163" s="43"/>
      <c r="E163" s="43"/>
      <c r="F163" s="44"/>
      <c r="G163" s="7" t="e">
        <f ca="1">'Базовые концовки'!J94</f>
        <v>#NAME?</v>
      </c>
      <c r="H163" s="21"/>
      <c r="I163" s="21"/>
      <c r="L163" s="7" t="e">
        <f ca="1">'Текущие концовки'!J94</f>
        <v>#NAME?</v>
      </c>
      <c r="M163" s="21"/>
      <c r="N163" s="21"/>
      <c r="T163" s="23"/>
      <c r="U163" s="23"/>
      <c r="V163" s="23"/>
      <c r="W163" s="7" t="e">
        <f ca="1">'Текущие концовки'!J94</f>
        <v>#NAME?</v>
      </c>
      <c r="X163" s="7"/>
      <c r="Y163" s="23"/>
      <c r="Z163" s="23"/>
    </row>
    <row r="164" spans="1:26" hidden="1">
      <c r="B164" s="42" t="s">
        <v>112</v>
      </c>
      <c r="C164" s="43"/>
      <c r="D164" s="43"/>
      <c r="E164" s="43"/>
      <c r="F164" s="44"/>
      <c r="G164" s="7" t="e">
        <f ca="1">'Базовые концовки'!J95</f>
        <v>#NAME?</v>
      </c>
      <c r="H164" s="21"/>
      <c r="I164" s="21"/>
      <c r="L164" s="7" t="e">
        <f ca="1">'Текущие концовки'!J95</f>
        <v>#NAME?</v>
      </c>
      <c r="M164" s="21"/>
      <c r="N164" s="21"/>
      <c r="T164" s="23"/>
      <c r="U164" s="23"/>
      <c r="V164" s="23"/>
      <c r="W164" s="7" t="e">
        <f ca="1">'Текущие концовки'!J95</f>
        <v>#NAME?</v>
      </c>
      <c r="X164" s="7"/>
      <c r="Y164" s="23"/>
      <c r="Z164" s="23"/>
    </row>
    <row r="165" spans="1:26" hidden="1">
      <c r="B165" s="42" t="s">
        <v>113</v>
      </c>
      <c r="C165" s="43"/>
      <c r="D165" s="43"/>
      <c r="E165" s="43"/>
      <c r="F165" s="44"/>
      <c r="G165" s="7" t="e">
        <f ca="1">'Базовые концовки'!J96</f>
        <v>#NAME?</v>
      </c>
      <c r="H165" s="21"/>
      <c r="I165" s="21"/>
      <c r="L165" s="7" t="e">
        <f ca="1">'Текущие концовки'!J96</f>
        <v>#NAME?</v>
      </c>
      <c r="M165" s="21"/>
      <c r="N165" s="21"/>
      <c r="T165" s="23"/>
      <c r="U165" s="23"/>
      <c r="V165" s="23"/>
      <c r="W165" s="7" t="e">
        <f ca="1">'Текущие концовки'!J96</f>
        <v>#NAME?</v>
      </c>
      <c r="X165" s="7"/>
      <c r="Y165" s="23"/>
      <c r="Z165" s="23"/>
    </row>
    <row r="167" spans="1:26">
      <c r="B167" s="49" t="s">
        <v>114</v>
      </c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</row>
    <row r="168" spans="1:26"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</row>
    <row r="169" spans="1:26">
      <c r="A169" s="6" t="s">
        <v>115</v>
      </c>
      <c r="B169" s="48" t="s">
        <v>116</v>
      </c>
      <c r="C169" s="1">
        <v>0.4</v>
      </c>
      <c r="D169" s="12">
        <f>'Базовые цены за единицу'!B15</f>
        <v>77.13</v>
      </c>
      <c r="E169" s="13">
        <f>'Базовые цены за единицу'!C15</f>
        <v>64.61</v>
      </c>
      <c r="F169" s="13">
        <f>'Базовые цены за единицу'!D15</f>
        <v>12.52</v>
      </c>
      <c r="G169" s="14">
        <f>'Базовые цены с учетом расхода'!B15</f>
        <v>31</v>
      </c>
      <c r="H169" s="15">
        <f>'Базовые цены с учетом расхода'!C15</f>
        <v>26</v>
      </c>
      <c r="I169" s="15">
        <f>'Базовые цены с учетом расхода'!D15</f>
        <v>5</v>
      </c>
      <c r="J169" s="16">
        <v>20.63</v>
      </c>
      <c r="K169" s="16">
        <v>3.18</v>
      </c>
      <c r="L169" s="14">
        <f>'Текущие цены с учетом расхода'!B15</f>
        <v>549</v>
      </c>
      <c r="M169" s="15">
        <f>'Текущие цены с учетом расхода'!C15</f>
        <v>533</v>
      </c>
      <c r="N169" s="15">
        <f>'Текущие цены с учетом расхода'!D15</f>
        <v>16</v>
      </c>
    </row>
    <row r="170" spans="1:26" ht="43.9" customHeight="1">
      <c r="B170" s="43"/>
      <c r="E170" s="12">
        <f>'Базовые цены за единицу'!F15</f>
        <v>0</v>
      </c>
      <c r="F170" s="12">
        <f>'Базовые цены за единицу'!E15</f>
        <v>0</v>
      </c>
      <c r="H170" s="14">
        <f>'Базовые цены с учетом расхода'!F15</f>
        <v>0</v>
      </c>
      <c r="I170" s="14">
        <f>'Базовые цены с учетом расхода'!E15</f>
        <v>0</v>
      </c>
      <c r="J170" s="16">
        <v>1</v>
      </c>
      <c r="K170" s="16">
        <v>1</v>
      </c>
      <c r="M170" s="14">
        <f>'Текущие цены с учетом расхода'!F15</f>
        <v>0</v>
      </c>
      <c r="N170" s="14">
        <f>'Текущие цены с учетом расхода'!E15</f>
        <v>0</v>
      </c>
    </row>
    <row r="171" spans="1:26" hidden="1">
      <c r="B171" s="17" t="s">
        <v>29</v>
      </c>
      <c r="G171" s="1">
        <v>26</v>
      </c>
      <c r="L171" s="1">
        <v>533</v>
      </c>
    </row>
    <row r="172" spans="1:26" hidden="1">
      <c r="B172" s="17" t="s">
        <v>30</v>
      </c>
      <c r="G172" s="1">
        <v>5</v>
      </c>
      <c r="L172" s="1">
        <v>16</v>
      </c>
    </row>
    <row r="173" spans="1:26" hidden="1">
      <c r="B173" s="17" t="s">
        <v>31</v>
      </c>
    </row>
    <row r="174" spans="1:26" hidden="1">
      <c r="B174" s="17" t="s">
        <v>32</v>
      </c>
    </row>
    <row r="175" spans="1:26" ht="31.5" hidden="1">
      <c r="B175" s="17" t="s">
        <v>33</v>
      </c>
    </row>
    <row r="176" spans="1:26" ht="21" hidden="1">
      <c r="B176" s="17" t="s">
        <v>34</v>
      </c>
      <c r="D176" s="18"/>
      <c r="K176" s="18"/>
      <c r="O176" s="1" t="s">
        <v>35</v>
      </c>
      <c r="P176" s="1" t="s">
        <v>36</v>
      </c>
    </row>
    <row r="177" spans="1:16" ht="21" hidden="1">
      <c r="B177" s="17" t="s">
        <v>37</v>
      </c>
    </row>
    <row r="178" spans="1:16" ht="21" hidden="1">
      <c r="B178" s="17" t="s">
        <v>38</v>
      </c>
    </row>
    <row r="179" spans="1:16" ht="21" hidden="1">
      <c r="B179" s="17" t="s">
        <v>39</v>
      </c>
    </row>
    <row r="180" spans="1:16">
      <c r="B180" s="17" t="s">
        <v>40</v>
      </c>
      <c r="D180" s="1">
        <v>99</v>
      </c>
      <c r="G180" s="14">
        <f>IF('Базовые цены с учетом расхода'!N15&gt;0,'Базовые цены с учетом расхода'!N15,IF('Базовые цены с учетом расхода'!N15&lt;0,'Базовые цены с учетом расхода'!N15,""))</f>
        <v>26</v>
      </c>
      <c r="K180" s="1">
        <v>99</v>
      </c>
      <c r="L180" s="14">
        <f>IF('Текущие цены с учетом расхода'!N15&gt;0,'Текущие цены с учетом расхода'!N15,IF('Текущие цены с учетом расхода'!N15&lt;0,'Текущие цены с учетом расхода'!N15,""))</f>
        <v>528</v>
      </c>
      <c r="P180" s="5" t="s">
        <v>41</v>
      </c>
    </row>
    <row r="181" spans="1:16" hidden="1">
      <c r="B181" s="17" t="s">
        <v>42</v>
      </c>
      <c r="D181" s="1">
        <v>99</v>
      </c>
      <c r="G181" s="14">
        <f>IF('Базовые цены с учетом расхода'!P15&gt;0,'Базовые цены с учетом расхода'!P15,IF('Базовые цены с учетом расхода'!P15&lt;0,'Базовые цены с учетом расхода'!P15,""))</f>
        <v>26</v>
      </c>
      <c r="K181" s="1">
        <v>99</v>
      </c>
      <c r="L181" s="14">
        <f>IF('Текущие цены с учетом расхода'!P15&gt;0,'Текущие цены с учетом расхода'!P15,IF('Текущие цены с учетом расхода'!P15&lt;0,'Текущие цены с учетом расхода'!P15,""))</f>
        <v>528</v>
      </c>
      <c r="P181" s="5" t="s">
        <v>43</v>
      </c>
    </row>
    <row r="182" spans="1:16" hidden="1">
      <c r="B182" s="17" t="s">
        <v>44</v>
      </c>
      <c r="G182" s="14" t="str">
        <f>IF('Базовые цены с учетом расхода'!Q15&gt;0,'Базовые цены с учетом расхода'!Q15,IF('Базовые цены с учетом расхода'!Q15&lt;0,'Базовые цены с учетом расхода'!Q15,""))</f>
        <v/>
      </c>
      <c r="L182" s="14" t="str">
        <f>IF('Текущие цены с учетом расхода'!Q15&gt;0,'Текущие цены с учетом расхода'!Q15,IF('Текущие цены с учетом расхода'!Q15&lt;0,'Текущие цены с учетом расхода'!Q15,""))</f>
        <v/>
      </c>
      <c r="P182" s="5" t="s">
        <v>45</v>
      </c>
    </row>
    <row r="183" spans="1:16" ht="21">
      <c r="B183" s="17" t="s">
        <v>46</v>
      </c>
      <c r="D183" s="1">
        <v>60</v>
      </c>
      <c r="G183" s="14">
        <f>IF('Базовые цены с учетом расхода'!O15&gt;0,'Базовые цены с учетом расхода'!O15,IF('Базовые цены с учетом расхода'!O15&lt;0,'Базовые цены с учетом расхода'!O15,""))</f>
        <v>16</v>
      </c>
      <c r="K183" s="1">
        <v>60</v>
      </c>
      <c r="L183" s="14">
        <f>IF('Текущие цены с учетом расхода'!O15&gt;0,'Текущие цены с учетом расхода'!O15,IF('Текущие цены с учетом расхода'!O15&lt;0,'Текущие цены с учетом расхода'!O15,""))</f>
        <v>320</v>
      </c>
      <c r="P183" s="5" t="s">
        <v>47</v>
      </c>
    </row>
    <row r="184" spans="1:16" hidden="1">
      <c r="B184" s="17" t="s">
        <v>48</v>
      </c>
      <c r="D184" s="1">
        <v>60</v>
      </c>
      <c r="G184" s="14">
        <f>IF('Базовые цены с учетом расхода'!R15&gt;0,'Базовые цены с учетом расхода'!R15,IF('Базовые цены с учетом расхода'!R15&lt;0,'Базовые цены с учетом расхода'!R15,""))</f>
        <v>16</v>
      </c>
      <c r="K184" s="1">
        <v>60</v>
      </c>
      <c r="L184" s="14">
        <f>IF('Текущие цены с учетом расхода'!R15&gt;0,'Текущие цены с учетом расхода'!R15,IF('Текущие цены с учетом расхода'!R15&lt;0,'Текущие цены с учетом расхода'!R15,""))</f>
        <v>320</v>
      </c>
      <c r="P184" s="5" t="s">
        <v>49</v>
      </c>
    </row>
    <row r="185" spans="1:16" hidden="1">
      <c r="B185" s="17" t="s">
        <v>50</v>
      </c>
      <c r="G185" s="14" t="str">
        <f>IF('Базовые цены с учетом расхода'!S15&gt;0,'Базовые цены с учетом расхода'!S15,IF('Базовые цены с учетом расхода'!S15&lt;0,'Базовые цены с учетом расхода'!S15,""))</f>
        <v/>
      </c>
      <c r="L185" s="14" t="str">
        <f>IF('Текущие цены с учетом расхода'!S15&gt;0,'Текущие цены с учетом расхода'!S15,IF('Текущие цены с учетом расхода'!S15&lt;0,'Текущие цены с учетом расхода'!S15,""))</f>
        <v/>
      </c>
      <c r="P185" s="5" t="s">
        <v>51</v>
      </c>
    </row>
    <row r="186" spans="1:16">
      <c r="B186" s="17" t="s">
        <v>52</v>
      </c>
      <c r="G186" s="14">
        <f>ROUND(IF(G169="",0,G169)+IF(G180="",0,G180)+IF(G183="",0,G183),0)</f>
        <v>73</v>
      </c>
      <c r="L186" s="14">
        <f>ROUND(IF(L169="",0,L169)+IF(L180="",0,L180)+IF(L183="",0,L183),0)</f>
        <v>1397</v>
      </c>
    </row>
    <row r="187" spans="1:16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</row>
    <row r="188" spans="1:16">
      <c r="A188" s="6" t="s">
        <v>117</v>
      </c>
      <c r="B188" s="48" t="s">
        <v>118</v>
      </c>
      <c r="C188" s="1">
        <v>0.4</v>
      </c>
      <c r="D188" s="12">
        <f>'Базовые цены за единицу'!B16</f>
        <v>1095.05</v>
      </c>
      <c r="E188" s="13">
        <f>'Базовые цены за единицу'!C16</f>
        <v>344.56</v>
      </c>
      <c r="F188" s="13">
        <f>'Базовые цены за единицу'!D16</f>
        <v>592.51</v>
      </c>
      <c r="G188" s="14">
        <f>'Базовые цены с учетом расхода'!B16</f>
        <v>438</v>
      </c>
      <c r="H188" s="15">
        <f>'Базовые цены с учетом расхода'!C16</f>
        <v>138</v>
      </c>
      <c r="I188" s="15">
        <f>'Базовые цены с учетом расхода'!D16</f>
        <v>237</v>
      </c>
      <c r="J188" s="16">
        <v>20.63</v>
      </c>
      <c r="K188" s="16">
        <v>5.9</v>
      </c>
      <c r="L188" s="14">
        <f>'Текущие цены с учетом расхода'!B16</f>
        <v>4667</v>
      </c>
      <c r="M188" s="15">
        <f>'Текущие цены с учетом расхода'!C16</f>
        <v>2843</v>
      </c>
      <c r="N188" s="15">
        <f>'Текущие цены с учетом расхода'!D16</f>
        <v>1398</v>
      </c>
    </row>
    <row r="189" spans="1:16" ht="55.15" customHeight="1">
      <c r="B189" s="43"/>
      <c r="E189" s="12">
        <f>'Базовые цены за единицу'!F16</f>
        <v>157.97999999999999</v>
      </c>
      <c r="F189" s="12">
        <f>'Базовые цены за единицу'!E16</f>
        <v>45.19</v>
      </c>
      <c r="H189" s="14">
        <f>'Базовые цены с учетом расхода'!F16</f>
        <v>63</v>
      </c>
      <c r="I189" s="14">
        <f>'Базовые цены с учетом расхода'!E16</f>
        <v>18</v>
      </c>
      <c r="J189" s="16">
        <v>6.74</v>
      </c>
      <c r="K189" s="16">
        <v>20.63</v>
      </c>
      <c r="M189" s="14">
        <f>'Текущие цены с учетом расхода'!F16</f>
        <v>426</v>
      </c>
      <c r="N189" s="14">
        <f>'Текущие цены с учетом расхода'!E16</f>
        <v>373</v>
      </c>
    </row>
    <row r="190" spans="1:16">
      <c r="B190" s="20" t="s">
        <v>55</v>
      </c>
    </row>
    <row r="191" spans="1:16" hidden="1">
      <c r="B191" s="17" t="s">
        <v>29</v>
      </c>
      <c r="G191" s="1">
        <v>138</v>
      </c>
      <c r="L191" s="1">
        <v>2843</v>
      </c>
    </row>
    <row r="192" spans="1:16" hidden="1">
      <c r="B192" s="17" t="s">
        <v>30</v>
      </c>
      <c r="G192" s="1">
        <v>237</v>
      </c>
      <c r="L192" s="1">
        <v>1398</v>
      </c>
    </row>
    <row r="193" spans="1:16" hidden="1">
      <c r="B193" s="17" t="s">
        <v>31</v>
      </c>
      <c r="G193" s="1">
        <v>18</v>
      </c>
      <c r="L193" s="1">
        <v>373</v>
      </c>
    </row>
    <row r="194" spans="1:16" hidden="1">
      <c r="B194" s="17" t="s">
        <v>32</v>
      </c>
      <c r="G194" s="1">
        <v>63</v>
      </c>
      <c r="L194" s="1">
        <v>426</v>
      </c>
    </row>
    <row r="195" spans="1:16" ht="31.5" hidden="1">
      <c r="B195" s="17" t="s">
        <v>33</v>
      </c>
    </row>
    <row r="196" spans="1:16" ht="21" hidden="1">
      <c r="B196" s="17" t="s">
        <v>34</v>
      </c>
      <c r="D196" s="18"/>
      <c r="K196" s="18"/>
      <c r="O196" s="1" t="s">
        <v>35</v>
      </c>
      <c r="P196" s="1" t="s">
        <v>36</v>
      </c>
    </row>
    <row r="197" spans="1:16" ht="21" hidden="1">
      <c r="B197" s="17" t="s">
        <v>37</v>
      </c>
    </row>
    <row r="198" spans="1:16" ht="21" hidden="1">
      <c r="B198" s="17" t="s">
        <v>38</v>
      </c>
    </row>
    <row r="199" spans="1:16" ht="21" hidden="1">
      <c r="B199" s="17" t="s">
        <v>39</v>
      </c>
    </row>
    <row r="200" spans="1:16">
      <c r="B200" s="17" t="s">
        <v>40</v>
      </c>
      <c r="D200" s="1">
        <v>81</v>
      </c>
      <c r="G200" s="14">
        <f>IF('Базовые цены с учетом расхода'!N16&gt;0,'Базовые цены с учетом расхода'!N16,IF('Базовые цены с учетом расхода'!N16&lt;0,'Базовые цены с учетом расхода'!N16,""))</f>
        <v>126</v>
      </c>
      <c r="K200" s="1">
        <v>81</v>
      </c>
      <c r="L200" s="14">
        <f>IF('Текущие цены с учетом расхода'!N16&gt;0,'Текущие цены с учетом расхода'!N16,IF('Текущие цены с учетом расхода'!N16&lt;0,'Текущие цены с учетом расхода'!N16,""))</f>
        <v>2605</v>
      </c>
      <c r="P200" s="5" t="s">
        <v>41</v>
      </c>
    </row>
    <row r="201" spans="1:16" hidden="1">
      <c r="B201" s="17" t="s">
        <v>42</v>
      </c>
      <c r="D201" s="1">
        <v>81</v>
      </c>
      <c r="G201" s="14">
        <f>IF('Базовые цены с учетом расхода'!P16&gt;0,'Базовые цены с учетом расхода'!P16,IF('Базовые цены с учетом расхода'!P16&lt;0,'Базовые цены с учетом расхода'!P16,""))</f>
        <v>112</v>
      </c>
      <c r="K201" s="1">
        <v>81</v>
      </c>
      <c r="L201" s="14">
        <f>IF('Текущие цены с учетом расхода'!P16&gt;0,'Текущие цены с учетом расхода'!P16,IF('Текущие цены с учетом расхода'!P16&lt;0,'Текущие цены с учетом расхода'!P16,""))</f>
        <v>2303</v>
      </c>
      <c r="P201" s="5" t="s">
        <v>43</v>
      </c>
    </row>
    <row r="202" spans="1:16" hidden="1">
      <c r="B202" s="17" t="s">
        <v>44</v>
      </c>
      <c r="D202" s="1">
        <v>81</v>
      </c>
      <c r="G202" s="14">
        <f>IF('Базовые цены с учетом расхода'!Q16&gt;0,'Базовые цены с учетом расхода'!Q16,IF('Базовые цены с учетом расхода'!Q16&lt;0,'Базовые цены с учетом расхода'!Q16,""))</f>
        <v>15</v>
      </c>
      <c r="K202" s="1">
        <v>81</v>
      </c>
      <c r="L202" s="14">
        <f>IF('Текущие цены с учетом расхода'!Q16&gt;0,'Текущие цены с учетом расхода'!Q16,IF('Текущие цены с учетом расхода'!Q16&lt;0,'Текущие цены с учетом расхода'!Q16,""))</f>
        <v>302</v>
      </c>
      <c r="P202" s="5" t="s">
        <v>45</v>
      </c>
    </row>
    <row r="203" spans="1:16" ht="21">
      <c r="B203" s="17" t="s">
        <v>46</v>
      </c>
      <c r="D203" s="1">
        <v>72</v>
      </c>
      <c r="G203" s="14">
        <f>IF('Базовые цены с учетом расхода'!O16&gt;0,'Базовые цены с учетом расхода'!O16,IF('Базовые цены с учетом расхода'!O16&lt;0,'Базовые цены с учетом расхода'!O16,""))</f>
        <v>112</v>
      </c>
      <c r="K203" s="1">
        <v>72</v>
      </c>
      <c r="L203" s="14">
        <f>IF('Текущие цены с учетом расхода'!O16&gt;0,'Текущие цены с учетом расхода'!O16,IF('Текущие цены с учетом расхода'!O16&lt;0,'Текущие цены с учетом расхода'!O16,""))</f>
        <v>2316</v>
      </c>
      <c r="P203" s="5" t="s">
        <v>47</v>
      </c>
    </row>
    <row r="204" spans="1:16" hidden="1">
      <c r="B204" s="17" t="s">
        <v>48</v>
      </c>
      <c r="D204" s="1">
        <v>72</v>
      </c>
      <c r="G204" s="14">
        <f>IF('Базовые цены с учетом расхода'!R16&gt;0,'Базовые цены с учетом расхода'!R16,IF('Базовые цены с учетом расхода'!R16&lt;0,'Базовые цены с учетом расхода'!R16,""))</f>
        <v>99</v>
      </c>
      <c r="K204" s="1">
        <v>72</v>
      </c>
      <c r="L204" s="14">
        <f>IF('Текущие цены с учетом расхода'!R16&gt;0,'Текущие цены с учетом расхода'!R16,IF('Текущие цены с учетом расхода'!R16&lt;0,'Текущие цены с учетом расхода'!R16,""))</f>
        <v>2047</v>
      </c>
      <c r="P204" s="5" t="s">
        <v>49</v>
      </c>
    </row>
    <row r="205" spans="1:16" hidden="1">
      <c r="B205" s="17" t="s">
        <v>50</v>
      </c>
      <c r="D205" s="1">
        <v>72</v>
      </c>
      <c r="G205" s="14">
        <f>IF('Базовые цены с учетом расхода'!S16&gt;0,'Базовые цены с учетом расхода'!S16,IF('Базовые цены с учетом расхода'!S16&lt;0,'Базовые цены с учетом расхода'!S16,""))</f>
        <v>13</v>
      </c>
      <c r="K205" s="1">
        <v>72</v>
      </c>
      <c r="L205" s="14">
        <f>IF('Текущие цены с учетом расхода'!S16&gt;0,'Текущие цены с учетом расхода'!S16,IF('Текущие цены с учетом расхода'!S16&lt;0,'Текущие цены с учетом расхода'!S16,""))</f>
        <v>268</v>
      </c>
      <c r="P205" s="5" t="s">
        <v>51</v>
      </c>
    </row>
    <row r="206" spans="1:16">
      <c r="B206" s="17" t="s">
        <v>52</v>
      </c>
      <c r="G206" s="14">
        <f>ROUND(IF(G188="",0,G188)+IF(G200="",0,G200)+IF(G203="",0,G203),0)</f>
        <v>676</v>
      </c>
      <c r="L206" s="14">
        <f>ROUND(IF(L188="",0,L188)+IF(L200="",0,L200)+IF(L203="",0,L203),0)</f>
        <v>9588</v>
      </c>
    </row>
    <row r="207" spans="1:16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</row>
    <row r="208" spans="1:16">
      <c r="A208" s="6" t="s">
        <v>119</v>
      </c>
      <c r="B208" s="48" t="s">
        <v>120</v>
      </c>
      <c r="C208" s="1">
        <v>0.34599999999999997</v>
      </c>
      <c r="D208" s="12">
        <f>'Базовые цены за единицу'!B17</f>
        <v>10945.3</v>
      </c>
      <c r="E208" s="13">
        <f>'Базовые цены за единицу'!C17</f>
        <v>0</v>
      </c>
      <c r="F208" s="13">
        <f>'Базовые цены за единицу'!D17</f>
        <v>0</v>
      </c>
      <c r="G208" s="14">
        <f>'Базовые цены с учетом расхода'!B17</f>
        <v>3787</v>
      </c>
      <c r="H208" s="15">
        <f>'Базовые цены с учетом расхода'!C17</f>
        <v>0</v>
      </c>
      <c r="I208" s="15">
        <f>'Базовые цены с учетом расхода'!D17</f>
        <v>0</v>
      </c>
      <c r="K208" s="16"/>
      <c r="L208" s="14">
        <f>'Текущие цены с учетом расхода'!B17</f>
        <v>18595</v>
      </c>
      <c r="M208" s="15">
        <f>'Текущие цены с учетом расхода'!C17</f>
        <v>0</v>
      </c>
      <c r="N208" s="15">
        <f>'Текущие цены с учетом расхода'!D17</f>
        <v>0</v>
      </c>
    </row>
    <row r="209" spans="2:16" ht="43.9" customHeight="1">
      <c r="B209" s="43"/>
      <c r="E209" s="12">
        <f>'Базовые цены за единицу'!F17</f>
        <v>10945.3</v>
      </c>
      <c r="F209" s="12">
        <f>'Базовые цены за единицу'!E17</f>
        <v>0</v>
      </c>
      <c r="H209" s="14">
        <f>'Базовые цены с учетом расхода'!F17</f>
        <v>3787</v>
      </c>
      <c r="I209" s="14">
        <f>'Базовые цены с учетом расхода'!E17</f>
        <v>0</v>
      </c>
      <c r="J209" s="16">
        <v>4.91</v>
      </c>
      <c r="M209" s="14">
        <f>'Текущие цены с учетом расхода'!F17</f>
        <v>18595</v>
      </c>
      <c r="N209" s="14">
        <f>'Текущие цены с учетом расхода'!E17</f>
        <v>0</v>
      </c>
    </row>
    <row r="210" spans="2:16" hidden="1">
      <c r="B210" s="17" t="s">
        <v>29</v>
      </c>
    </row>
    <row r="211" spans="2:16" hidden="1">
      <c r="B211" s="17" t="s">
        <v>30</v>
      </c>
    </row>
    <row r="212" spans="2:16" hidden="1">
      <c r="B212" s="17" t="s">
        <v>31</v>
      </c>
    </row>
    <row r="213" spans="2:16" hidden="1">
      <c r="B213" s="17" t="s">
        <v>32</v>
      </c>
      <c r="G213" s="1">
        <v>3787</v>
      </c>
      <c r="L213" s="1">
        <v>18595</v>
      </c>
    </row>
    <row r="214" spans="2:16" ht="31.5" hidden="1">
      <c r="B214" s="17" t="s">
        <v>33</v>
      </c>
    </row>
    <row r="215" spans="2:16" ht="21" hidden="1">
      <c r="B215" s="17" t="s">
        <v>34</v>
      </c>
      <c r="D215" s="18"/>
      <c r="K215" s="18"/>
      <c r="O215" s="1" t="s">
        <v>35</v>
      </c>
      <c r="P215" s="1" t="s">
        <v>36</v>
      </c>
    </row>
    <row r="216" spans="2:16" ht="21" hidden="1">
      <c r="B216" s="17" t="s">
        <v>37</v>
      </c>
    </row>
    <row r="217" spans="2:16" ht="21" hidden="1">
      <c r="B217" s="17" t="s">
        <v>38</v>
      </c>
    </row>
    <row r="218" spans="2:16" ht="21" hidden="1">
      <c r="B218" s="17" t="s">
        <v>39</v>
      </c>
    </row>
    <row r="219" spans="2:16" hidden="1">
      <c r="B219" s="17" t="s">
        <v>40</v>
      </c>
      <c r="G219" s="14" t="str">
        <f>IF('Базовые цены с учетом расхода'!N17&gt;0,'Базовые цены с учетом расхода'!N17,IF('Базовые цены с учетом расхода'!N17&lt;0,'Базовые цены с учетом расхода'!N17,""))</f>
        <v/>
      </c>
      <c r="L219" s="14" t="str">
        <f>IF('Текущие цены с учетом расхода'!N17&gt;0,'Текущие цены с учетом расхода'!N17,IF('Текущие цены с учетом расхода'!N17&lt;0,'Текущие цены с учетом расхода'!N17,""))</f>
        <v/>
      </c>
      <c r="P219" s="5" t="s">
        <v>41</v>
      </c>
    </row>
    <row r="220" spans="2:16" hidden="1">
      <c r="B220" s="17" t="s">
        <v>42</v>
      </c>
      <c r="G220" s="14" t="str">
        <f>IF('Базовые цены с учетом расхода'!P17&gt;0,'Базовые цены с учетом расхода'!P17,IF('Базовые цены с учетом расхода'!P17&lt;0,'Базовые цены с учетом расхода'!P17,""))</f>
        <v/>
      </c>
      <c r="L220" s="14" t="str">
        <f>IF('Текущие цены с учетом расхода'!P17&gt;0,'Текущие цены с учетом расхода'!P17,IF('Текущие цены с учетом расхода'!P17&lt;0,'Текущие цены с учетом расхода'!P17,""))</f>
        <v/>
      </c>
      <c r="P220" s="5" t="s">
        <v>43</v>
      </c>
    </row>
    <row r="221" spans="2:16" hidden="1">
      <c r="B221" s="17" t="s">
        <v>44</v>
      </c>
      <c r="G221" s="14" t="str">
        <f>IF('Базовые цены с учетом расхода'!Q17&gt;0,'Базовые цены с учетом расхода'!Q17,IF('Базовые цены с учетом расхода'!Q17&lt;0,'Базовые цены с учетом расхода'!Q17,""))</f>
        <v/>
      </c>
      <c r="L221" s="14" t="str">
        <f>IF('Текущие цены с учетом расхода'!Q17&gt;0,'Текущие цены с учетом расхода'!Q17,IF('Текущие цены с учетом расхода'!Q17&lt;0,'Текущие цены с учетом расхода'!Q17,""))</f>
        <v/>
      </c>
      <c r="P221" s="5" t="s">
        <v>45</v>
      </c>
    </row>
    <row r="222" spans="2:16" ht="21" hidden="1">
      <c r="B222" s="17" t="s">
        <v>46</v>
      </c>
      <c r="G222" s="14" t="str">
        <f>IF('Базовые цены с учетом расхода'!O17&gt;0,'Базовые цены с учетом расхода'!O17,IF('Базовые цены с учетом расхода'!O17&lt;0,'Базовые цены с учетом расхода'!O17,""))</f>
        <v/>
      </c>
      <c r="L222" s="14" t="str">
        <f>IF('Текущие цены с учетом расхода'!O17&gt;0,'Текущие цены с учетом расхода'!O17,IF('Текущие цены с учетом расхода'!O17&lt;0,'Текущие цены с учетом расхода'!O17,""))</f>
        <v/>
      </c>
      <c r="P222" s="5" t="s">
        <v>47</v>
      </c>
    </row>
    <row r="223" spans="2:16" hidden="1">
      <c r="B223" s="17" t="s">
        <v>48</v>
      </c>
      <c r="G223" s="14" t="str">
        <f>IF('Базовые цены с учетом расхода'!R17&gt;0,'Базовые цены с учетом расхода'!R17,IF('Базовые цены с учетом расхода'!R17&lt;0,'Базовые цены с учетом расхода'!R17,""))</f>
        <v/>
      </c>
      <c r="L223" s="14" t="str">
        <f>IF('Текущие цены с учетом расхода'!R17&gt;0,'Текущие цены с учетом расхода'!R17,IF('Текущие цены с учетом расхода'!R17&lt;0,'Текущие цены с учетом расхода'!R17,""))</f>
        <v/>
      </c>
      <c r="P223" s="5" t="s">
        <v>49</v>
      </c>
    </row>
    <row r="224" spans="2:16" hidden="1">
      <c r="B224" s="17" t="s">
        <v>50</v>
      </c>
      <c r="G224" s="14" t="str">
        <f>IF('Базовые цены с учетом расхода'!S17&gt;0,'Базовые цены с учетом расхода'!S17,IF('Базовые цены с учетом расхода'!S17&lt;0,'Базовые цены с учетом расхода'!S17,""))</f>
        <v/>
      </c>
      <c r="L224" s="14" t="str">
        <f>IF('Текущие цены с учетом расхода'!S17&gt;0,'Текущие цены с учетом расхода'!S17,IF('Текущие цены с учетом расхода'!S17&lt;0,'Текущие цены с учетом расхода'!S17,""))</f>
        <v/>
      </c>
      <c r="P224" s="5" t="s">
        <v>51</v>
      </c>
    </row>
    <row r="225" spans="1:26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</row>
    <row r="226" spans="1:26">
      <c r="B226" s="42" t="s">
        <v>121</v>
      </c>
      <c r="C226" s="43"/>
      <c r="D226" s="43"/>
      <c r="E226" s="43"/>
      <c r="F226" s="44"/>
      <c r="G226" s="47">
        <f>'Базовые концовки'!F101</f>
        <v>4256</v>
      </c>
      <c r="H226" s="22">
        <f>'Базовые концовки'!G101</f>
        <v>164</v>
      </c>
      <c r="I226" s="22">
        <f>'Базовые концовки'!H101</f>
        <v>242</v>
      </c>
      <c r="L226" s="47">
        <f>'Текущие концовки'!F101</f>
        <v>23811</v>
      </c>
      <c r="M226" s="22">
        <f>'Текущие концовки'!G101</f>
        <v>3376</v>
      </c>
      <c r="N226" s="22">
        <f>'Текущие концовки'!H101</f>
        <v>1414</v>
      </c>
      <c r="T226" s="46">
        <f>'Текущие концовки'!G101</f>
        <v>3376</v>
      </c>
      <c r="U226" s="46">
        <f>'Текущие концовки'!H101</f>
        <v>1414</v>
      </c>
      <c r="V226" s="46">
        <f>'Текущие концовки'!I101</f>
        <v>373</v>
      </c>
      <c r="W226" s="45" t="e">
        <f ca="1">'Текущие концовки'!J101</f>
        <v>#NAME?</v>
      </c>
      <c r="X226" s="45" t="e">
        <f ca="1">'Текущие концовки'!K101</f>
        <v>#NAME?</v>
      </c>
      <c r="Y226" s="46">
        <f>'Текущие концовки'!L101</f>
        <v>19021</v>
      </c>
      <c r="Z226" s="46">
        <f>'Текущие концовки'!M101</f>
        <v>0</v>
      </c>
    </row>
    <row r="227" spans="1:26">
      <c r="B227" s="43"/>
      <c r="C227" s="43"/>
      <c r="D227" s="43"/>
      <c r="E227" s="43"/>
      <c r="F227" s="43"/>
      <c r="G227" s="47"/>
      <c r="H227" s="21">
        <f>'Базовые концовки'!L101</f>
        <v>3850</v>
      </c>
      <c r="I227" s="21">
        <f>'Базовые концовки'!I101</f>
        <v>18</v>
      </c>
      <c r="L227" s="47"/>
      <c r="M227" s="21">
        <f>'Текущие концовки'!L101</f>
        <v>19021</v>
      </c>
      <c r="N227" s="21">
        <f>'Текущие концовки'!I101</f>
        <v>373</v>
      </c>
      <c r="T227" s="46"/>
      <c r="U227" s="46"/>
      <c r="V227" s="46"/>
      <c r="W227" s="45"/>
      <c r="X227" s="45"/>
      <c r="Y227" s="46"/>
      <c r="Z227" s="46"/>
    </row>
    <row r="228" spans="1:26" hidden="1">
      <c r="B228" s="42" t="s">
        <v>59</v>
      </c>
      <c r="C228" s="43"/>
      <c r="D228" s="43"/>
      <c r="E228" s="44"/>
      <c r="G228" s="21">
        <f>'Базовые концовки'!F102</f>
        <v>0</v>
      </c>
      <c r="H228" s="21">
        <f>'Базовые концовки'!G102</f>
        <v>0</v>
      </c>
      <c r="I228" s="21">
        <f>'Базовые концовки'!H102</f>
        <v>0</v>
      </c>
      <c r="L228" s="21">
        <f>'Текущие концовки'!F102</f>
        <v>0</v>
      </c>
      <c r="M228" s="21">
        <f>'Текущие концовки'!G102</f>
        <v>0</v>
      </c>
      <c r="N228" s="21">
        <f>'Текущие концовки'!H102</f>
        <v>0</v>
      </c>
      <c r="T228" s="23">
        <f>'Текущие концовки'!G102</f>
        <v>0</v>
      </c>
      <c r="U228" s="23">
        <f>'Текущие концовки'!H102</f>
        <v>0</v>
      </c>
      <c r="V228" s="23">
        <f>'Текущие концовки'!I102</f>
        <v>0</v>
      </c>
      <c r="W228" s="7">
        <f>'Текущие концовки'!J102</f>
        <v>0</v>
      </c>
      <c r="X228" s="7">
        <f>'Текущие концовки'!K102</f>
        <v>0</v>
      </c>
      <c r="Y228" s="23">
        <f>'Текущие концовки'!L102</f>
        <v>0</v>
      </c>
      <c r="Z228" s="23">
        <f>'Текущие концовки'!M102</f>
        <v>0</v>
      </c>
    </row>
    <row r="229" spans="1:26" hidden="1">
      <c r="B229" s="42" t="s">
        <v>60</v>
      </c>
      <c r="C229" s="43"/>
      <c r="D229" s="43"/>
      <c r="E229" s="44"/>
      <c r="G229" s="21" t="e">
        <f ca="1">'Базовые концовки'!F103</f>
        <v>#NAME?</v>
      </c>
      <c r="H229" s="21"/>
      <c r="I229" s="21"/>
      <c r="L229" s="21" t="e">
        <f ca="1">'Текущие концовки'!F103</f>
        <v>#NAME?</v>
      </c>
      <c r="M229" s="21"/>
      <c r="N229" s="21"/>
      <c r="T229" s="23"/>
      <c r="U229" s="23"/>
      <c r="V229" s="23"/>
      <c r="W229" s="7"/>
      <c r="X229" s="7"/>
      <c r="Y229" s="23"/>
      <c r="Z229" s="23"/>
    </row>
    <row r="230" spans="1:26" hidden="1">
      <c r="B230" s="42" t="s">
        <v>61</v>
      </c>
      <c r="C230" s="43"/>
      <c r="D230" s="43"/>
      <c r="E230" s="44"/>
      <c r="G230" s="21" t="e">
        <f ca="1">'Базовые концовки'!F104</f>
        <v>#NAME?</v>
      </c>
      <c r="H230" s="21"/>
      <c r="I230" s="21"/>
      <c r="L230" s="21" t="e">
        <f ca="1">'Текущие концовки'!F104</f>
        <v>#NAME?</v>
      </c>
      <c r="M230" s="21"/>
      <c r="N230" s="21"/>
      <c r="T230" s="23"/>
      <c r="U230" s="23"/>
      <c r="V230" s="23"/>
      <c r="W230" s="7"/>
      <c r="X230" s="7"/>
      <c r="Y230" s="23"/>
      <c r="Z230" s="23"/>
    </row>
    <row r="231" spans="1:26" hidden="1">
      <c r="B231" s="42" t="s">
        <v>62</v>
      </c>
      <c r="C231" s="43"/>
      <c r="D231" s="43"/>
      <c r="E231" s="44"/>
      <c r="G231" s="21" t="e">
        <f ca="1">'Базовые концовки'!F105</f>
        <v>#NAME?</v>
      </c>
      <c r="H231" s="21"/>
      <c r="I231" s="21"/>
      <c r="L231" s="21" t="e">
        <f ca="1">'Текущие концовки'!F105</f>
        <v>#NAME?</v>
      </c>
      <c r="M231" s="21"/>
      <c r="N231" s="21"/>
      <c r="T231" s="23"/>
      <c r="U231" s="23"/>
      <c r="V231" s="23"/>
      <c r="W231" s="7"/>
      <c r="X231" s="7"/>
      <c r="Y231" s="23"/>
      <c r="Z231" s="23"/>
    </row>
    <row r="232" spans="1:26" hidden="1">
      <c r="B232" s="42" t="s">
        <v>63</v>
      </c>
      <c r="C232" s="43"/>
      <c r="D232" s="43"/>
      <c r="E232" s="44"/>
      <c r="G232" s="21" t="e">
        <f ca="1">'Базовые концовки'!F106</f>
        <v>#NAME?</v>
      </c>
      <c r="H232" s="21"/>
      <c r="I232" s="21"/>
      <c r="L232" s="21" t="e">
        <f ca="1">'Текущие концовки'!F106</f>
        <v>#NAME?</v>
      </c>
      <c r="M232" s="21"/>
      <c r="N232" s="21"/>
      <c r="T232" s="23"/>
      <c r="U232" s="23"/>
      <c r="V232" s="23"/>
      <c r="W232" s="7"/>
      <c r="X232" s="7"/>
      <c r="Y232" s="23"/>
      <c r="Z232" s="23"/>
    </row>
    <row r="233" spans="1:26" hidden="1">
      <c r="B233" s="42" t="s">
        <v>64</v>
      </c>
      <c r="C233" s="43"/>
      <c r="D233" s="43"/>
      <c r="E233" s="44"/>
      <c r="G233" s="21" t="e">
        <f ca="1">'Базовые концовки'!F107</f>
        <v>#NAME?</v>
      </c>
      <c r="H233" s="21"/>
      <c r="I233" s="21"/>
      <c r="L233" s="21" t="e">
        <f ca="1">'Текущие концовки'!F107</f>
        <v>#NAME?</v>
      </c>
      <c r="M233" s="21"/>
      <c r="N233" s="21"/>
      <c r="T233" s="23"/>
      <c r="U233" s="23"/>
      <c r="V233" s="23"/>
      <c r="W233" s="7"/>
      <c r="X233" s="7"/>
      <c r="Y233" s="23"/>
      <c r="Z233" s="23"/>
    </row>
    <row r="234" spans="1:26" hidden="1">
      <c r="B234" s="42" t="s">
        <v>65</v>
      </c>
      <c r="C234" s="43"/>
      <c r="D234" s="43"/>
      <c r="E234" s="44"/>
      <c r="G234" s="21" t="e">
        <f ca="1">'Базовые концовки'!F108</f>
        <v>#NAME?</v>
      </c>
      <c r="H234" s="21"/>
      <c r="I234" s="21"/>
      <c r="L234" s="21" t="e">
        <f ca="1">'Текущие концовки'!F108</f>
        <v>#NAME?</v>
      </c>
      <c r="M234" s="21"/>
      <c r="N234" s="21"/>
      <c r="T234" s="23"/>
      <c r="U234" s="23"/>
      <c r="V234" s="23"/>
      <c r="W234" s="7"/>
      <c r="X234" s="7"/>
      <c r="Y234" s="23"/>
      <c r="Z234" s="23"/>
    </row>
    <row r="235" spans="1:26" hidden="1">
      <c r="B235" s="42" t="s">
        <v>66</v>
      </c>
      <c r="C235" s="43"/>
      <c r="D235" s="43"/>
      <c r="E235" s="44"/>
      <c r="G235" s="21" t="e">
        <f ca="1">'Базовые концовки'!F109</f>
        <v>#NAME?</v>
      </c>
      <c r="H235" s="21"/>
      <c r="I235" s="21"/>
      <c r="L235" s="21" t="e">
        <f ca="1">'Текущие концовки'!F109</f>
        <v>#NAME?</v>
      </c>
      <c r="M235" s="21"/>
      <c r="N235" s="21"/>
      <c r="T235" s="23"/>
      <c r="U235" s="23"/>
      <c r="V235" s="23"/>
      <c r="W235" s="7"/>
      <c r="X235" s="7"/>
      <c r="Y235" s="23"/>
      <c r="Z235" s="23"/>
    </row>
    <row r="236" spans="1:26" hidden="1">
      <c r="B236" s="42" t="s">
        <v>67</v>
      </c>
      <c r="C236" s="43"/>
      <c r="D236" s="43"/>
      <c r="E236" s="44"/>
      <c r="G236" s="21" t="e">
        <f ca="1">'Базовые концовки'!F110</f>
        <v>#NAME?</v>
      </c>
      <c r="H236" s="21"/>
      <c r="I236" s="21"/>
      <c r="L236" s="21" t="e">
        <f ca="1">'Текущие концовки'!F110</f>
        <v>#NAME?</v>
      </c>
      <c r="M236" s="21"/>
      <c r="N236" s="21"/>
      <c r="T236" s="23"/>
      <c r="U236" s="23"/>
      <c r="V236" s="23"/>
      <c r="W236" s="7"/>
      <c r="X236" s="7"/>
      <c r="Y236" s="23"/>
      <c r="Z236" s="23"/>
    </row>
    <row r="237" spans="1:26" hidden="1">
      <c r="B237" s="42" t="s">
        <v>68</v>
      </c>
      <c r="C237" s="43"/>
      <c r="D237" s="43"/>
      <c r="E237" s="44"/>
      <c r="G237" s="21" t="e">
        <f ca="1">'Базовые концовки'!F111</f>
        <v>#NAME?</v>
      </c>
      <c r="H237" s="21"/>
      <c r="I237" s="21"/>
      <c r="L237" s="21" t="e">
        <f ca="1">'Текущие концовки'!F111</f>
        <v>#NAME?</v>
      </c>
      <c r="M237" s="21"/>
      <c r="N237" s="21"/>
      <c r="T237" s="23"/>
      <c r="U237" s="23"/>
      <c r="V237" s="23"/>
      <c r="W237" s="7"/>
      <c r="X237" s="7"/>
      <c r="Y237" s="23"/>
      <c r="Z237" s="23"/>
    </row>
    <row r="238" spans="1:26" hidden="1">
      <c r="B238" s="42" t="s">
        <v>69</v>
      </c>
      <c r="C238" s="43"/>
      <c r="D238" s="43"/>
      <c r="E238" s="44"/>
      <c r="G238" s="21">
        <f>'Базовые концовки'!F112</f>
        <v>0</v>
      </c>
      <c r="H238" s="21">
        <f>'Базовые концовки'!G112</f>
        <v>0</v>
      </c>
      <c r="I238" s="21">
        <f>'Базовые концовки'!H112</f>
        <v>0</v>
      </c>
      <c r="L238" s="21">
        <f>'Текущие концовки'!F112</f>
        <v>0</v>
      </c>
      <c r="M238" s="21">
        <f>'Текущие концовки'!G112</f>
        <v>0</v>
      </c>
      <c r="N238" s="21">
        <f>'Текущие концовки'!H112</f>
        <v>0</v>
      </c>
      <c r="T238" s="23">
        <f>'Текущие концовки'!G112</f>
        <v>0</v>
      </c>
      <c r="U238" s="23">
        <f>'Текущие концовки'!H112</f>
        <v>0</v>
      </c>
      <c r="V238" s="23">
        <f>'Текущие концовки'!I112</f>
        <v>0</v>
      </c>
      <c r="W238" s="7">
        <f>'Текущие концовки'!J112</f>
        <v>0</v>
      </c>
      <c r="X238" s="7">
        <f>'Текущие концовки'!K112</f>
        <v>0</v>
      </c>
      <c r="Y238" s="23">
        <f>'Текущие концовки'!L112</f>
        <v>0</v>
      </c>
      <c r="Z238" s="23">
        <f>'Текущие концовки'!M112</f>
        <v>0</v>
      </c>
    </row>
    <row r="239" spans="1:26" hidden="1">
      <c r="B239" s="42" t="s">
        <v>70</v>
      </c>
      <c r="C239" s="43"/>
      <c r="D239" s="43"/>
      <c r="E239" s="44"/>
      <c r="G239" s="21"/>
      <c r="H239" s="21"/>
      <c r="I239" s="21"/>
      <c r="L239" s="21"/>
      <c r="M239" s="21"/>
      <c r="N239" s="21"/>
      <c r="T239" s="23"/>
      <c r="U239" s="23"/>
      <c r="V239" s="23"/>
      <c r="W239" s="7"/>
      <c r="X239" s="7"/>
      <c r="Y239" s="23"/>
      <c r="Z239" s="23"/>
    </row>
    <row r="240" spans="1:26" hidden="1">
      <c r="B240" s="42" t="s">
        <v>71</v>
      </c>
      <c r="C240" s="43"/>
      <c r="D240" s="43"/>
      <c r="E240" s="44"/>
      <c r="G240" s="21">
        <f>'Базовые концовки'!G114</f>
        <v>0</v>
      </c>
      <c r="H240" s="21">
        <f>'Базовые концовки'!G114</f>
        <v>0</v>
      </c>
      <c r="I240" s="21"/>
      <c r="L240" s="21">
        <f>'Текущие концовки'!G114</f>
        <v>0</v>
      </c>
      <c r="M240" s="21">
        <f>'Текущие концовки'!G114</f>
        <v>0</v>
      </c>
      <c r="N240" s="21"/>
      <c r="T240" s="23">
        <f>'Текущие концовки'!G114</f>
        <v>0</v>
      </c>
      <c r="U240" s="23"/>
      <c r="V240" s="23"/>
      <c r="W240" s="7"/>
      <c r="X240" s="7"/>
      <c r="Y240" s="23"/>
      <c r="Z240" s="23"/>
    </row>
    <row r="241" spans="2:26" hidden="1">
      <c r="B241" s="42" t="s">
        <v>72</v>
      </c>
      <c r="C241" s="43"/>
      <c r="D241" s="43"/>
      <c r="E241" s="44"/>
      <c r="G241" s="21">
        <f>'Базовые концовки'!F115</f>
        <v>0</v>
      </c>
      <c r="H241" s="21"/>
      <c r="I241" s="21"/>
      <c r="L241" s="21">
        <f>'Текущие концовки'!F115</f>
        <v>0</v>
      </c>
      <c r="M241" s="21"/>
      <c r="N241" s="21"/>
      <c r="T241" s="23"/>
      <c r="U241" s="23"/>
      <c r="V241" s="23"/>
      <c r="W241" s="7"/>
      <c r="X241" s="7"/>
      <c r="Y241" s="23"/>
      <c r="Z241" s="23"/>
    </row>
    <row r="242" spans="2:26" hidden="1">
      <c r="B242" s="42" t="s">
        <v>73</v>
      </c>
      <c r="C242" s="43"/>
      <c r="D242" s="43"/>
      <c r="E242" s="44"/>
      <c r="G242" s="21" t="e">
        <f ca="1">'Базовые концовки'!F116</f>
        <v>#NAME?</v>
      </c>
      <c r="H242" s="21"/>
      <c r="I242" s="21"/>
      <c r="L242" s="21" t="e">
        <f ca="1">'Текущие концовки'!F116</f>
        <v>#NAME?</v>
      </c>
      <c r="M242" s="21"/>
      <c r="N242" s="21"/>
      <c r="T242" s="23"/>
      <c r="U242" s="23"/>
      <c r="V242" s="23"/>
      <c r="W242" s="7"/>
      <c r="X242" s="7"/>
      <c r="Y242" s="23"/>
      <c r="Z242" s="23"/>
    </row>
    <row r="243" spans="2:26" hidden="1">
      <c r="B243" s="42" t="s">
        <v>74</v>
      </c>
      <c r="C243" s="43"/>
      <c r="D243" s="43"/>
      <c r="E243" s="44"/>
      <c r="G243" s="21">
        <f>'Базовые концовки'!F117</f>
        <v>0</v>
      </c>
      <c r="H243" s="21"/>
      <c r="I243" s="21"/>
      <c r="L243" s="21">
        <f>'Текущие концовки'!F117</f>
        <v>0</v>
      </c>
      <c r="M243" s="21"/>
      <c r="N243" s="21"/>
      <c r="T243" s="23"/>
      <c r="U243" s="23"/>
      <c r="V243" s="23"/>
      <c r="W243" s="7"/>
      <c r="X243" s="7"/>
      <c r="Y243" s="23"/>
      <c r="Z243" s="23"/>
    </row>
    <row r="244" spans="2:26" hidden="1">
      <c r="B244" s="42" t="s">
        <v>75</v>
      </c>
      <c r="C244" s="43"/>
      <c r="D244" s="43"/>
      <c r="E244" s="44"/>
      <c r="G244" s="21">
        <f>'Базовые концовки'!F118</f>
        <v>0</v>
      </c>
      <c r="H244" s="21"/>
      <c r="I244" s="21"/>
      <c r="L244" s="21">
        <f>'Текущие концовки'!F118</f>
        <v>0</v>
      </c>
      <c r="M244" s="21"/>
      <c r="N244" s="21"/>
      <c r="T244" s="23"/>
      <c r="U244" s="23"/>
      <c r="V244" s="23"/>
      <c r="W244" s="7"/>
      <c r="X244" s="7"/>
      <c r="Y244" s="23"/>
      <c r="Z244" s="23"/>
    </row>
    <row r="245" spans="2:26" hidden="1">
      <c r="B245" s="42" t="s">
        <v>76</v>
      </c>
      <c r="C245" s="43"/>
      <c r="D245" s="43"/>
      <c r="E245" s="44"/>
      <c r="G245" s="21">
        <f>'Базовые концовки'!F119</f>
        <v>0</v>
      </c>
      <c r="H245" s="21"/>
      <c r="I245" s="21"/>
      <c r="L245" s="21">
        <f>'Текущие концовки'!F119</f>
        <v>0</v>
      </c>
      <c r="M245" s="21"/>
      <c r="N245" s="21"/>
      <c r="T245" s="23"/>
      <c r="U245" s="23"/>
      <c r="V245" s="23"/>
      <c r="W245" s="7"/>
      <c r="X245" s="7"/>
      <c r="Y245" s="23"/>
      <c r="Z245" s="23"/>
    </row>
    <row r="246" spans="2:26" hidden="1">
      <c r="B246" s="42" t="s">
        <v>67</v>
      </c>
      <c r="C246" s="43"/>
      <c r="D246" s="43"/>
      <c r="E246" s="44"/>
      <c r="G246" s="21" t="e">
        <f ca="1">'Базовые концовки'!F120</f>
        <v>#NAME?</v>
      </c>
      <c r="H246" s="21"/>
      <c r="I246" s="21"/>
      <c r="L246" s="21" t="e">
        <f ca="1">'Текущие концовки'!F120</f>
        <v>#NAME?</v>
      </c>
      <c r="M246" s="21"/>
      <c r="N246" s="21"/>
      <c r="T246" s="23"/>
      <c r="U246" s="23"/>
      <c r="V246" s="23"/>
      <c r="W246" s="7"/>
      <c r="X246" s="7"/>
      <c r="Y246" s="23"/>
      <c r="Z246" s="23"/>
    </row>
    <row r="247" spans="2:26" hidden="1">
      <c r="B247" s="42" t="s">
        <v>77</v>
      </c>
      <c r="C247" s="43"/>
      <c r="D247" s="43"/>
      <c r="E247" s="44"/>
      <c r="G247" s="21">
        <f>'Базовые концовки'!F121</f>
        <v>0</v>
      </c>
      <c r="H247" s="21"/>
      <c r="I247" s="21"/>
      <c r="L247" s="21">
        <f>'Текущие концовки'!F121</f>
        <v>0</v>
      </c>
      <c r="M247" s="21"/>
      <c r="N247" s="21"/>
      <c r="T247" s="23"/>
      <c r="U247" s="23"/>
      <c r="V247" s="23"/>
      <c r="W247" s="7"/>
      <c r="X247" s="7"/>
      <c r="Y247" s="23"/>
      <c r="Z247" s="23"/>
    </row>
    <row r="248" spans="2:26">
      <c r="B248" s="42" t="s">
        <v>78</v>
      </c>
      <c r="C248" s="43"/>
      <c r="D248" s="43"/>
      <c r="E248" s="43"/>
      <c r="F248" s="44"/>
      <c r="G248" s="47">
        <f>'Базовые концовки'!F122</f>
        <v>3818</v>
      </c>
      <c r="H248" s="22">
        <f>'Базовые концовки'!G122</f>
        <v>26</v>
      </c>
      <c r="I248" s="22">
        <f>'Базовые концовки'!H122</f>
        <v>5</v>
      </c>
      <c r="L248" s="47">
        <f>'Текущие концовки'!F122</f>
        <v>19144</v>
      </c>
      <c r="M248" s="22">
        <f>'Текущие концовки'!G122</f>
        <v>533</v>
      </c>
      <c r="N248" s="22">
        <f>'Текущие концовки'!H122</f>
        <v>16</v>
      </c>
      <c r="T248" s="46">
        <f>'Текущие концовки'!G122</f>
        <v>533</v>
      </c>
      <c r="U248" s="46">
        <f>'Текущие концовки'!H122</f>
        <v>16</v>
      </c>
      <c r="V248" s="46">
        <f>'Текущие концовки'!I122</f>
        <v>0</v>
      </c>
      <c r="W248" s="45" t="e">
        <f ca="1">'Текущие концовки'!J122</f>
        <v>#NAME?</v>
      </c>
      <c r="X248" s="45" t="e">
        <f ca="1">'Текущие концовки'!K122</f>
        <v>#NAME?</v>
      </c>
      <c r="Y248" s="46">
        <f>'Текущие концовки'!L122</f>
        <v>18595</v>
      </c>
      <c r="Z248" s="46">
        <f>'Текущие концовки'!M122</f>
        <v>0</v>
      </c>
    </row>
    <row r="249" spans="2:26">
      <c r="B249" s="43"/>
      <c r="C249" s="43"/>
      <c r="D249" s="43"/>
      <c r="E249" s="43"/>
      <c r="F249" s="43"/>
      <c r="G249" s="47"/>
      <c r="H249" s="21">
        <f>'Базовые концовки'!L122</f>
        <v>3787</v>
      </c>
      <c r="I249" s="21">
        <f>'Базовые концовки'!I122</f>
        <v>0</v>
      </c>
      <c r="L249" s="47"/>
      <c r="M249" s="21">
        <f>'Текущие концовки'!L122</f>
        <v>18595</v>
      </c>
      <c r="N249" s="21">
        <f>'Текущие концовки'!I122</f>
        <v>0</v>
      </c>
      <c r="T249" s="46"/>
      <c r="U249" s="46"/>
      <c r="V249" s="46"/>
      <c r="W249" s="45"/>
      <c r="X249" s="45"/>
      <c r="Y249" s="46"/>
      <c r="Z249" s="46"/>
    </row>
    <row r="250" spans="2:26" hidden="1">
      <c r="B250" s="42" t="s">
        <v>70</v>
      </c>
      <c r="C250" s="43"/>
      <c r="D250" s="43"/>
      <c r="E250" s="44"/>
      <c r="G250" s="21"/>
      <c r="H250" s="21"/>
      <c r="I250" s="21"/>
      <c r="L250" s="21"/>
      <c r="M250" s="21"/>
      <c r="N250" s="21"/>
      <c r="T250" s="23"/>
      <c r="U250" s="23"/>
      <c r="V250" s="23"/>
      <c r="W250" s="7"/>
      <c r="X250" s="7"/>
      <c r="Y250" s="23"/>
      <c r="Z250" s="23"/>
    </row>
    <row r="251" spans="2:26">
      <c r="B251" s="42" t="s">
        <v>79</v>
      </c>
      <c r="C251" s="43"/>
      <c r="D251" s="43"/>
      <c r="E251" s="43"/>
      <c r="F251" s="44"/>
      <c r="G251" s="21" t="e">
        <f ca="1">'Базовые концовки'!F124</f>
        <v>#NAME?</v>
      </c>
      <c r="H251" s="21"/>
      <c r="I251" s="21"/>
      <c r="L251" s="21" t="e">
        <f ca="1">'Текущие концовки'!F124</f>
        <v>#NAME?</v>
      </c>
      <c r="M251" s="21"/>
      <c r="N251" s="21"/>
      <c r="T251" s="23"/>
      <c r="U251" s="23"/>
      <c r="V251" s="23"/>
      <c r="W251" s="7"/>
      <c r="X251" s="7"/>
      <c r="Y251" s="23"/>
      <c r="Z251" s="23"/>
    </row>
    <row r="252" spans="2:26" hidden="1">
      <c r="B252" s="42" t="s">
        <v>74</v>
      </c>
      <c r="C252" s="43"/>
      <c r="D252" s="43"/>
      <c r="E252" s="44"/>
      <c r="G252" s="21">
        <f>'Базовые концовки'!F125</f>
        <v>0</v>
      </c>
      <c r="H252" s="21"/>
      <c r="I252" s="21"/>
      <c r="L252" s="21">
        <f>'Текущие концовки'!F125</f>
        <v>0</v>
      </c>
      <c r="M252" s="21"/>
      <c r="N252" s="21"/>
      <c r="T252" s="23"/>
      <c r="U252" s="23"/>
      <c r="V252" s="23"/>
      <c r="W252" s="7"/>
      <c r="X252" s="7"/>
      <c r="Y252" s="23"/>
      <c r="Z252" s="23"/>
    </row>
    <row r="253" spans="2:26">
      <c r="B253" s="42" t="s">
        <v>122</v>
      </c>
      <c r="C253" s="43"/>
      <c r="D253" s="43"/>
      <c r="E253" s="43"/>
      <c r="F253" s="44"/>
      <c r="G253" s="21">
        <f>'Базовые концовки'!F126</f>
        <v>26</v>
      </c>
      <c r="H253" s="21"/>
      <c r="I253" s="21"/>
      <c r="L253" s="21">
        <f>'Текущие концовки'!F126</f>
        <v>528</v>
      </c>
      <c r="M253" s="21"/>
      <c r="N253" s="21"/>
      <c r="T253" s="23"/>
      <c r="U253" s="23"/>
      <c r="V253" s="23"/>
      <c r="W253" s="7"/>
      <c r="X253" s="7"/>
      <c r="Y253" s="23"/>
      <c r="Z253" s="23"/>
    </row>
    <row r="254" spans="2:26">
      <c r="B254" s="42" t="s">
        <v>123</v>
      </c>
      <c r="C254" s="43"/>
      <c r="D254" s="43"/>
      <c r="E254" s="43"/>
      <c r="F254" s="44"/>
      <c r="G254" s="21">
        <f>'Базовые концовки'!F127</f>
        <v>16</v>
      </c>
      <c r="H254" s="21"/>
      <c r="I254" s="21"/>
      <c r="L254" s="21">
        <f>'Текущие концовки'!F127</f>
        <v>320</v>
      </c>
      <c r="M254" s="21"/>
      <c r="N254" s="21"/>
      <c r="T254" s="23"/>
      <c r="U254" s="23"/>
      <c r="V254" s="23"/>
      <c r="W254" s="7"/>
      <c r="X254" s="7"/>
      <c r="Y254" s="23"/>
      <c r="Z254" s="23"/>
    </row>
    <row r="255" spans="2:26">
      <c r="B255" s="42" t="s">
        <v>82</v>
      </c>
      <c r="C255" s="43"/>
      <c r="D255" s="43"/>
      <c r="E255" s="43"/>
      <c r="F255" s="44"/>
      <c r="G255" s="21">
        <f>'Базовые концовки'!F128</f>
        <v>3860</v>
      </c>
      <c r="H255" s="21"/>
      <c r="I255" s="21"/>
      <c r="L255" s="21">
        <f>'Текущие концовки'!F128</f>
        <v>19992</v>
      </c>
      <c r="M255" s="21"/>
      <c r="N255" s="21"/>
      <c r="T255" s="23"/>
      <c r="U255" s="23"/>
      <c r="V255" s="23"/>
      <c r="W255" s="7"/>
      <c r="X255" s="7"/>
      <c r="Y255" s="23"/>
      <c r="Z255" s="23"/>
    </row>
    <row r="256" spans="2:26">
      <c r="B256" s="42" t="s">
        <v>83</v>
      </c>
      <c r="C256" s="43"/>
      <c r="D256" s="43"/>
      <c r="E256" s="43"/>
      <c r="F256" s="44"/>
      <c r="G256" s="47">
        <f>'Базовые концовки'!F129</f>
        <v>438</v>
      </c>
      <c r="H256" s="22">
        <f>'Базовые концовки'!G129</f>
        <v>138</v>
      </c>
      <c r="I256" s="22">
        <f>'Базовые концовки'!H129</f>
        <v>237</v>
      </c>
      <c r="L256" s="47">
        <f>'Текущие концовки'!F129</f>
        <v>4667</v>
      </c>
      <c r="M256" s="22">
        <f>'Текущие концовки'!G129</f>
        <v>2843</v>
      </c>
      <c r="N256" s="22">
        <f>'Текущие концовки'!H129</f>
        <v>1398</v>
      </c>
      <c r="T256" s="46">
        <f>'Текущие концовки'!G129</f>
        <v>2843</v>
      </c>
      <c r="U256" s="46">
        <f>'Текущие концовки'!H129</f>
        <v>1398</v>
      </c>
      <c r="V256" s="46">
        <f>'Текущие концовки'!I129</f>
        <v>373</v>
      </c>
      <c r="W256" s="45" t="e">
        <f ca="1">'Текущие концовки'!J129</f>
        <v>#NAME?</v>
      </c>
      <c r="X256" s="45" t="e">
        <f ca="1">'Текущие концовки'!K129</f>
        <v>#NAME?</v>
      </c>
      <c r="Y256" s="46">
        <f>'Текущие концовки'!L129</f>
        <v>426</v>
      </c>
      <c r="Z256" s="46">
        <f>'Текущие концовки'!M129</f>
        <v>0</v>
      </c>
    </row>
    <row r="257" spans="2:26">
      <c r="B257" s="43"/>
      <c r="C257" s="43"/>
      <c r="D257" s="43"/>
      <c r="E257" s="43"/>
      <c r="F257" s="43"/>
      <c r="G257" s="47"/>
      <c r="H257" s="21">
        <f>'Базовые концовки'!L129</f>
        <v>63</v>
      </c>
      <c r="I257" s="21">
        <f>'Базовые концовки'!I129</f>
        <v>18</v>
      </c>
      <c r="L257" s="47"/>
      <c r="M257" s="21">
        <f>'Текущие концовки'!L129</f>
        <v>426</v>
      </c>
      <c r="N257" s="21">
        <f>'Текущие концовки'!I129</f>
        <v>373</v>
      </c>
      <c r="T257" s="46"/>
      <c r="U257" s="46"/>
      <c r="V257" s="46"/>
      <c r="W257" s="45"/>
      <c r="X257" s="45"/>
      <c r="Y257" s="46"/>
      <c r="Z257" s="46"/>
    </row>
    <row r="258" spans="2:26" hidden="1">
      <c r="B258" s="42" t="s">
        <v>74</v>
      </c>
      <c r="C258" s="43"/>
      <c r="D258" s="43"/>
      <c r="E258" s="44"/>
      <c r="G258" s="21">
        <f>'Базовые концовки'!F130</f>
        <v>0</v>
      </c>
      <c r="H258" s="21"/>
      <c r="I258" s="21"/>
      <c r="L258" s="21">
        <f>'Текущие концовки'!F130</f>
        <v>0</v>
      </c>
      <c r="M258" s="21"/>
      <c r="N258" s="21"/>
      <c r="T258" s="23"/>
      <c r="U258" s="23"/>
      <c r="V258" s="23"/>
      <c r="W258" s="7"/>
      <c r="X258" s="7"/>
      <c r="Y258" s="23"/>
      <c r="Z258" s="23"/>
    </row>
    <row r="259" spans="2:26">
      <c r="B259" s="42" t="s">
        <v>124</v>
      </c>
      <c r="C259" s="43"/>
      <c r="D259" s="43"/>
      <c r="E259" s="43"/>
      <c r="F259" s="44"/>
      <c r="G259" s="21">
        <f>'Базовые концовки'!F131</f>
        <v>126</v>
      </c>
      <c r="H259" s="21"/>
      <c r="I259" s="21"/>
      <c r="L259" s="21">
        <f>'Текущие концовки'!F131</f>
        <v>2605</v>
      </c>
      <c r="M259" s="21"/>
      <c r="N259" s="21"/>
      <c r="T259" s="23"/>
      <c r="U259" s="23"/>
      <c r="V259" s="23"/>
      <c r="W259" s="7"/>
      <c r="X259" s="7"/>
      <c r="Y259" s="23"/>
      <c r="Z259" s="23"/>
    </row>
    <row r="260" spans="2:26">
      <c r="B260" s="42" t="s">
        <v>125</v>
      </c>
      <c r="C260" s="43"/>
      <c r="D260" s="43"/>
      <c r="E260" s="43"/>
      <c r="F260" s="44"/>
      <c r="G260" s="21">
        <f>'Базовые концовки'!F132</f>
        <v>112</v>
      </c>
      <c r="H260" s="21"/>
      <c r="I260" s="21"/>
      <c r="L260" s="21">
        <f>'Текущие концовки'!F132</f>
        <v>2316</v>
      </c>
      <c r="M260" s="21"/>
      <c r="N260" s="21"/>
      <c r="T260" s="23"/>
      <c r="U260" s="23"/>
      <c r="V260" s="23"/>
      <c r="W260" s="7"/>
      <c r="X260" s="7"/>
      <c r="Y260" s="23"/>
      <c r="Z260" s="23"/>
    </row>
    <row r="261" spans="2:26">
      <c r="B261" s="42" t="s">
        <v>84</v>
      </c>
      <c r="C261" s="43"/>
      <c r="D261" s="43"/>
      <c r="E261" s="43"/>
      <c r="F261" s="44"/>
      <c r="G261" s="21">
        <f>'Базовые концовки'!F133</f>
        <v>676</v>
      </c>
      <c r="H261" s="21"/>
      <c r="I261" s="21"/>
      <c r="L261" s="21">
        <f>'Текущие концовки'!F133</f>
        <v>9588</v>
      </c>
      <c r="M261" s="21"/>
      <c r="N261" s="21"/>
      <c r="T261" s="23"/>
      <c r="U261" s="23"/>
      <c r="V261" s="23"/>
      <c r="W261" s="7"/>
      <c r="X261" s="7"/>
      <c r="Y261" s="23"/>
      <c r="Z261" s="23"/>
    </row>
    <row r="262" spans="2:26" hidden="1">
      <c r="B262" s="42" t="s">
        <v>85</v>
      </c>
      <c r="C262" s="43"/>
      <c r="D262" s="43"/>
      <c r="E262" s="44"/>
      <c r="G262" s="21">
        <f>'Базовые концовки'!F134</f>
        <v>0</v>
      </c>
      <c r="H262" s="21">
        <f>'Базовые концовки'!G134</f>
        <v>0</v>
      </c>
      <c r="I262" s="21">
        <f>'Базовые концовки'!H134</f>
        <v>0</v>
      </c>
      <c r="L262" s="21">
        <f>'Текущие концовки'!F134</f>
        <v>0</v>
      </c>
      <c r="M262" s="21">
        <f>'Текущие концовки'!G134</f>
        <v>0</v>
      </c>
      <c r="N262" s="21">
        <f>'Текущие концовки'!H134</f>
        <v>0</v>
      </c>
      <c r="T262" s="23">
        <f>'Текущие концовки'!G134</f>
        <v>0</v>
      </c>
      <c r="U262" s="23">
        <f>'Текущие концовки'!H134</f>
        <v>0</v>
      </c>
      <c r="V262" s="23">
        <f>'Текущие концовки'!I134</f>
        <v>0</v>
      </c>
      <c r="W262" s="7">
        <f>'Текущие концовки'!J134</f>
        <v>0</v>
      </c>
      <c r="X262" s="7">
        <f>'Текущие концовки'!K134</f>
        <v>0</v>
      </c>
      <c r="Y262" s="23">
        <f>'Текущие концовки'!L134</f>
        <v>0</v>
      </c>
      <c r="Z262" s="23">
        <f>'Текущие концовки'!M134</f>
        <v>0</v>
      </c>
    </row>
    <row r="263" spans="2:26" hidden="1">
      <c r="B263" s="42" t="s">
        <v>70</v>
      </c>
      <c r="C263" s="43"/>
      <c r="D263" s="43"/>
      <c r="E263" s="44"/>
      <c r="G263" s="21"/>
      <c r="H263" s="21"/>
      <c r="I263" s="21"/>
      <c r="L263" s="21"/>
      <c r="M263" s="21"/>
      <c r="N263" s="21"/>
      <c r="T263" s="23"/>
      <c r="U263" s="23"/>
      <c r="V263" s="23"/>
      <c r="W263" s="7"/>
      <c r="X263" s="7"/>
      <c r="Y263" s="23"/>
      <c r="Z263" s="23"/>
    </row>
    <row r="264" spans="2:26" hidden="1">
      <c r="B264" s="42" t="s">
        <v>86</v>
      </c>
      <c r="C264" s="43"/>
      <c r="D264" s="43"/>
      <c r="E264" s="44"/>
      <c r="G264" s="21">
        <f>'Базовые концовки'!F136</f>
        <v>0</v>
      </c>
      <c r="H264" s="21">
        <f>'Базовые концовки'!G136</f>
        <v>0</v>
      </c>
      <c r="I264" s="21">
        <f>'Базовые концовки'!H136</f>
        <v>0</v>
      </c>
      <c r="L264" s="21">
        <f>'Текущие концовки'!F136</f>
        <v>0</v>
      </c>
      <c r="M264" s="21">
        <f>'Текущие концовки'!G136</f>
        <v>0</v>
      </c>
      <c r="N264" s="21">
        <f>'Текущие концовки'!H136</f>
        <v>0</v>
      </c>
      <c r="T264" s="23">
        <f>'Текущие концовки'!G136</f>
        <v>0</v>
      </c>
      <c r="U264" s="23">
        <f>'Текущие концовки'!H136</f>
        <v>0</v>
      </c>
      <c r="V264" s="23">
        <f>'Текущие концовки'!I136</f>
        <v>0</v>
      </c>
      <c r="W264" s="7">
        <f>'Текущие концовки'!J136</f>
        <v>0</v>
      </c>
      <c r="X264" s="7">
        <f>'Текущие концовки'!K136</f>
        <v>0</v>
      </c>
      <c r="Y264" s="23">
        <f>'Текущие концовки'!L136</f>
        <v>0</v>
      </c>
      <c r="Z264" s="23">
        <f>'Текущие концовки'!M136</f>
        <v>0</v>
      </c>
    </row>
    <row r="265" spans="2:26" hidden="1">
      <c r="B265" s="42" t="s">
        <v>74</v>
      </c>
      <c r="C265" s="43"/>
      <c r="D265" s="43"/>
      <c r="E265" s="44"/>
      <c r="G265" s="21">
        <f>'Базовые концовки'!F137</f>
        <v>0</v>
      </c>
      <c r="H265" s="21"/>
      <c r="I265" s="21"/>
      <c r="L265" s="21">
        <f>'Текущие концовки'!F137</f>
        <v>0</v>
      </c>
      <c r="M265" s="21"/>
      <c r="N265" s="21"/>
      <c r="T265" s="23"/>
      <c r="U265" s="23"/>
      <c r="V265" s="23"/>
      <c r="W265" s="7"/>
      <c r="X265" s="7"/>
      <c r="Y265" s="23"/>
      <c r="Z265" s="23"/>
    </row>
    <row r="266" spans="2:26" hidden="1">
      <c r="B266" s="42" t="s">
        <v>75</v>
      </c>
      <c r="C266" s="43"/>
      <c r="D266" s="43"/>
      <c r="E266" s="44"/>
      <c r="G266" s="21">
        <f>'Базовые концовки'!F138</f>
        <v>0</v>
      </c>
      <c r="H266" s="21"/>
      <c r="I266" s="21"/>
      <c r="L266" s="21">
        <f>'Текущие концовки'!F138</f>
        <v>0</v>
      </c>
      <c r="M266" s="21"/>
      <c r="N266" s="21"/>
      <c r="T266" s="23"/>
      <c r="U266" s="23"/>
      <c r="V266" s="23"/>
      <c r="W266" s="7"/>
      <c r="X266" s="7"/>
      <c r="Y266" s="23"/>
      <c r="Z266" s="23"/>
    </row>
    <row r="267" spans="2:26" hidden="1">
      <c r="B267" s="42" t="s">
        <v>76</v>
      </c>
      <c r="C267" s="43"/>
      <c r="D267" s="43"/>
      <c r="E267" s="44"/>
      <c r="G267" s="21">
        <f>'Базовые концовки'!F139</f>
        <v>0</v>
      </c>
      <c r="H267" s="21"/>
      <c r="I267" s="21"/>
      <c r="L267" s="21">
        <f>'Текущие концовки'!F139</f>
        <v>0</v>
      </c>
      <c r="M267" s="21"/>
      <c r="N267" s="21"/>
      <c r="T267" s="23"/>
      <c r="U267" s="23"/>
      <c r="V267" s="23"/>
      <c r="W267" s="7"/>
      <c r="X267" s="7"/>
      <c r="Y267" s="23"/>
      <c r="Z267" s="23"/>
    </row>
    <row r="268" spans="2:26" hidden="1">
      <c r="B268" s="42" t="s">
        <v>67</v>
      </c>
      <c r="C268" s="43"/>
      <c r="D268" s="43"/>
      <c r="E268" s="44"/>
      <c r="G268" s="21" t="e">
        <f ca="1">'Базовые концовки'!F140</f>
        <v>#NAME?</v>
      </c>
      <c r="H268" s="21"/>
      <c r="I268" s="21"/>
      <c r="L268" s="21" t="e">
        <f ca="1">'Текущие концовки'!F140</f>
        <v>#NAME?</v>
      </c>
      <c r="M268" s="21"/>
      <c r="N268" s="21"/>
      <c r="T268" s="23"/>
      <c r="U268" s="23"/>
      <c r="V268" s="23"/>
      <c r="W268" s="7"/>
      <c r="X268" s="7"/>
      <c r="Y268" s="23"/>
      <c r="Z268" s="23"/>
    </row>
    <row r="269" spans="2:26" hidden="1">
      <c r="B269" s="42" t="s">
        <v>87</v>
      </c>
      <c r="C269" s="43"/>
      <c r="D269" s="43"/>
      <c r="E269" s="44"/>
      <c r="G269" s="21">
        <f>'Базовые концовки'!F141</f>
        <v>0</v>
      </c>
      <c r="H269" s="21"/>
      <c r="I269" s="21"/>
      <c r="L269" s="21">
        <f>'Текущие концовки'!F141</f>
        <v>0</v>
      </c>
      <c r="M269" s="21"/>
      <c r="N269" s="21"/>
      <c r="T269" s="23"/>
      <c r="U269" s="23"/>
      <c r="V269" s="23"/>
      <c r="W269" s="7"/>
      <c r="X269" s="7"/>
      <c r="Y269" s="23"/>
      <c r="Z269" s="23"/>
    </row>
    <row r="270" spans="2:26" hidden="1">
      <c r="B270" s="42" t="s">
        <v>88</v>
      </c>
      <c r="C270" s="43"/>
      <c r="D270" s="43"/>
      <c r="E270" s="44"/>
      <c r="G270" s="21">
        <f>'Базовые концовки'!F142</f>
        <v>0</v>
      </c>
      <c r="H270" s="21">
        <f>'Базовые концовки'!G142</f>
        <v>0</v>
      </c>
      <c r="I270" s="21">
        <f>'Базовые концовки'!H142</f>
        <v>0</v>
      </c>
      <c r="L270" s="21">
        <f>'Текущие концовки'!F142</f>
        <v>0</v>
      </c>
      <c r="M270" s="21">
        <f>'Текущие концовки'!G142</f>
        <v>0</v>
      </c>
      <c r="N270" s="21">
        <f>'Текущие концовки'!H142</f>
        <v>0</v>
      </c>
      <c r="T270" s="23">
        <f>'Текущие концовки'!G142</f>
        <v>0</v>
      </c>
      <c r="U270" s="23">
        <f>'Текущие концовки'!H142</f>
        <v>0</v>
      </c>
      <c r="V270" s="23">
        <f>'Текущие концовки'!I142</f>
        <v>0</v>
      </c>
      <c r="W270" s="7">
        <f>'Текущие концовки'!J142</f>
        <v>0</v>
      </c>
      <c r="X270" s="7">
        <f>'Текущие концовки'!K142</f>
        <v>0</v>
      </c>
      <c r="Y270" s="23">
        <f>'Текущие концовки'!L142</f>
        <v>0</v>
      </c>
      <c r="Z270" s="23">
        <f>'Текущие концовки'!M142</f>
        <v>0</v>
      </c>
    </row>
    <row r="271" spans="2:26" hidden="1">
      <c r="B271" s="42" t="s">
        <v>74</v>
      </c>
      <c r="C271" s="43"/>
      <c r="D271" s="43"/>
      <c r="E271" s="44"/>
      <c r="G271" s="21">
        <f>'Базовые концовки'!F143</f>
        <v>0</v>
      </c>
      <c r="H271" s="21"/>
      <c r="I271" s="21"/>
      <c r="L271" s="21">
        <f>'Текущие концовки'!F143</f>
        <v>0</v>
      </c>
      <c r="M271" s="21"/>
      <c r="N271" s="21"/>
      <c r="T271" s="23"/>
      <c r="U271" s="23"/>
      <c r="V271" s="23"/>
      <c r="W271" s="7"/>
      <c r="X271" s="7"/>
      <c r="Y271" s="23"/>
      <c r="Z271" s="23"/>
    </row>
    <row r="272" spans="2:26" hidden="1">
      <c r="B272" s="42" t="s">
        <v>75</v>
      </c>
      <c r="C272" s="43"/>
      <c r="D272" s="43"/>
      <c r="E272" s="44"/>
      <c r="G272" s="21">
        <f>'Базовые концовки'!F144</f>
        <v>0</v>
      </c>
      <c r="H272" s="21"/>
      <c r="I272" s="21"/>
      <c r="L272" s="21">
        <f>'Текущие концовки'!F144</f>
        <v>0</v>
      </c>
      <c r="M272" s="21"/>
      <c r="N272" s="21"/>
      <c r="T272" s="23"/>
      <c r="U272" s="23"/>
      <c r="V272" s="23"/>
      <c r="W272" s="7"/>
      <c r="X272" s="7"/>
      <c r="Y272" s="23"/>
      <c r="Z272" s="23"/>
    </row>
    <row r="273" spans="2:26" hidden="1">
      <c r="B273" s="42" t="s">
        <v>76</v>
      </c>
      <c r="C273" s="43"/>
      <c r="D273" s="43"/>
      <c r="E273" s="44"/>
      <c r="G273" s="21">
        <f>'Базовые концовки'!F145</f>
        <v>0</v>
      </c>
      <c r="H273" s="21"/>
      <c r="I273" s="21"/>
      <c r="L273" s="21">
        <f>'Текущие концовки'!F145</f>
        <v>0</v>
      </c>
      <c r="M273" s="21"/>
      <c r="N273" s="21"/>
      <c r="T273" s="23"/>
      <c r="U273" s="23"/>
      <c r="V273" s="23"/>
      <c r="W273" s="7"/>
      <c r="X273" s="7"/>
      <c r="Y273" s="23"/>
      <c r="Z273" s="23"/>
    </row>
    <row r="274" spans="2:26" hidden="1">
      <c r="B274" s="42" t="s">
        <v>89</v>
      </c>
      <c r="C274" s="43"/>
      <c r="D274" s="43"/>
      <c r="E274" s="44"/>
      <c r="G274" s="21">
        <f>'Базовые концовки'!F146</f>
        <v>0</v>
      </c>
      <c r="H274" s="21"/>
      <c r="I274" s="21"/>
      <c r="L274" s="21">
        <f>'Текущие концовки'!F146</f>
        <v>0</v>
      </c>
      <c r="M274" s="21"/>
      <c r="N274" s="21"/>
      <c r="T274" s="23"/>
      <c r="U274" s="23"/>
      <c r="V274" s="23"/>
      <c r="W274" s="7"/>
      <c r="X274" s="7"/>
      <c r="Y274" s="23"/>
      <c r="Z274" s="23"/>
    </row>
    <row r="275" spans="2:26" hidden="1">
      <c r="B275" s="42" t="s">
        <v>90</v>
      </c>
      <c r="C275" s="43"/>
      <c r="D275" s="43"/>
      <c r="E275" s="44"/>
      <c r="G275" s="21">
        <f>'Базовые концовки'!F147</f>
        <v>0</v>
      </c>
      <c r="H275" s="21">
        <f>'Базовые концовки'!G147</f>
        <v>0</v>
      </c>
      <c r="I275" s="21">
        <f>'Базовые концовки'!H147</f>
        <v>0</v>
      </c>
      <c r="L275" s="21">
        <f>'Текущие концовки'!F147</f>
        <v>0</v>
      </c>
      <c r="M275" s="21">
        <f>'Текущие концовки'!G147</f>
        <v>0</v>
      </c>
      <c r="N275" s="21">
        <f>'Текущие концовки'!H147</f>
        <v>0</v>
      </c>
      <c r="T275" s="23">
        <f>'Текущие концовки'!G147</f>
        <v>0</v>
      </c>
      <c r="U275" s="23">
        <f>'Текущие концовки'!H147</f>
        <v>0</v>
      </c>
      <c r="V275" s="23">
        <f>'Текущие концовки'!I147</f>
        <v>0</v>
      </c>
      <c r="W275" s="7">
        <f>'Текущие концовки'!J147</f>
        <v>0</v>
      </c>
      <c r="X275" s="7">
        <f>'Текущие концовки'!K147</f>
        <v>0</v>
      </c>
      <c r="Y275" s="23">
        <f>'Текущие концовки'!L147</f>
        <v>0</v>
      </c>
      <c r="Z275" s="23">
        <f>'Текущие концовки'!M147</f>
        <v>0</v>
      </c>
    </row>
    <row r="276" spans="2:26" hidden="1">
      <c r="B276" s="42" t="s">
        <v>74</v>
      </c>
      <c r="C276" s="43"/>
      <c r="D276" s="43"/>
      <c r="E276" s="44"/>
      <c r="G276" s="21">
        <f>'Базовые концовки'!F148</f>
        <v>0</v>
      </c>
      <c r="H276" s="21"/>
      <c r="I276" s="21"/>
      <c r="L276" s="21">
        <f>'Текущие концовки'!F148</f>
        <v>0</v>
      </c>
      <c r="M276" s="21"/>
      <c r="N276" s="21"/>
      <c r="T276" s="23"/>
      <c r="U276" s="23"/>
      <c r="V276" s="23"/>
      <c r="W276" s="7"/>
      <c r="X276" s="7"/>
      <c r="Y276" s="23"/>
      <c r="Z276" s="23"/>
    </row>
    <row r="277" spans="2:26" hidden="1">
      <c r="B277" s="42" t="s">
        <v>75</v>
      </c>
      <c r="C277" s="43"/>
      <c r="D277" s="43"/>
      <c r="E277" s="44"/>
      <c r="G277" s="21">
        <f>'Базовые концовки'!F149</f>
        <v>0</v>
      </c>
      <c r="H277" s="21"/>
      <c r="I277" s="21"/>
      <c r="L277" s="21">
        <f>'Текущие концовки'!F149</f>
        <v>0</v>
      </c>
      <c r="M277" s="21"/>
      <c r="N277" s="21"/>
      <c r="T277" s="23"/>
      <c r="U277" s="23"/>
      <c r="V277" s="23"/>
      <c r="W277" s="7"/>
      <c r="X277" s="7"/>
      <c r="Y277" s="23"/>
      <c r="Z277" s="23"/>
    </row>
    <row r="278" spans="2:26" hidden="1">
      <c r="B278" s="42" t="s">
        <v>76</v>
      </c>
      <c r="C278" s="43"/>
      <c r="D278" s="43"/>
      <c r="E278" s="44"/>
      <c r="G278" s="21">
        <f>'Базовые концовки'!F150</f>
        <v>0</v>
      </c>
      <c r="H278" s="21"/>
      <c r="I278" s="21"/>
      <c r="L278" s="21">
        <f>'Текущие концовки'!F150</f>
        <v>0</v>
      </c>
      <c r="M278" s="21"/>
      <c r="N278" s="21"/>
      <c r="T278" s="23"/>
      <c r="U278" s="23"/>
      <c r="V278" s="23"/>
      <c r="W278" s="7"/>
      <c r="X278" s="7"/>
      <c r="Y278" s="23"/>
      <c r="Z278" s="23"/>
    </row>
    <row r="279" spans="2:26" hidden="1">
      <c r="B279" s="42" t="s">
        <v>91</v>
      </c>
      <c r="C279" s="43"/>
      <c r="D279" s="43"/>
      <c r="E279" s="44"/>
      <c r="G279" s="21">
        <f>'Базовые концовки'!F151</f>
        <v>0</v>
      </c>
      <c r="H279" s="21"/>
      <c r="I279" s="21"/>
      <c r="L279" s="21">
        <f>'Текущие концовки'!F151</f>
        <v>0</v>
      </c>
      <c r="M279" s="21"/>
      <c r="N279" s="21"/>
      <c r="T279" s="23"/>
      <c r="U279" s="23"/>
      <c r="V279" s="23"/>
      <c r="W279" s="7"/>
      <c r="X279" s="7"/>
      <c r="Y279" s="23"/>
      <c r="Z279" s="23"/>
    </row>
    <row r="280" spans="2:26" hidden="1">
      <c r="B280" s="42" t="s">
        <v>92</v>
      </c>
      <c r="C280" s="43"/>
      <c r="D280" s="43"/>
      <c r="E280" s="44"/>
      <c r="G280" s="21">
        <f>'Базовые концовки'!F152</f>
        <v>0</v>
      </c>
      <c r="H280" s="21">
        <f>'Базовые концовки'!G152</f>
        <v>0</v>
      </c>
      <c r="I280" s="21">
        <f>'Базовые концовки'!H152</f>
        <v>0</v>
      </c>
      <c r="L280" s="21">
        <f>'Текущие концовки'!F152</f>
        <v>0</v>
      </c>
      <c r="M280" s="21">
        <f>'Текущие концовки'!G152</f>
        <v>0</v>
      </c>
      <c r="N280" s="21">
        <f>'Текущие концовки'!H152</f>
        <v>0</v>
      </c>
      <c r="T280" s="23">
        <f>'Текущие концовки'!G152</f>
        <v>0</v>
      </c>
      <c r="U280" s="23">
        <f>'Текущие концовки'!H152</f>
        <v>0</v>
      </c>
      <c r="V280" s="23">
        <f>'Текущие концовки'!I152</f>
        <v>0</v>
      </c>
      <c r="W280" s="7">
        <f>'Текущие концовки'!J152</f>
        <v>0</v>
      </c>
      <c r="X280" s="7">
        <f>'Текущие концовки'!K152</f>
        <v>0</v>
      </c>
      <c r="Y280" s="23">
        <f>'Текущие концовки'!L152</f>
        <v>0</v>
      </c>
      <c r="Z280" s="23">
        <f>'Текущие концовки'!M152</f>
        <v>0</v>
      </c>
    </row>
    <row r="281" spans="2:26" hidden="1">
      <c r="B281" s="42" t="s">
        <v>70</v>
      </c>
      <c r="C281" s="43"/>
      <c r="D281" s="43"/>
      <c r="E281" s="44"/>
      <c r="G281" s="21"/>
      <c r="H281" s="21"/>
      <c r="I281" s="21"/>
      <c r="L281" s="21"/>
      <c r="M281" s="21"/>
      <c r="N281" s="21"/>
      <c r="T281" s="23"/>
      <c r="U281" s="23"/>
      <c r="V281" s="23"/>
      <c r="W281" s="7"/>
      <c r="X281" s="7"/>
      <c r="Y281" s="23"/>
      <c r="Z281" s="23"/>
    </row>
    <row r="282" spans="2:26" hidden="1">
      <c r="B282" s="42" t="s">
        <v>79</v>
      </c>
      <c r="C282" s="43"/>
      <c r="D282" s="43"/>
      <c r="E282" s="44"/>
      <c r="G282" s="21" t="e">
        <f ca="1">'Базовые концовки'!F154</f>
        <v>#NAME?</v>
      </c>
      <c r="H282" s="21"/>
      <c r="I282" s="21"/>
      <c r="L282" s="21" t="e">
        <f ca="1">'Текущие концовки'!F154</f>
        <v>#NAME?</v>
      </c>
      <c r="M282" s="21"/>
      <c r="N282" s="21"/>
      <c r="T282" s="23"/>
      <c r="U282" s="23"/>
      <c r="V282" s="23"/>
      <c r="W282" s="7"/>
      <c r="X282" s="7"/>
      <c r="Y282" s="23"/>
      <c r="Z282" s="23"/>
    </row>
    <row r="283" spans="2:26" hidden="1">
      <c r="B283" s="42" t="s">
        <v>74</v>
      </c>
      <c r="C283" s="43"/>
      <c r="D283" s="43"/>
      <c r="E283" s="44"/>
      <c r="G283" s="21">
        <f>'Базовые концовки'!F155</f>
        <v>0</v>
      </c>
      <c r="H283" s="21"/>
      <c r="I283" s="21"/>
      <c r="L283" s="21">
        <f>'Текущие концовки'!F155</f>
        <v>0</v>
      </c>
      <c r="M283" s="21"/>
      <c r="N283" s="21"/>
      <c r="T283" s="23"/>
      <c r="U283" s="23"/>
      <c r="V283" s="23"/>
      <c r="W283" s="7"/>
      <c r="X283" s="7"/>
      <c r="Y283" s="23"/>
      <c r="Z283" s="23"/>
    </row>
    <row r="284" spans="2:26" hidden="1">
      <c r="B284" s="42" t="s">
        <v>75</v>
      </c>
      <c r="C284" s="43"/>
      <c r="D284" s="43"/>
      <c r="E284" s="44"/>
      <c r="G284" s="21">
        <f>'Базовые концовки'!F156</f>
        <v>0</v>
      </c>
      <c r="H284" s="21"/>
      <c r="I284" s="21"/>
      <c r="L284" s="21">
        <f>'Текущие концовки'!F156</f>
        <v>0</v>
      </c>
      <c r="M284" s="21"/>
      <c r="N284" s="21"/>
      <c r="T284" s="23"/>
      <c r="U284" s="23"/>
      <c r="V284" s="23"/>
      <c r="W284" s="7"/>
      <c r="X284" s="7"/>
      <c r="Y284" s="23"/>
      <c r="Z284" s="23"/>
    </row>
    <row r="285" spans="2:26" hidden="1">
      <c r="B285" s="42" t="s">
        <v>76</v>
      </c>
      <c r="C285" s="43"/>
      <c r="D285" s="43"/>
      <c r="E285" s="44"/>
      <c r="G285" s="21">
        <f>'Базовые концовки'!F157</f>
        <v>0</v>
      </c>
      <c r="H285" s="21"/>
      <c r="I285" s="21"/>
      <c r="L285" s="21">
        <f>'Текущие концовки'!F157</f>
        <v>0</v>
      </c>
      <c r="M285" s="21"/>
      <c r="N285" s="21"/>
      <c r="T285" s="23"/>
      <c r="U285" s="23"/>
      <c r="V285" s="23"/>
      <c r="W285" s="7"/>
      <c r="X285" s="7"/>
      <c r="Y285" s="23"/>
      <c r="Z285" s="23"/>
    </row>
    <row r="286" spans="2:26" hidden="1">
      <c r="B286" s="42" t="s">
        <v>93</v>
      </c>
      <c r="C286" s="43"/>
      <c r="D286" s="43"/>
      <c r="E286" s="44"/>
      <c r="G286" s="21">
        <f>'Базовые концовки'!F158</f>
        <v>0</v>
      </c>
      <c r="H286" s="21"/>
      <c r="I286" s="21"/>
      <c r="L286" s="21">
        <f>'Текущие концовки'!F158</f>
        <v>0</v>
      </c>
      <c r="M286" s="21"/>
      <c r="N286" s="21"/>
      <c r="T286" s="23"/>
      <c r="U286" s="23"/>
      <c r="V286" s="23"/>
      <c r="W286" s="7"/>
      <c r="X286" s="7"/>
      <c r="Y286" s="23"/>
      <c r="Z286" s="23"/>
    </row>
    <row r="287" spans="2:26" hidden="1">
      <c r="B287" s="42" t="s">
        <v>94</v>
      </c>
      <c r="C287" s="43"/>
      <c r="D287" s="43"/>
      <c r="E287" s="44"/>
      <c r="G287" s="21">
        <f>'Базовые концовки'!F159</f>
        <v>0</v>
      </c>
      <c r="H287" s="21">
        <f>'Базовые концовки'!G159</f>
        <v>0</v>
      </c>
      <c r="I287" s="21">
        <f>'Базовые концовки'!H159</f>
        <v>0</v>
      </c>
      <c r="L287" s="21">
        <f>'Текущие концовки'!F159</f>
        <v>0</v>
      </c>
      <c r="M287" s="21">
        <f>'Текущие концовки'!G159</f>
        <v>0</v>
      </c>
      <c r="N287" s="21">
        <f>'Текущие концовки'!H159</f>
        <v>0</v>
      </c>
      <c r="T287" s="23">
        <f>'Текущие концовки'!G159</f>
        <v>0</v>
      </c>
      <c r="U287" s="23">
        <f>'Текущие концовки'!H159</f>
        <v>0</v>
      </c>
      <c r="V287" s="23">
        <f>'Текущие концовки'!I159</f>
        <v>0</v>
      </c>
      <c r="W287" s="7">
        <f>'Текущие концовки'!J159</f>
        <v>0</v>
      </c>
      <c r="X287" s="7">
        <f>'Текущие концовки'!K159</f>
        <v>0</v>
      </c>
      <c r="Y287" s="23">
        <f>'Текущие концовки'!L159</f>
        <v>0</v>
      </c>
      <c r="Z287" s="23">
        <f>'Текущие концовки'!M159</f>
        <v>0</v>
      </c>
    </row>
    <row r="288" spans="2:26" hidden="1">
      <c r="B288" s="42" t="s">
        <v>95</v>
      </c>
      <c r="C288" s="43"/>
      <c r="D288" s="43"/>
      <c r="E288" s="44"/>
      <c r="G288" s="21">
        <f>'Базовые концовки'!F160</f>
        <v>0</v>
      </c>
      <c r="H288" s="21"/>
      <c r="I288" s="21"/>
      <c r="L288" s="21">
        <f>'Текущие концовки'!F160</f>
        <v>0</v>
      </c>
      <c r="M288" s="21"/>
      <c r="N288" s="21"/>
      <c r="T288" s="23"/>
      <c r="U288" s="23"/>
      <c r="V288" s="23"/>
      <c r="W288" s="7"/>
      <c r="X288" s="7"/>
      <c r="Y288" s="23"/>
      <c r="Z288" s="23"/>
    </row>
    <row r="289" spans="2:26" hidden="1">
      <c r="B289" s="42" t="s">
        <v>96</v>
      </c>
      <c r="C289" s="43"/>
      <c r="D289" s="43"/>
      <c r="E289" s="44"/>
      <c r="G289" s="21">
        <f>'Базовые концовки'!F161</f>
        <v>0</v>
      </c>
      <c r="H289" s="21"/>
      <c r="I289" s="21"/>
      <c r="L289" s="21">
        <f>'Текущие концовки'!F161</f>
        <v>0</v>
      </c>
      <c r="M289" s="21"/>
      <c r="N289" s="21"/>
      <c r="T289" s="23"/>
      <c r="U289" s="23"/>
      <c r="V289" s="23"/>
      <c r="W289" s="7"/>
      <c r="X289" s="7"/>
      <c r="Y289" s="23"/>
      <c r="Z289" s="23"/>
    </row>
    <row r="290" spans="2:26" hidden="1">
      <c r="B290" s="42" t="s">
        <v>75</v>
      </c>
      <c r="C290" s="43"/>
      <c r="D290" s="43"/>
      <c r="E290" s="44"/>
      <c r="G290" s="21">
        <f>'Базовые концовки'!F162</f>
        <v>0</v>
      </c>
      <c r="H290" s="21"/>
      <c r="I290" s="21"/>
      <c r="L290" s="21">
        <f>'Текущие концовки'!F162</f>
        <v>0</v>
      </c>
      <c r="M290" s="21"/>
      <c r="N290" s="21"/>
      <c r="T290" s="23"/>
      <c r="U290" s="23"/>
      <c r="V290" s="23"/>
      <c r="W290" s="7"/>
      <c r="X290" s="7"/>
      <c r="Y290" s="23"/>
      <c r="Z290" s="23"/>
    </row>
    <row r="291" spans="2:26" hidden="1">
      <c r="B291" s="42" t="s">
        <v>76</v>
      </c>
      <c r="C291" s="43"/>
      <c r="D291" s="43"/>
      <c r="E291" s="44"/>
      <c r="G291" s="21">
        <f>'Базовые концовки'!F163</f>
        <v>0</v>
      </c>
      <c r="H291" s="21"/>
      <c r="I291" s="21"/>
      <c r="L291" s="21">
        <f>'Текущие концовки'!F163</f>
        <v>0</v>
      </c>
      <c r="M291" s="21"/>
      <c r="N291" s="21"/>
      <c r="T291" s="23"/>
      <c r="U291" s="23"/>
      <c r="V291" s="23"/>
      <c r="W291" s="7"/>
      <c r="X291" s="7"/>
      <c r="Y291" s="23"/>
      <c r="Z291" s="23"/>
    </row>
    <row r="292" spans="2:26" hidden="1">
      <c r="B292" s="42" t="s">
        <v>97</v>
      </c>
      <c r="C292" s="43"/>
      <c r="D292" s="43"/>
      <c r="E292" s="44"/>
      <c r="G292" s="21">
        <f>'Базовые концовки'!F164</f>
        <v>0</v>
      </c>
      <c r="H292" s="21"/>
      <c r="I292" s="21"/>
      <c r="L292" s="21">
        <f>'Текущие концовки'!F164</f>
        <v>0</v>
      </c>
      <c r="M292" s="21"/>
      <c r="N292" s="21"/>
      <c r="T292" s="23"/>
      <c r="U292" s="23"/>
      <c r="V292" s="23"/>
      <c r="W292" s="7"/>
      <c r="X292" s="7"/>
      <c r="Y292" s="23"/>
      <c r="Z292" s="23"/>
    </row>
    <row r="293" spans="2:26" hidden="1">
      <c r="B293" s="42" t="s">
        <v>98</v>
      </c>
      <c r="C293" s="43"/>
      <c r="D293" s="43"/>
      <c r="E293" s="44"/>
      <c r="G293" s="21">
        <f>'Базовые концовки'!F165</f>
        <v>0</v>
      </c>
      <c r="H293" s="21">
        <f>'Базовые концовки'!G165</f>
        <v>0</v>
      </c>
      <c r="I293" s="21">
        <f>'Базовые концовки'!H165</f>
        <v>0</v>
      </c>
      <c r="L293" s="21">
        <f>'Текущие концовки'!F165</f>
        <v>0</v>
      </c>
      <c r="M293" s="21">
        <f>'Текущие концовки'!G165</f>
        <v>0</v>
      </c>
      <c r="N293" s="21">
        <f>'Текущие концовки'!H165</f>
        <v>0</v>
      </c>
      <c r="T293" s="23">
        <f>'Текущие концовки'!G165</f>
        <v>0</v>
      </c>
      <c r="U293" s="23">
        <f>'Текущие концовки'!H165</f>
        <v>0</v>
      </c>
      <c r="V293" s="23">
        <f>'Текущие концовки'!I165</f>
        <v>0</v>
      </c>
      <c r="W293" s="7">
        <f>'Текущие концовки'!J165</f>
        <v>0</v>
      </c>
      <c r="X293" s="7">
        <f>'Текущие концовки'!K165</f>
        <v>0</v>
      </c>
      <c r="Y293" s="23">
        <f>'Текущие концовки'!L165</f>
        <v>0</v>
      </c>
      <c r="Z293" s="23">
        <f>'Текущие концовки'!M165</f>
        <v>0</v>
      </c>
    </row>
    <row r="294" spans="2:26" hidden="1">
      <c r="B294" s="42" t="s">
        <v>75</v>
      </c>
      <c r="C294" s="43"/>
      <c r="D294" s="43"/>
      <c r="E294" s="44"/>
      <c r="G294" s="21">
        <f>'Базовые концовки'!F166</f>
        <v>0</v>
      </c>
      <c r="H294" s="21"/>
      <c r="I294" s="21"/>
      <c r="L294" s="21">
        <f>'Текущие концовки'!F166</f>
        <v>0</v>
      </c>
      <c r="M294" s="21"/>
      <c r="N294" s="21"/>
      <c r="T294" s="23"/>
      <c r="U294" s="23"/>
      <c r="V294" s="23"/>
      <c r="W294" s="7"/>
      <c r="X294" s="7"/>
      <c r="Y294" s="23"/>
      <c r="Z294" s="23"/>
    </row>
    <row r="295" spans="2:26" hidden="1">
      <c r="B295" s="42" t="s">
        <v>76</v>
      </c>
      <c r="C295" s="43"/>
      <c r="D295" s="43"/>
      <c r="E295" s="44"/>
      <c r="G295" s="21">
        <f>'Базовые концовки'!F167</f>
        <v>0</v>
      </c>
      <c r="H295" s="21"/>
      <c r="I295" s="21"/>
      <c r="L295" s="21">
        <f>'Текущие концовки'!F167</f>
        <v>0</v>
      </c>
      <c r="M295" s="21"/>
      <c r="N295" s="21"/>
      <c r="T295" s="23"/>
      <c r="U295" s="23"/>
      <c r="V295" s="23"/>
      <c r="W295" s="7"/>
      <c r="X295" s="7"/>
      <c r="Y295" s="23"/>
      <c r="Z295" s="23"/>
    </row>
    <row r="296" spans="2:26" hidden="1">
      <c r="B296" s="42" t="s">
        <v>99</v>
      </c>
      <c r="C296" s="43"/>
      <c r="D296" s="43"/>
      <c r="E296" s="44"/>
      <c r="G296" s="21">
        <f>'Базовые концовки'!F168</f>
        <v>0</v>
      </c>
      <c r="H296" s="21"/>
      <c r="I296" s="21"/>
      <c r="L296" s="21">
        <f>'Текущие концовки'!F168</f>
        <v>0</v>
      </c>
      <c r="M296" s="21"/>
      <c r="N296" s="21"/>
      <c r="T296" s="23"/>
      <c r="U296" s="23"/>
      <c r="V296" s="23"/>
      <c r="W296" s="7"/>
      <c r="X296" s="7"/>
      <c r="Y296" s="23"/>
      <c r="Z296" s="23"/>
    </row>
    <row r="297" spans="2:26" hidden="1">
      <c r="B297" s="42" t="s">
        <v>100</v>
      </c>
      <c r="C297" s="43"/>
      <c r="D297" s="43"/>
      <c r="E297" s="44"/>
      <c r="G297" s="21">
        <f>'Базовые концовки'!F169</f>
        <v>0</v>
      </c>
      <c r="H297" s="21">
        <f>'Базовые концовки'!G169</f>
        <v>0</v>
      </c>
      <c r="I297" s="21">
        <f>'Базовые концовки'!H169</f>
        <v>0</v>
      </c>
      <c r="L297" s="21">
        <f>'Текущие концовки'!F169</f>
        <v>0</v>
      </c>
      <c r="M297" s="21">
        <f>'Текущие концовки'!G169</f>
        <v>0</v>
      </c>
      <c r="N297" s="21">
        <f>'Текущие концовки'!H169</f>
        <v>0</v>
      </c>
      <c r="T297" s="23">
        <f>'Текущие концовки'!G169</f>
        <v>0</v>
      </c>
      <c r="U297" s="23">
        <f>'Текущие концовки'!H169</f>
        <v>0</v>
      </c>
      <c r="V297" s="23">
        <f>'Текущие концовки'!I169</f>
        <v>0</v>
      </c>
      <c r="W297" s="7">
        <f>'Текущие концовки'!J169</f>
        <v>0</v>
      </c>
      <c r="X297" s="7">
        <f>'Текущие концовки'!K169</f>
        <v>0</v>
      </c>
      <c r="Y297" s="23">
        <f>'Текущие концовки'!L169</f>
        <v>0</v>
      </c>
      <c r="Z297" s="23">
        <f>'Текущие концовки'!M169</f>
        <v>0</v>
      </c>
    </row>
    <row r="298" spans="2:26" hidden="1">
      <c r="B298" s="42" t="s">
        <v>74</v>
      </c>
      <c r="C298" s="43"/>
      <c r="D298" s="43"/>
      <c r="E298" s="44"/>
      <c r="G298" s="21">
        <f>'Базовые концовки'!F170</f>
        <v>0</v>
      </c>
      <c r="H298" s="21"/>
      <c r="I298" s="21"/>
      <c r="L298" s="21">
        <f>'Текущие концовки'!F170</f>
        <v>0</v>
      </c>
      <c r="M298" s="21"/>
      <c r="N298" s="21"/>
      <c r="T298" s="23"/>
      <c r="U298" s="23"/>
      <c r="V298" s="23"/>
      <c r="W298" s="7"/>
      <c r="X298" s="7"/>
      <c r="Y298" s="23"/>
      <c r="Z298" s="23"/>
    </row>
    <row r="299" spans="2:26" hidden="1">
      <c r="B299" s="42" t="s">
        <v>75</v>
      </c>
      <c r="C299" s="43"/>
      <c r="D299" s="43"/>
      <c r="E299" s="44"/>
      <c r="G299" s="21">
        <f>'Базовые концовки'!F171</f>
        <v>0</v>
      </c>
      <c r="H299" s="21"/>
      <c r="I299" s="21"/>
      <c r="L299" s="21">
        <f>'Текущие концовки'!F171</f>
        <v>0</v>
      </c>
      <c r="M299" s="21"/>
      <c r="N299" s="21"/>
      <c r="T299" s="23"/>
      <c r="U299" s="23"/>
      <c r="V299" s="23"/>
      <c r="W299" s="7"/>
      <c r="X299" s="7"/>
      <c r="Y299" s="23"/>
      <c r="Z299" s="23"/>
    </row>
    <row r="300" spans="2:26" hidden="1">
      <c r="B300" s="42" t="s">
        <v>76</v>
      </c>
      <c r="C300" s="43"/>
      <c r="D300" s="43"/>
      <c r="E300" s="44"/>
      <c r="G300" s="21">
        <f>'Базовые концовки'!F172</f>
        <v>0</v>
      </c>
      <c r="H300" s="21"/>
      <c r="I300" s="21"/>
      <c r="L300" s="21">
        <f>'Текущие концовки'!F172</f>
        <v>0</v>
      </c>
      <c r="M300" s="21"/>
      <c r="N300" s="21"/>
      <c r="T300" s="23"/>
      <c r="U300" s="23"/>
      <c r="V300" s="23"/>
      <c r="W300" s="7"/>
      <c r="X300" s="7"/>
      <c r="Y300" s="23"/>
      <c r="Z300" s="23"/>
    </row>
    <row r="301" spans="2:26" hidden="1">
      <c r="B301" s="42" t="s">
        <v>101</v>
      </c>
      <c r="C301" s="43"/>
      <c r="D301" s="43"/>
      <c r="E301" s="44"/>
      <c r="G301" s="21">
        <f>'Базовые концовки'!F173</f>
        <v>0</v>
      </c>
      <c r="H301" s="21"/>
      <c r="I301" s="21"/>
      <c r="L301" s="21">
        <f>'Текущие концовки'!F173</f>
        <v>0</v>
      </c>
      <c r="M301" s="21"/>
      <c r="N301" s="21"/>
      <c r="T301" s="23"/>
      <c r="U301" s="23"/>
      <c r="V301" s="23"/>
      <c r="W301" s="7"/>
      <c r="X301" s="7"/>
      <c r="Y301" s="23"/>
      <c r="Z301" s="23"/>
    </row>
    <row r="302" spans="2:26" hidden="1">
      <c r="B302" s="42" t="s">
        <v>102</v>
      </c>
      <c r="C302" s="43"/>
      <c r="D302" s="43"/>
      <c r="E302" s="44"/>
      <c r="G302" s="21">
        <f>'Базовые концовки'!F174</f>
        <v>0</v>
      </c>
      <c r="H302" s="21">
        <f>'Базовые концовки'!G174</f>
        <v>0</v>
      </c>
      <c r="I302" s="21">
        <f>'Базовые концовки'!H174</f>
        <v>0</v>
      </c>
      <c r="L302" s="21">
        <f>'Текущие концовки'!F174</f>
        <v>0</v>
      </c>
      <c r="M302" s="21">
        <f>'Текущие концовки'!G174</f>
        <v>0</v>
      </c>
      <c r="N302" s="21">
        <f>'Текущие концовки'!H174</f>
        <v>0</v>
      </c>
      <c r="T302" s="23">
        <f>'Текущие концовки'!G174</f>
        <v>0</v>
      </c>
      <c r="U302" s="23">
        <f>'Текущие концовки'!H174</f>
        <v>0</v>
      </c>
      <c r="V302" s="23">
        <f>'Текущие концовки'!I174</f>
        <v>0</v>
      </c>
      <c r="W302" s="7">
        <f>'Текущие концовки'!J174</f>
        <v>0</v>
      </c>
      <c r="X302" s="7">
        <f>'Текущие концовки'!K174</f>
        <v>0</v>
      </c>
      <c r="Y302" s="23">
        <f>'Текущие концовки'!L174</f>
        <v>0</v>
      </c>
      <c r="Z302" s="23">
        <f>'Текущие концовки'!M174</f>
        <v>0</v>
      </c>
    </row>
    <row r="303" spans="2:26" hidden="1">
      <c r="B303" s="42" t="s">
        <v>74</v>
      </c>
      <c r="C303" s="43"/>
      <c r="D303" s="43"/>
      <c r="E303" s="44"/>
      <c r="G303" s="21">
        <f>'Базовые концовки'!F175</f>
        <v>0</v>
      </c>
      <c r="H303" s="21"/>
      <c r="I303" s="21"/>
      <c r="L303" s="21">
        <f>'Текущие концовки'!F175</f>
        <v>0</v>
      </c>
      <c r="M303" s="21"/>
      <c r="N303" s="21"/>
      <c r="T303" s="23"/>
      <c r="U303" s="23"/>
      <c r="V303" s="23"/>
      <c r="W303" s="7"/>
      <c r="X303" s="7"/>
      <c r="Y303" s="23"/>
      <c r="Z303" s="23"/>
    </row>
    <row r="304" spans="2:26">
      <c r="B304" s="42" t="s">
        <v>126</v>
      </c>
      <c r="C304" s="43"/>
      <c r="D304" s="43"/>
      <c r="E304" s="43"/>
      <c r="F304" s="44"/>
      <c r="G304" s="21" t="e">
        <f ca="1">'Базовые концовки'!F176</f>
        <v>#NAME?</v>
      </c>
      <c r="H304" s="21">
        <f>'Базовые концовки'!G176</f>
        <v>0</v>
      </c>
      <c r="I304" s="21">
        <f>'Базовые концовки'!H176</f>
        <v>0</v>
      </c>
      <c r="L304" s="21" t="e">
        <f ca="1">'Текущие концовки'!F176</f>
        <v>#NAME?</v>
      </c>
      <c r="M304" s="21">
        <f>'Текущие концовки'!G176</f>
        <v>0</v>
      </c>
      <c r="N304" s="21">
        <f>'Текущие концовки'!H176</f>
        <v>0</v>
      </c>
      <c r="T304" s="23">
        <f>'Текущие концовки'!G176</f>
        <v>0</v>
      </c>
      <c r="U304" s="23">
        <f>'Текущие концовки'!H176</f>
        <v>0</v>
      </c>
      <c r="V304" s="23">
        <f>'Текущие концовки'!I176</f>
        <v>0</v>
      </c>
      <c r="W304" s="7">
        <f>'Текущие концовки'!J176</f>
        <v>0</v>
      </c>
      <c r="X304" s="7">
        <f>'Текущие концовки'!K176</f>
        <v>0</v>
      </c>
      <c r="Y304" s="23">
        <f>'Текущие концовки'!L176</f>
        <v>0</v>
      </c>
      <c r="Z304" s="23">
        <f>'Текущие концовки'!M176</f>
        <v>0</v>
      </c>
    </row>
    <row r="305" spans="1:26" hidden="1">
      <c r="B305" s="42" t="s">
        <v>104</v>
      </c>
      <c r="C305" s="43"/>
      <c r="D305" s="43"/>
      <c r="E305" s="44"/>
      <c r="G305" s="21">
        <f>'Базовые концовки'!F177</f>
        <v>0</v>
      </c>
      <c r="H305" s="21"/>
      <c r="I305" s="21"/>
      <c r="L305" s="21">
        <f>'Текущие концовки'!F177</f>
        <v>0</v>
      </c>
      <c r="M305" s="21"/>
      <c r="N305" s="21"/>
      <c r="T305" s="23"/>
      <c r="U305" s="23"/>
      <c r="V305" s="23"/>
      <c r="W305" s="7"/>
      <c r="X305" s="7"/>
      <c r="Y305" s="23"/>
      <c r="Z305" s="23"/>
    </row>
    <row r="306" spans="1:26">
      <c r="B306" s="42" t="s">
        <v>105</v>
      </c>
      <c r="C306" s="43"/>
      <c r="D306" s="43"/>
      <c r="E306" s="43"/>
      <c r="F306" s="44"/>
      <c r="G306" s="21">
        <f>'Базовые концовки'!F178</f>
        <v>152</v>
      </c>
      <c r="H306" s="21"/>
      <c r="I306" s="21"/>
      <c r="L306" s="21">
        <f>'Текущие концовки'!F178</f>
        <v>3133</v>
      </c>
      <c r="M306" s="21"/>
      <c r="N306" s="21"/>
      <c r="T306" s="23"/>
      <c r="U306" s="23"/>
      <c r="V306" s="23"/>
      <c r="W306" s="7"/>
      <c r="X306" s="7"/>
      <c r="Y306" s="23"/>
      <c r="Z306" s="23"/>
    </row>
    <row r="307" spans="1:26">
      <c r="B307" s="42" t="s">
        <v>106</v>
      </c>
      <c r="C307" s="43"/>
      <c r="D307" s="43"/>
      <c r="E307" s="43"/>
      <c r="F307" s="44"/>
      <c r="G307" s="21">
        <f>'Базовые концовки'!F179</f>
        <v>128</v>
      </c>
      <c r="H307" s="21"/>
      <c r="I307" s="21"/>
      <c r="L307" s="21">
        <f>'Текущие концовки'!F179</f>
        <v>2636</v>
      </c>
      <c r="M307" s="21"/>
      <c r="N307" s="21"/>
      <c r="T307" s="23"/>
      <c r="U307" s="23"/>
      <c r="V307" s="23"/>
      <c r="W307" s="7"/>
      <c r="X307" s="7"/>
      <c r="Y307" s="23"/>
      <c r="Z307" s="23"/>
    </row>
    <row r="308" spans="1:26" hidden="1">
      <c r="B308" s="42" t="s">
        <v>33</v>
      </c>
      <c r="C308" s="43"/>
      <c r="D308" s="43"/>
      <c r="E308" s="44"/>
      <c r="G308" s="21">
        <f>'Базовые концовки'!F180</f>
        <v>0</v>
      </c>
      <c r="H308" s="21"/>
      <c r="I308" s="21"/>
      <c r="L308" s="21">
        <f>'Текущие концовки'!F180</f>
        <v>0</v>
      </c>
      <c r="M308" s="21"/>
      <c r="N308" s="21"/>
      <c r="T308" s="23"/>
      <c r="U308" s="23"/>
      <c r="V308" s="23"/>
      <c r="W308" s="7"/>
      <c r="X308" s="7"/>
      <c r="Y308" s="23">
        <f>'Текущие концовки'!L180</f>
        <v>0</v>
      </c>
      <c r="Z308" s="23"/>
    </row>
    <row r="309" spans="1:26" hidden="1">
      <c r="B309" s="42" t="s">
        <v>107</v>
      </c>
      <c r="C309" s="43"/>
      <c r="D309" s="43"/>
      <c r="E309" s="44"/>
      <c r="G309" s="21">
        <f>'Базовые концовки'!F181</f>
        <v>0</v>
      </c>
      <c r="H309" s="21"/>
      <c r="I309" s="21"/>
      <c r="L309" s="21">
        <f>'Текущие концовки'!F181</f>
        <v>0</v>
      </c>
      <c r="M309" s="21"/>
      <c r="N309" s="21"/>
      <c r="T309" s="23"/>
      <c r="U309" s="23"/>
      <c r="V309" s="23"/>
      <c r="W309" s="7"/>
      <c r="X309" s="7"/>
      <c r="Y309" s="23">
        <f>'Текущие концовки'!L181</f>
        <v>0</v>
      </c>
      <c r="Z309" s="23"/>
    </row>
    <row r="310" spans="1:26" hidden="1">
      <c r="B310" s="42" t="s">
        <v>108</v>
      </c>
      <c r="C310" s="43"/>
      <c r="D310" s="43"/>
      <c r="E310" s="43"/>
      <c r="F310" s="44"/>
      <c r="G310" s="21">
        <f>'Базовые концовки'!F182</f>
        <v>164</v>
      </c>
      <c r="H310" s="21"/>
      <c r="I310" s="21"/>
      <c r="L310" s="21">
        <f>'Текущие концовки'!F182</f>
        <v>3376</v>
      </c>
      <c r="M310" s="21"/>
      <c r="N310" s="21"/>
      <c r="T310" s="23"/>
      <c r="U310" s="23"/>
      <c r="V310" s="23"/>
      <c r="W310" s="7"/>
      <c r="X310" s="7"/>
      <c r="Y310" s="23"/>
      <c r="Z310" s="23"/>
    </row>
    <row r="311" spans="1:26" hidden="1">
      <c r="B311" s="42" t="s">
        <v>109</v>
      </c>
      <c r="C311" s="43"/>
      <c r="D311" s="43"/>
      <c r="E311" s="43"/>
      <c r="F311" s="44"/>
      <c r="G311" s="21">
        <f>'Базовые концовки'!F183</f>
        <v>18</v>
      </c>
      <c r="H311" s="21"/>
      <c r="I311" s="21"/>
      <c r="L311" s="21">
        <f>'Текущие концовки'!F183</f>
        <v>373</v>
      </c>
      <c r="M311" s="21"/>
      <c r="N311" s="21"/>
      <c r="T311" s="23"/>
      <c r="U311" s="23"/>
      <c r="V311" s="23"/>
      <c r="W311" s="7"/>
      <c r="X311" s="7"/>
      <c r="Y311" s="23"/>
      <c r="Z311" s="23"/>
    </row>
    <row r="312" spans="1:26" hidden="1">
      <c r="B312" s="42" t="s">
        <v>110</v>
      </c>
      <c r="C312" s="43"/>
      <c r="D312" s="43"/>
      <c r="E312" s="43"/>
      <c r="F312" s="44"/>
      <c r="G312" s="21">
        <f>'Базовые концовки'!F184</f>
        <v>182</v>
      </c>
      <c r="H312" s="21"/>
      <c r="I312" s="21"/>
      <c r="L312" s="21">
        <f>'Текущие концовки'!F184</f>
        <v>3749</v>
      </c>
      <c r="M312" s="21"/>
      <c r="N312" s="21"/>
      <c r="T312" s="23"/>
      <c r="U312" s="23"/>
      <c r="V312" s="23"/>
      <c r="W312" s="7"/>
      <c r="X312" s="7"/>
      <c r="Y312" s="23"/>
      <c r="Z312" s="23"/>
    </row>
    <row r="313" spans="1:26" hidden="1">
      <c r="B313" s="42" t="s">
        <v>111</v>
      </c>
      <c r="C313" s="43"/>
      <c r="D313" s="43"/>
      <c r="E313" s="43"/>
      <c r="F313" s="44"/>
      <c r="G313" s="7" t="e">
        <f ca="1">'Базовые концовки'!J185</f>
        <v>#NAME?</v>
      </c>
      <c r="H313" s="21"/>
      <c r="I313" s="21"/>
      <c r="L313" s="7" t="e">
        <f ca="1">'Текущие концовки'!J185</f>
        <v>#NAME?</v>
      </c>
      <c r="M313" s="21"/>
      <c r="N313" s="21"/>
      <c r="T313" s="23"/>
      <c r="U313" s="23"/>
      <c r="V313" s="23"/>
      <c r="W313" s="7" t="e">
        <f ca="1">'Текущие концовки'!J185</f>
        <v>#NAME?</v>
      </c>
      <c r="X313" s="7"/>
      <c r="Y313" s="23"/>
      <c r="Z313" s="23"/>
    </row>
    <row r="314" spans="1:26" hidden="1">
      <c r="B314" s="42" t="s">
        <v>112</v>
      </c>
      <c r="C314" s="43"/>
      <c r="D314" s="43"/>
      <c r="E314" s="43"/>
      <c r="F314" s="44"/>
      <c r="G314" s="7" t="e">
        <f ca="1">'Базовые концовки'!J186</f>
        <v>#NAME?</v>
      </c>
      <c r="H314" s="21"/>
      <c r="I314" s="21"/>
      <c r="L314" s="7" t="e">
        <f ca="1">'Текущие концовки'!J186</f>
        <v>#NAME?</v>
      </c>
      <c r="M314" s="21"/>
      <c r="N314" s="21"/>
      <c r="T314" s="23"/>
      <c r="U314" s="23"/>
      <c r="V314" s="23"/>
      <c r="W314" s="7" t="e">
        <f ca="1">'Текущие концовки'!J186</f>
        <v>#NAME?</v>
      </c>
      <c r="X314" s="7"/>
      <c r="Y314" s="23"/>
      <c r="Z314" s="23"/>
    </row>
    <row r="315" spans="1:26" hidden="1">
      <c r="B315" s="42" t="s">
        <v>113</v>
      </c>
      <c r="C315" s="43"/>
      <c r="D315" s="43"/>
      <c r="E315" s="43"/>
      <c r="F315" s="44"/>
      <c r="G315" s="7" t="e">
        <f ca="1">'Базовые концовки'!J187</f>
        <v>#NAME?</v>
      </c>
      <c r="H315" s="21"/>
      <c r="I315" s="21"/>
      <c r="L315" s="7" t="e">
        <f ca="1">'Текущие концовки'!J187</f>
        <v>#NAME?</v>
      </c>
      <c r="M315" s="21"/>
      <c r="N315" s="21"/>
      <c r="T315" s="23"/>
      <c r="U315" s="23"/>
      <c r="V315" s="23"/>
      <c r="W315" s="7" t="e">
        <f ca="1">'Текущие концовки'!J187</f>
        <v>#NAME?</v>
      </c>
      <c r="X315" s="7"/>
      <c r="Y315" s="23"/>
      <c r="Z315" s="23"/>
    </row>
    <row r="317" spans="1:26">
      <c r="B317" s="49" t="s">
        <v>127</v>
      </c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</row>
    <row r="318" spans="1:26"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</row>
    <row r="319" spans="1:26">
      <c r="A319" s="6" t="s">
        <v>128</v>
      </c>
      <c r="B319" s="48" t="s">
        <v>116</v>
      </c>
      <c r="C319" s="1">
        <v>0.79</v>
      </c>
      <c r="D319" s="12">
        <f>'Базовые цены за единицу'!B21</f>
        <v>77.13</v>
      </c>
      <c r="E319" s="13">
        <f>'Базовые цены за единицу'!C21</f>
        <v>64.61</v>
      </c>
      <c r="F319" s="13">
        <f>'Базовые цены за единицу'!D21</f>
        <v>12.52</v>
      </c>
      <c r="G319" s="14">
        <f>'Базовые цены с учетом расхода'!B21</f>
        <v>61</v>
      </c>
      <c r="H319" s="15">
        <f>'Базовые цены с учетом расхода'!C21</f>
        <v>51</v>
      </c>
      <c r="I319" s="15">
        <f>'Базовые цены с учетом расхода'!D21</f>
        <v>10</v>
      </c>
      <c r="J319" s="16">
        <v>20.63</v>
      </c>
      <c r="K319" s="16">
        <v>3.18</v>
      </c>
      <c r="L319" s="14">
        <f>'Текущие цены с учетом расхода'!B21</f>
        <v>1084</v>
      </c>
      <c r="M319" s="15">
        <f>'Текущие цены с учетом расхода'!C21</f>
        <v>1053</v>
      </c>
      <c r="N319" s="15">
        <f>'Текущие цены с учетом расхода'!D21</f>
        <v>31</v>
      </c>
    </row>
    <row r="320" spans="1:26" ht="43.9" customHeight="1">
      <c r="B320" s="43"/>
      <c r="E320" s="12">
        <f>'Базовые цены за единицу'!F21</f>
        <v>0</v>
      </c>
      <c r="F320" s="12">
        <f>'Базовые цены за единицу'!E21</f>
        <v>0</v>
      </c>
      <c r="H320" s="14">
        <f>'Базовые цены с учетом расхода'!F21</f>
        <v>0</v>
      </c>
      <c r="I320" s="14">
        <f>'Базовые цены с учетом расхода'!E21</f>
        <v>0</v>
      </c>
      <c r="J320" s="16">
        <v>1</v>
      </c>
      <c r="K320" s="16">
        <v>1</v>
      </c>
      <c r="M320" s="14">
        <f>'Текущие цены с учетом расхода'!F21</f>
        <v>0</v>
      </c>
      <c r="N320" s="14">
        <f>'Текущие цены с учетом расхода'!E21</f>
        <v>0</v>
      </c>
    </row>
    <row r="321" spans="2:16" hidden="1">
      <c r="B321" s="17" t="s">
        <v>29</v>
      </c>
      <c r="G321" s="1">
        <v>51</v>
      </c>
      <c r="L321" s="1">
        <v>1053</v>
      </c>
    </row>
    <row r="322" spans="2:16" hidden="1">
      <c r="B322" s="17" t="s">
        <v>30</v>
      </c>
      <c r="G322" s="1">
        <v>10</v>
      </c>
      <c r="L322" s="1">
        <v>31</v>
      </c>
    </row>
    <row r="323" spans="2:16" hidden="1">
      <c r="B323" s="17" t="s">
        <v>31</v>
      </c>
    </row>
    <row r="324" spans="2:16" hidden="1">
      <c r="B324" s="17" t="s">
        <v>32</v>
      </c>
    </row>
    <row r="325" spans="2:16" ht="31.5" hidden="1">
      <c r="B325" s="17" t="s">
        <v>33</v>
      </c>
    </row>
    <row r="326" spans="2:16" ht="21" hidden="1">
      <c r="B326" s="17" t="s">
        <v>34</v>
      </c>
      <c r="D326" s="18"/>
      <c r="K326" s="18"/>
      <c r="O326" s="1" t="s">
        <v>35</v>
      </c>
      <c r="P326" s="1" t="s">
        <v>36</v>
      </c>
    </row>
    <row r="327" spans="2:16" ht="21" hidden="1">
      <c r="B327" s="17" t="s">
        <v>37</v>
      </c>
    </row>
    <row r="328" spans="2:16" ht="21" hidden="1">
      <c r="B328" s="17" t="s">
        <v>38</v>
      </c>
    </row>
    <row r="329" spans="2:16" ht="21" hidden="1">
      <c r="B329" s="17" t="s">
        <v>39</v>
      </c>
    </row>
    <row r="330" spans="2:16">
      <c r="B330" s="17" t="s">
        <v>40</v>
      </c>
      <c r="D330" s="1">
        <v>99</v>
      </c>
      <c r="G330" s="14">
        <f>IF('Базовые цены с учетом расхода'!N21&gt;0,'Базовые цены с учетом расхода'!N21,IF('Базовые цены с учетом расхода'!N21&lt;0,'Базовые цены с учетом расхода'!N21,""))</f>
        <v>50</v>
      </c>
      <c r="K330" s="1">
        <v>99</v>
      </c>
      <c r="L330" s="14">
        <f>IF('Текущие цены с учетом расхода'!N21&gt;0,'Текущие цены с учетом расхода'!N21,IF('Текущие цены с учетом расхода'!N21&lt;0,'Текущие цены с учетом расхода'!N21,""))</f>
        <v>1042</v>
      </c>
      <c r="P330" s="5" t="s">
        <v>41</v>
      </c>
    </row>
    <row r="331" spans="2:16" hidden="1">
      <c r="B331" s="17" t="s">
        <v>42</v>
      </c>
      <c r="D331" s="1">
        <v>99</v>
      </c>
      <c r="G331" s="14">
        <f>IF('Базовые цены с учетом расхода'!P21&gt;0,'Базовые цены с учетом расхода'!P21,IF('Базовые цены с учетом расхода'!P21&lt;0,'Базовые цены с учетом расхода'!P21,""))</f>
        <v>51</v>
      </c>
      <c r="K331" s="1">
        <v>99</v>
      </c>
      <c r="L331" s="14">
        <f>IF('Текущие цены с учетом расхода'!P21&gt;0,'Текущие цены с учетом расхода'!P21,IF('Текущие цены с учетом расхода'!P21&lt;0,'Текущие цены с учетом расхода'!P21,""))</f>
        <v>1042</v>
      </c>
      <c r="P331" s="5" t="s">
        <v>43</v>
      </c>
    </row>
    <row r="332" spans="2:16" hidden="1">
      <c r="B332" s="17" t="s">
        <v>44</v>
      </c>
      <c r="G332" s="14" t="str">
        <f>IF('Базовые цены с учетом расхода'!Q21&gt;0,'Базовые цены с учетом расхода'!Q21,IF('Базовые цены с учетом расхода'!Q21&lt;0,'Базовые цены с учетом расхода'!Q21,""))</f>
        <v/>
      </c>
      <c r="L332" s="14" t="str">
        <f>IF('Текущие цены с учетом расхода'!Q21&gt;0,'Текущие цены с учетом расхода'!Q21,IF('Текущие цены с учетом расхода'!Q21&lt;0,'Текущие цены с учетом расхода'!Q21,""))</f>
        <v/>
      </c>
      <c r="P332" s="5" t="s">
        <v>45</v>
      </c>
    </row>
    <row r="333" spans="2:16" ht="21">
      <c r="B333" s="17" t="s">
        <v>46</v>
      </c>
      <c r="D333" s="1">
        <v>60</v>
      </c>
      <c r="G333" s="14">
        <f>IF('Базовые цены с учетом расхода'!O21&gt;0,'Базовые цены с учетом расхода'!O21,IF('Базовые цены с учетом расхода'!O21&lt;0,'Базовые цены с учетом расхода'!O21,""))</f>
        <v>31</v>
      </c>
      <c r="K333" s="1">
        <v>60</v>
      </c>
      <c r="L333" s="14">
        <f>IF('Текущие цены с учетом расхода'!O21&gt;0,'Текущие цены с учетом расхода'!O21,IF('Текущие цены с учетом расхода'!O21&lt;0,'Текущие цены с учетом расхода'!O21,""))</f>
        <v>632</v>
      </c>
      <c r="P333" s="5" t="s">
        <v>47</v>
      </c>
    </row>
    <row r="334" spans="2:16" hidden="1">
      <c r="B334" s="17" t="s">
        <v>48</v>
      </c>
      <c r="D334" s="1">
        <v>60</v>
      </c>
      <c r="G334" s="14">
        <f>IF('Базовые цены с учетом расхода'!R21&gt;0,'Базовые цены с учетом расхода'!R21,IF('Базовые цены с учетом расхода'!R21&lt;0,'Базовые цены с учетом расхода'!R21,""))</f>
        <v>31</v>
      </c>
      <c r="K334" s="1">
        <v>60</v>
      </c>
      <c r="L334" s="14">
        <f>IF('Текущие цены с учетом расхода'!R21&gt;0,'Текущие цены с учетом расхода'!R21,IF('Текущие цены с учетом расхода'!R21&lt;0,'Текущие цены с учетом расхода'!R21,""))</f>
        <v>632</v>
      </c>
      <c r="P334" s="5" t="s">
        <v>49</v>
      </c>
    </row>
    <row r="335" spans="2:16" hidden="1">
      <c r="B335" s="17" t="s">
        <v>50</v>
      </c>
      <c r="G335" s="14" t="str">
        <f>IF('Базовые цены с учетом расхода'!S21&gt;0,'Базовые цены с учетом расхода'!S21,IF('Базовые цены с учетом расхода'!S21&lt;0,'Базовые цены с учетом расхода'!S21,""))</f>
        <v/>
      </c>
      <c r="L335" s="14" t="str">
        <f>IF('Текущие цены с учетом расхода'!S21&gt;0,'Текущие цены с учетом расхода'!S21,IF('Текущие цены с учетом расхода'!S21&lt;0,'Текущие цены с учетом расхода'!S21,""))</f>
        <v/>
      </c>
      <c r="P335" s="5" t="s">
        <v>51</v>
      </c>
    </row>
    <row r="336" spans="2:16">
      <c r="B336" s="17" t="s">
        <v>52</v>
      </c>
      <c r="G336" s="14">
        <f>ROUND(IF(G319="",0,G319)+IF(G330="",0,G330)+IF(G333="",0,G333),0)</f>
        <v>142</v>
      </c>
      <c r="L336" s="14">
        <f>ROUND(IF(L319="",0,L319)+IF(L330="",0,L330)+IF(L333="",0,L333),0)</f>
        <v>2758</v>
      </c>
    </row>
    <row r="337" spans="1:16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</row>
    <row r="338" spans="1:16">
      <c r="A338" s="6" t="s">
        <v>129</v>
      </c>
      <c r="B338" s="48" t="s">
        <v>118</v>
      </c>
      <c r="C338" s="1">
        <v>0.79</v>
      </c>
      <c r="D338" s="12">
        <f>'Базовые цены за единицу'!B22</f>
        <v>1095.05</v>
      </c>
      <c r="E338" s="13">
        <f>'Базовые цены за единицу'!C22</f>
        <v>344.56</v>
      </c>
      <c r="F338" s="13">
        <f>'Базовые цены за единицу'!D22</f>
        <v>592.51</v>
      </c>
      <c r="G338" s="14">
        <f>'Базовые цены с учетом расхода'!B22</f>
        <v>865</v>
      </c>
      <c r="H338" s="15">
        <f>'Базовые цены с учетом расхода'!C22</f>
        <v>272</v>
      </c>
      <c r="I338" s="15">
        <f>'Базовые цены с учетом расхода'!D22</f>
        <v>468</v>
      </c>
      <c r="J338" s="16">
        <v>20.63</v>
      </c>
      <c r="K338" s="16">
        <v>5.9</v>
      </c>
      <c r="L338" s="14">
        <f>'Текущие цены с учетом расхода'!B22</f>
        <v>9219</v>
      </c>
      <c r="M338" s="15">
        <f>'Текущие цены с учетом расхода'!C22</f>
        <v>5616</v>
      </c>
      <c r="N338" s="15">
        <f>'Текущие цены с учетом расхода'!D22</f>
        <v>2762</v>
      </c>
    </row>
    <row r="339" spans="1:16" ht="55.15" customHeight="1">
      <c r="B339" s="43"/>
      <c r="E339" s="12">
        <f>'Базовые цены за единицу'!F22</f>
        <v>157.97999999999999</v>
      </c>
      <c r="F339" s="12">
        <f>'Базовые цены за единицу'!E22</f>
        <v>45.19</v>
      </c>
      <c r="H339" s="14">
        <f>'Базовые цены с учетом расхода'!F22</f>
        <v>125</v>
      </c>
      <c r="I339" s="14">
        <f>'Базовые цены с учетом расхода'!E22</f>
        <v>36</v>
      </c>
      <c r="J339" s="16">
        <v>6.74</v>
      </c>
      <c r="K339" s="16">
        <v>20.63</v>
      </c>
      <c r="M339" s="14">
        <f>'Текущие цены с учетом расхода'!F22</f>
        <v>841</v>
      </c>
      <c r="N339" s="14">
        <f>'Текущие цены с учетом расхода'!E22</f>
        <v>736</v>
      </c>
    </row>
    <row r="340" spans="1:16">
      <c r="B340" s="20" t="s">
        <v>55</v>
      </c>
    </row>
    <row r="341" spans="1:16" hidden="1">
      <c r="B341" s="17" t="s">
        <v>29</v>
      </c>
      <c r="G341" s="1">
        <v>272</v>
      </c>
      <c r="L341" s="1">
        <v>5616</v>
      </c>
    </row>
    <row r="342" spans="1:16" hidden="1">
      <c r="B342" s="17" t="s">
        <v>30</v>
      </c>
      <c r="G342" s="1">
        <v>468</v>
      </c>
      <c r="L342" s="1">
        <v>2762</v>
      </c>
    </row>
    <row r="343" spans="1:16" hidden="1">
      <c r="B343" s="17" t="s">
        <v>31</v>
      </c>
      <c r="G343" s="1">
        <v>36</v>
      </c>
      <c r="L343" s="1">
        <v>736</v>
      </c>
    </row>
    <row r="344" spans="1:16" hidden="1">
      <c r="B344" s="17" t="s">
        <v>32</v>
      </c>
      <c r="G344" s="1">
        <v>125</v>
      </c>
      <c r="L344" s="1">
        <v>841</v>
      </c>
    </row>
    <row r="345" spans="1:16" ht="31.5" hidden="1">
      <c r="B345" s="17" t="s">
        <v>33</v>
      </c>
    </row>
    <row r="346" spans="1:16" ht="21" hidden="1">
      <c r="B346" s="17" t="s">
        <v>34</v>
      </c>
      <c r="D346" s="18"/>
      <c r="K346" s="18"/>
      <c r="O346" s="1" t="s">
        <v>35</v>
      </c>
      <c r="P346" s="1" t="s">
        <v>36</v>
      </c>
    </row>
    <row r="347" spans="1:16" ht="21" hidden="1">
      <c r="B347" s="17" t="s">
        <v>37</v>
      </c>
    </row>
    <row r="348" spans="1:16" ht="21" hidden="1">
      <c r="B348" s="17" t="s">
        <v>38</v>
      </c>
    </row>
    <row r="349" spans="1:16" ht="21" hidden="1">
      <c r="B349" s="17" t="s">
        <v>39</v>
      </c>
    </row>
    <row r="350" spans="1:16">
      <c r="B350" s="17" t="s">
        <v>40</v>
      </c>
      <c r="D350" s="1">
        <v>81</v>
      </c>
      <c r="G350" s="14">
        <f>IF('Базовые цены с учетом расхода'!N22&gt;0,'Базовые цены с учетом расхода'!N22,IF('Базовые цены с учетом расхода'!N22&lt;0,'Базовые цены с учетом расхода'!N22,""))</f>
        <v>249</v>
      </c>
      <c r="K350" s="1">
        <v>81</v>
      </c>
      <c r="L350" s="14">
        <f>IF('Текущие цены с учетом расхода'!N22&gt;0,'Текущие цены с учетом расхода'!N22,IF('Текущие цены с учетом расхода'!N22&lt;0,'Текущие цены с учетом расхода'!N22,""))</f>
        <v>5145</v>
      </c>
      <c r="P350" s="5" t="s">
        <v>41</v>
      </c>
    </row>
    <row r="351" spans="1:16" hidden="1">
      <c r="B351" s="17" t="s">
        <v>42</v>
      </c>
      <c r="D351" s="1">
        <v>81</v>
      </c>
      <c r="G351" s="14">
        <f>IF('Базовые цены с учетом расхода'!P22&gt;0,'Базовые цены с учетом расхода'!P22,IF('Базовые цены с учетом расхода'!P22&lt;0,'Базовые цены с учетом расхода'!P22,""))</f>
        <v>220</v>
      </c>
      <c r="K351" s="1">
        <v>81</v>
      </c>
      <c r="L351" s="14">
        <f>IF('Текущие цены с учетом расхода'!P22&gt;0,'Текущие цены с учетом расхода'!P22,IF('Текущие цены с учетом расхода'!P22&lt;0,'Текущие цены с учетом расхода'!P22,""))</f>
        <v>4549</v>
      </c>
      <c r="P351" s="5" t="s">
        <v>43</v>
      </c>
    </row>
    <row r="352" spans="1:16" hidden="1">
      <c r="B352" s="17" t="s">
        <v>44</v>
      </c>
      <c r="D352" s="1">
        <v>81</v>
      </c>
      <c r="G352" s="14">
        <f>IF('Базовые цены с учетом расхода'!Q22&gt;0,'Базовые цены с учетом расхода'!Q22,IF('Базовые цены с учетом расхода'!Q22&lt;0,'Базовые цены с учетом расхода'!Q22,""))</f>
        <v>29</v>
      </c>
      <c r="K352" s="1">
        <v>81</v>
      </c>
      <c r="L352" s="14">
        <f>IF('Текущие цены с учетом расхода'!Q22&gt;0,'Текущие цены с учетом расхода'!Q22,IF('Текущие цены с учетом расхода'!Q22&lt;0,'Текущие цены с учетом расхода'!Q22,""))</f>
        <v>597</v>
      </c>
      <c r="P352" s="5" t="s">
        <v>45</v>
      </c>
    </row>
    <row r="353" spans="1:16" ht="21">
      <c r="B353" s="17" t="s">
        <v>46</v>
      </c>
      <c r="D353" s="1">
        <v>72</v>
      </c>
      <c r="G353" s="14">
        <f>IF('Базовые цены с учетом расхода'!O22&gt;0,'Базовые цены с учетом расхода'!O22,IF('Базовые цены с учетом расхода'!O22&lt;0,'Базовые цены с учетом расхода'!O22,""))</f>
        <v>222</v>
      </c>
      <c r="K353" s="1">
        <v>72</v>
      </c>
      <c r="L353" s="14">
        <f>IF('Текущие цены с учетом расхода'!O22&gt;0,'Текущие цены с учетом расхода'!O22,IF('Текущие цены с учетом расхода'!O22&lt;0,'Текущие цены с учетом расхода'!O22,""))</f>
        <v>4573</v>
      </c>
      <c r="P353" s="5" t="s">
        <v>47</v>
      </c>
    </row>
    <row r="354" spans="1:16" hidden="1">
      <c r="B354" s="17" t="s">
        <v>48</v>
      </c>
      <c r="D354" s="1">
        <v>72</v>
      </c>
      <c r="G354" s="14">
        <f>IF('Базовые цены с учетом расхода'!R22&gt;0,'Базовые цены с учетом расхода'!R22,IF('Базовые цены с учетом расхода'!R22&lt;0,'Базовые цены с учетом расхода'!R22,""))</f>
        <v>196</v>
      </c>
      <c r="K354" s="1">
        <v>72</v>
      </c>
      <c r="L354" s="14">
        <f>IF('Текущие цены с учетом расхода'!R22&gt;0,'Текущие цены с учетом расхода'!R22,IF('Текущие цены с учетом расхода'!R22&lt;0,'Текущие цены с учетом расхода'!R22,""))</f>
        <v>4043</v>
      </c>
      <c r="P354" s="5" t="s">
        <v>49</v>
      </c>
    </row>
    <row r="355" spans="1:16" hidden="1">
      <c r="B355" s="17" t="s">
        <v>50</v>
      </c>
      <c r="D355" s="1">
        <v>72</v>
      </c>
      <c r="G355" s="14">
        <f>IF('Базовые цены с учетом расхода'!S22&gt;0,'Базовые цены с учетом расхода'!S22,IF('Базовые цены с учетом расхода'!S22&lt;0,'Базовые цены с учетом расхода'!S22,""))</f>
        <v>26</v>
      </c>
      <c r="K355" s="1">
        <v>72</v>
      </c>
      <c r="L355" s="14">
        <f>IF('Текущие цены с учетом расхода'!S22&gt;0,'Текущие цены с учетом расхода'!S22,IF('Текущие цены с учетом расхода'!S22&lt;0,'Текущие цены с учетом расхода'!S22,""))</f>
        <v>530</v>
      </c>
      <c r="P355" s="5" t="s">
        <v>51</v>
      </c>
    </row>
    <row r="356" spans="1:16">
      <c r="B356" s="17" t="s">
        <v>52</v>
      </c>
      <c r="G356" s="14">
        <f>ROUND(IF(G338="",0,G338)+IF(G350="",0,G350)+IF(G353="",0,G353),0)</f>
        <v>1336</v>
      </c>
      <c r="L356" s="14">
        <f>ROUND(IF(L338="",0,L338)+IF(L350="",0,L350)+IF(L353="",0,L353),0)</f>
        <v>18937</v>
      </c>
    </row>
    <row r="357" spans="1:16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</row>
    <row r="358" spans="1:16">
      <c r="A358" s="6" t="s">
        <v>130</v>
      </c>
      <c r="B358" s="48" t="s">
        <v>120</v>
      </c>
      <c r="C358" s="1">
        <v>0.67300000000000004</v>
      </c>
      <c r="D358" s="12">
        <f>'Базовые цены за единицу'!B23</f>
        <v>10945.3</v>
      </c>
      <c r="E358" s="13">
        <f>'Базовые цены за единицу'!C23</f>
        <v>0</v>
      </c>
      <c r="F358" s="13">
        <f>'Базовые цены за единицу'!D23</f>
        <v>0</v>
      </c>
      <c r="G358" s="14">
        <f>'Базовые цены с учетом расхода'!B23</f>
        <v>7366</v>
      </c>
      <c r="H358" s="15">
        <f>'Базовые цены с учетом расхода'!C23</f>
        <v>0</v>
      </c>
      <c r="I358" s="15">
        <f>'Базовые цены с учетом расхода'!D23</f>
        <v>0</v>
      </c>
      <c r="K358" s="16"/>
      <c r="L358" s="14">
        <f>'Текущие цены с учетом расхода'!B23</f>
        <v>36168</v>
      </c>
      <c r="M358" s="15">
        <f>'Текущие цены с учетом расхода'!C23</f>
        <v>0</v>
      </c>
      <c r="N358" s="15">
        <f>'Текущие цены с учетом расхода'!D23</f>
        <v>0</v>
      </c>
    </row>
    <row r="359" spans="1:16" ht="43.9" customHeight="1">
      <c r="B359" s="43"/>
      <c r="E359" s="12">
        <f>'Базовые цены за единицу'!F23</f>
        <v>10945.3</v>
      </c>
      <c r="F359" s="12">
        <f>'Базовые цены за единицу'!E23</f>
        <v>0</v>
      </c>
      <c r="H359" s="14">
        <f>'Базовые цены с учетом расхода'!F23</f>
        <v>7366</v>
      </c>
      <c r="I359" s="14">
        <f>'Базовые цены с учетом расхода'!E23</f>
        <v>0</v>
      </c>
      <c r="J359" s="16">
        <v>4.91</v>
      </c>
      <c r="M359" s="14">
        <f>'Текущие цены с учетом расхода'!F23</f>
        <v>36168</v>
      </c>
      <c r="N359" s="14">
        <f>'Текущие цены с учетом расхода'!E23</f>
        <v>0</v>
      </c>
    </row>
    <row r="360" spans="1:16" hidden="1">
      <c r="B360" s="17" t="s">
        <v>29</v>
      </c>
    </row>
    <row r="361" spans="1:16" hidden="1">
      <c r="B361" s="17" t="s">
        <v>30</v>
      </c>
    </row>
    <row r="362" spans="1:16" hidden="1">
      <c r="B362" s="17" t="s">
        <v>31</v>
      </c>
    </row>
    <row r="363" spans="1:16" hidden="1">
      <c r="B363" s="17" t="s">
        <v>32</v>
      </c>
      <c r="G363" s="1">
        <v>7366</v>
      </c>
      <c r="L363" s="1">
        <v>36168</v>
      </c>
    </row>
    <row r="364" spans="1:16" ht="31.5" hidden="1">
      <c r="B364" s="17" t="s">
        <v>33</v>
      </c>
    </row>
    <row r="365" spans="1:16" ht="21" hidden="1">
      <c r="B365" s="17" t="s">
        <v>34</v>
      </c>
      <c r="D365" s="18"/>
      <c r="K365" s="18"/>
      <c r="O365" s="1" t="s">
        <v>35</v>
      </c>
      <c r="P365" s="1" t="s">
        <v>36</v>
      </c>
    </row>
    <row r="366" spans="1:16" ht="21" hidden="1">
      <c r="B366" s="17" t="s">
        <v>37</v>
      </c>
    </row>
    <row r="367" spans="1:16" ht="21" hidden="1">
      <c r="B367" s="17" t="s">
        <v>38</v>
      </c>
    </row>
    <row r="368" spans="1:16" ht="21" hidden="1">
      <c r="B368" s="17" t="s">
        <v>39</v>
      </c>
    </row>
    <row r="369" spans="1:16" hidden="1">
      <c r="B369" s="17" t="s">
        <v>40</v>
      </c>
      <c r="G369" s="14" t="str">
        <f>IF('Базовые цены с учетом расхода'!N23&gt;0,'Базовые цены с учетом расхода'!N23,IF('Базовые цены с учетом расхода'!N23&lt;0,'Базовые цены с учетом расхода'!N23,""))</f>
        <v/>
      </c>
      <c r="L369" s="14" t="str">
        <f>IF('Текущие цены с учетом расхода'!N23&gt;0,'Текущие цены с учетом расхода'!N23,IF('Текущие цены с учетом расхода'!N23&lt;0,'Текущие цены с учетом расхода'!N23,""))</f>
        <v/>
      </c>
      <c r="P369" s="5" t="s">
        <v>41</v>
      </c>
    </row>
    <row r="370" spans="1:16" hidden="1">
      <c r="B370" s="17" t="s">
        <v>42</v>
      </c>
      <c r="G370" s="14" t="str">
        <f>IF('Базовые цены с учетом расхода'!P23&gt;0,'Базовые цены с учетом расхода'!P23,IF('Базовые цены с учетом расхода'!P23&lt;0,'Базовые цены с учетом расхода'!P23,""))</f>
        <v/>
      </c>
      <c r="L370" s="14" t="str">
        <f>IF('Текущие цены с учетом расхода'!P23&gt;0,'Текущие цены с учетом расхода'!P23,IF('Текущие цены с учетом расхода'!P23&lt;0,'Текущие цены с учетом расхода'!P23,""))</f>
        <v/>
      </c>
      <c r="P370" s="5" t="s">
        <v>43</v>
      </c>
    </row>
    <row r="371" spans="1:16" hidden="1">
      <c r="B371" s="17" t="s">
        <v>44</v>
      </c>
      <c r="G371" s="14" t="str">
        <f>IF('Базовые цены с учетом расхода'!Q23&gt;0,'Базовые цены с учетом расхода'!Q23,IF('Базовые цены с учетом расхода'!Q23&lt;0,'Базовые цены с учетом расхода'!Q23,""))</f>
        <v/>
      </c>
      <c r="L371" s="14" t="str">
        <f>IF('Текущие цены с учетом расхода'!Q23&gt;0,'Текущие цены с учетом расхода'!Q23,IF('Текущие цены с учетом расхода'!Q23&lt;0,'Текущие цены с учетом расхода'!Q23,""))</f>
        <v/>
      </c>
      <c r="P371" s="5" t="s">
        <v>45</v>
      </c>
    </row>
    <row r="372" spans="1:16" ht="21" hidden="1">
      <c r="B372" s="17" t="s">
        <v>46</v>
      </c>
      <c r="G372" s="14" t="str">
        <f>IF('Базовые цены с учетом расхода'!O23&gt;0,'Базовые цены с учетом расхода'!O23,IF('Базовые цены с учетом расхода'!O23&lt;0,'Базовые цены с учетом расхода'!O23,""))</f>
        <v/>
      </c>
      <c r="L372" s="14" t="str">
        <f>IF('Текущие цены с учетом расхода'!O23&gt;0,'Текущие цены с учетом расхода'!O23,IF('Текущие цены с учетом расхода'!O23&lt;0,'Текущие цены с учетом расхода'!O23,""))</f>
        <v/>
      </c>
      <c r="P372" s="5" t="s">
        <v>47</v>
      </c>
    </row>
    <row r="373" spans="1:16" hidden="1">
      <c r="B373" s="17" t="s">
        <v>48</v>
      </c>
      <c r="G373" s="14" t="str">
        <f>IF('Базовые цены с учетом расхода'!R23&gt;0,'Базовые цены с учетом расхода'!R23,IF('Базовые цены с учетом расхода'!R23&lt;0,'Базовые цены с учетом расхода'!R23,""))</f>
        <v/>
      </c>
      <c r="L373" s="14" t="str">
        <f>IF('Текущие цены с учетом расхода'!R23&gt;0,'Текущие цены с учетом расхода'!R23,IF('Текущие цены с учетом расхода'!R23&lt;0,'Текущие цены с учетом расхода'!R23,""))</f>
        <v/>
      </c>
      <c r="P373" s="5" t="s">
        <v>49</v>
      </c>
    </row>
    <row r="374" spans="1:16" hidden="1">
      <c r="B374" s="17" t="s">
        <v>50</v>
      </c>
      <c r="G374" s="14" t="str">
        <f>IF('Базовые цены с учетом расхода'!S23&gt;0,'Базовые цены с учетом расхода'!S23,IF('Базовые цены с учетом расхода'!S23&lt;0,'Базовые цены с учетом расхода'!S23,""))</f>
        <v/>
      </c>
      <c r="L374" s="14" t="str">
        <f>IF('Текущие цены с учетом расхода'!S23&gt;0,'Текущие цены с учетом расхода'!S23,IF('Текущие цены с учетом расхода'!S23&lt;0,'Текущие цены с учетом расхода'!S23,""))</f>
        <v/>
      </c>
      <c r="P374" s="5" t="s">
        <v>51</v>
      </c>
    </row>
    <row r="375" spans="1:16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</row>
    <row r="376" spans="1:16">
      <c r="A376" s="6" t="s">
        <v>131</v>
      </c>
      <c r="B376" s="48" t="s">
        <v>132</v>
      </c>
      <c r="C376" s="1">
        <v>0.2</v>
      </c>
      <c r="D376" s="12">
        <f>'Базовые цены за единицу'!B24</f>
        <v>6805.82</v>
      </c>
      <c r="E376" s="13">
        <f>'Базовые цены за единицу'!C24</f>
        <v>1192.01</v>
      </c>
      <c r="F376" s="13">
        <f>'Базовые цены за единицу'!D24</f>
        <v>8.59</v>
      </c>
      <c r="G376" s="14">
        <f>'Базовые цены с учетом расхода'!B24</f>
        <v>1361</v>
      </c>
      <c r="H376" s="15">
        <f>'Базовые цены с учетом расхода'!C24</f>
        <v>238</v>
      </c>
      <c r="I376" s="15">
        <f>'Базовые цены с учетом расхода'!D24</f>
        <v>2</v>
      </c>
      <c r="J376" s="16">
        <v>20.63</v>
      </c>
      <c r="K376" s="16">
        <v>9.66</v>
      </c>
      <c r="L376" s="14">
        <f>'Текущие цены с учетом расхода'!B24</f>
        <v>10473</v>
      </c>
      <c r="M376" s="15">
        <f>'Текущие цены с учетом расхода'!C24</f>
        <v>4918</v>
      </c>
      <c r="N376" s="15">
        <f>'Текущие цены с учетом расхода'!D24</f>
        <v>17</v>
      </c>
    </row>
    <row r="377" spans="1:16" ht="66" customHeight="1">
      <c r="B377" s="43"/>
      <c r="E377" s="12">
        <f>'Базовые цены за единицу'!F24</f>
        <v>5605.22</v>
      </c>
      <c r="F377" s="12">
        <f>'Базовые цены за единицу'!E24</f>
        <v>1.69</v>
      </c>
      <c r="H377" s="14">
        <f>'Базовые цены с учетом расхода'!F24</f>
        <v>1121</v>
      </c>
      <c r="I377" s="14">
        <f>'Базовые цены с учетом расхода'!E24</f>
        <v>0</v>
      </c>
      <c r="J377" s="16">
        <v>4.9400000000000004</v>
      </c>
      <c r="K377" s="16">
        <v>20.63</v>
      </c>
      <c r="M377" s="14">
        <f>'Текущие цены с учетом расхода'!F24</f>
        <v>5538</v>
      </c>
      <c r="N377" s="14">
        <f>'Текущие цены с учетом расхода'!E24</f>
        <v>7</v>
      </c>
    </row>
    <row r="378" spans="1:16" hidden="1">
      <c r="B378" s="17" t="s">
        <v>29</v>
      </c>
      <c r="G378" s="1">
        <v>238</v>
      </c>
      <c r="L378" s="1">
        <v>4918</v>
      </c>
    </row>
    <row r="379" spans="1:16" hidden="1">
      <c r="B379" s="17" t="s">
        <v>30</v>
      </c>
      <c r="G379" s="1">
        <v>2</v>
      </c>
      <c r="L379" s="1">
        <v>17</v>
      </c>
    </row>
    <row r="380" spans="1:16" hidden="1">
      <c r="B380" s="17" t="s">
        <v>31</v>
      </c>
      <c r="L380" s="1">
        <v>7</v>
      </c>
    </row>
    <row r="381" spans="1:16" hidden="1">
      <c r="B381" s="17" t="s">
        <v>32</v>
      </c>
      <c r="G381" s="1">
        <v>1121</v>
      </c>
      <c r="L381" s="1">
        <v>5538</v>
      </c>
    </row>
    <row r="382" spans="1:16" ht="31.5" hidden="1">
      <c r="B382" s="17" t="s">
        <v>33</v>
      </c>
    </row>
    <row r="383" spans="1:16" ht="21" hidden="1">
      <c r="B383" s="17" t="s">
        <v>34</v>
      </c>
      <c r="D383" s="18"/>
      <c r="K383" s="18"/>
      <c r="O383" s="1" t="s">
        <v>35</v>
      </c>
      <c r="P383" s="1" t="s">
        <v>36</v>
      </c>
    </row>
    <row r="384" spans="1:16" ht="21" hidden="1">
      <c r="B384" s="17" t="s">
        <v>37</v>
      </c>
    </row>
    <row r="385" spans="1:16" ht="21" hidden="1">
      <c r="B385" s="17" t="s">
        <v>38</v>
      </c>
    </row>
    <row r="386" spans="1:16" ht="21" hidden="1">
      <c r="B386" s="17" t="s">
        <v>39</v>
      </c>
    </row>
    <row r="387" spans="1:16">
      <c r="B387" s="17" t="s">
        <v>40</v>
      </c>
      <c r="D387" s="1">
        <v>83</v>
      </c>
      <c r="G387" s="14">
        <f>IF('Базовые цены с учетом расхода'!N24&gt;0,'Базовые цены с учетом расхода'!N24,IF('Базовые цены с учетом расхода'!N24&lt;0,'Базовые цены с учетом расхода'!N24,""))</f>
        <v>198</v>
      </c>
      <c r="K387" s="1">
        <v>83</v>
      </c>
      <c r="L387" s="14">
        <f>IF('Текущие цены с учетом расхода'!N24&gt;0,'Текущие цены с учетом расхода'!N24,IF('Текущие цены с учетом расхода'!N24&lt;0,'Текущие цены с учетом расхода'!N24,""))</f>
        <v>4088</v>
      </c>
      <c r="P387" s="5" t="s">
        <v>41</v>
      </c>
    </row>
    <row r="388" spans="1:16" hidden="1">
      <c r="B388" s="17" t="s">
        <v>42</v>
      </c>
      <c r="D388" s="1">
        <v>83</v>
      </c>
      <c r="G388" s="14">
        <f>IF('Базовые цены с учетом расхода'!P24&gt;0,'Базовые цены с учетом расхода'!P24,IF('Базовые цены с учетом расхода'!P24&lt;0,'Базовые цены с учетом расхода'!P24,""))</f>
        <v>198</v>
      </c>
      <c r="K388" s="1">
        <v>83</v>
      </c>
      <c r="L388" s="14">
        <f>IF('Текущие цены с учетом расхода'!P24&gt;0,'Текущие цены с учетом расхода'!P24,IF('Текущие цены с учетом расхода'!P24&lt;0,'Текущие цены с учетом расхода'!P24,""))</f>
        <v>4082</v>
      </c>
      <c r="P388" s="5" t="s">
        <v>43</v>
      </c>
    </row>
    <row r="389" spans="1:16" hidden="1">
      <c r="B389" s="17" t="s">
        <v>44</v>
      </c>
      <c r="G389" s="14" t="str">
        <f>IF('Базовые цены с учетом расхода'!Q24&gt;0,'Базовые цены с учетом расхода'!Q24,IF('Базовые цены с учетом расхода'!Q24&lt;0,'Базовые цены с учетом расхода'!Q24,""))</f>
        <v/>
      </c>
      <c r="K389" s="1">
        <v>83</v>
      </c>
      <c r="L389" s="14">
        <f>IF('Текущие цены с учетом расхода'!Q24&gt;0,'Текущие цены с учетом расхода'!Q24,IF('Текущие цены с учетом расхода'!Q24&lt;0,'Текущие цены с учетом расхода'!Q24,""))</f>
        <v>6</v>
      </c>
      <c r="P389" s="5" t="s">
        <v>45</v>
      </c>
    </row>
    <row r="390" spans="1:16" ht="21">
      <c r="B390" s="17" t="s">
        <v>46</v>
      </c>
      <c r="D390" s="1">
        <v>65</v>
      </c>
      <c r="G390" s="14">
        <f>IF('Базовые цены с учетом расхода'!O24&gt;0,'Базовые цены с учетом расхода'!O24,IF('Базовые цены с учетом расхода'!O24&lt;0,'Базовые цены с учетом расхода'!O24,""))</f>
        <v>155</v>
      </c>
      <c r="K390" s="1">
        <v>65</v>
      </c>
      <c r="L390" s="14">
        <f>IF('Текущие цены с учетом расхода'!O24&gt;0,'Текущие цены с учетом расхода'!O24,IF('Текущие цены с учетом расхода'!O24&lt;0,'Текущие цены с учетом расхода'!O24,""))</f>
        <v>3201</v>
      </c>
      <c r="P390" s="5" t="s">
        <v>47</v>
      </c>
    </row>
    <row r="391" spans="1:16" hidden="1">
      <c r="B391" s="17" t="s">
        <v>48</v>
      </c>
      <c r="D391" s="1">
        <v>65</v>
      </c>
      <c r="G391" s="14">
        <f>IF('Базовые цены с учетом расхода'!R24&gt;0,'Базовые цены с учетом расхода'!R24,IF('Базовые цены с учетом расхода'!R24&lt;0,'Базовые цены с учетом расхода'!R24,""))</f>
        <v>155</v>
      </c>
      <c r="K391" s="1">
        <v>65</v>
      </c>
      <c r="L391" s="14">
        <f>IF('Текущие цены с учетом расхода'!R24&gt;0,'Текущие цены с учетом расхода'!R24,IF('Текущие цены с учетом расхода'!R24&lt;0,'Текущие цены с учетом расхода'!R24,""))</f>
        <v>3197</v>
      </c>
      <c r="P391" s="5" t="s">
        <v>49</v>
      </c>
    </row>
    <row r="392" spans="1:16" hidden="1">
      <c r="B392" s="17" t="s">
        <v>50</v>
      </c>
      <c r="G392" s="14" t="str">
        <f>IF('Базовые цены с учетом расхода'!S24&gt;0,'Базовые цены с учетом расхода'!S24,IF('Базовые цены с учетом расхода'!S24&lt;0,'Базовые цены с учетом расхода'!S24,""))</f>
        <v/>
      </c>
      <c r="K392" s="1">
        <v>65</v>
      </c>
      <c r="L392" s="14">
        <f>IF('Текущие цены с учетом расхода'!S24&gt;0,'Текущие цены с учетом расхода'!S24,IF('Текущие цены с учетом расхода'!S24&lt;0,'Текущие цены с учетом расхода'!S24,""))</f>
        <v>5</v>
      </c>
      <c r="P392" s="5" t="s">
        <v>51</v>
      </c>
    </row>
    <row r="393" spans="1:16">
      <c r="B393" s="17" t="s">
        <v>52</v>
      </c>
      <c r="G393" s="14">
        <f>ROUND(IF(G376="",0,G376)+IF(G387="",0,G387)+IF(G390="",0,G390),0)</f>
        <v>1714</v>
      </c>
      <c r="L393" s="14">
        <f>ROUND(IF(L376="",0,L376)+IF(L387="",0,L387)+IF(L390="",0,L390),0)</f>
        <v>17762</v>
      </c>
    </row>
    <row r="394" spans="1:16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</row>
    <row r="395" spans="1:16">
      <c r="A395" s="6" t="s">
        <v>133</v>
      </c>
      <c r="B395" s="48" t="s">
        <v>134</v>
      </c>
      <c r="C395" s="1">
        <v>0.81</v>
      </c>
      <c r="D395" s="12">
        <f>'Базовые цены за единицу'!B25</f>
        <v>117.83</v>
      </c>
      <c r="E395" s="13">
        <f>'Базовые цены за единицу'!C25</f>
        <v>117.83</v>
      </c>
      <c r="F395" s="13">
        <f>'Базовые цены за единицу'!D25</f>
        <v>0</v>
      </c>
      <c r="G395" s="14">
        <f>'Базовые цены с учетом расхода'!B25</f>
        <v>95</v>
      </c>
      <c r="H395" s="15">
        <f>'Базовые цены с учетом расхода'!C25</f>
        <v>95</v>
      </c>
      <c r="I395" s="15">
        <f>'Базовые цены с учетом расхода'!D25</f>
        <v>0</v>
      </c>
      <c r="J395" s="16">
        <v>20.63</v>
      </c>
      <c r="K395" s="16">
        <v>1</v>
      </c>
      <c r="L395" s="14">
        <f>'Текущие цены с учетом расхода'!B25</f>
        <v>1969</v>
      </c>
      <c r="M395" s="15">
        <f>'Текущие цены с учетом расхода'!C25</f>
        <v>1969</v>
      </c>
      <c r="N395" s="15">
        <f>'Текущие цены с учетом расхода'!D25</f>
        <v>0</v>
      </c>
    </row>
    <row r="396" spans="1:16" ht="55.15" customHeight="1">
      <c r="B396" s="43"/>
      <c r="E396" s="12">
        <f>'Базовые цены за единицу'!F25</f>
        <v>0</v>
      </c>
      <c r="F396" s="12">
        <f>'Базовые цены за единицу'!E25</f>
        <v>0</v>
      </c>
      <c r="H396" s="14">
        <f>'Базовые цены с учетом расхода'!F25</f>
        <v>0</v>
      </c>
      <c r="I396" s="14">
        <f>'Базовые цены с учетом расхода'!E25</f>
        <v>0</v>
      </c>
      <c r="J396" s="16">
        <v>1</v>
      </c>
      <c r="K396" s="16">
        <v>1</v>
      </c>
      <c r="M396" s="14">
        <f>'Текущие цены с учетом расхода'!F25</f>
        <v>0</v>
      </c>
      <c r="N396" s="14">
        <f>'Текущие цены с учетом расхода'!E25</f>
        <v>0</v>
      </c>
    </row>
    <row r="397" spans="1:16">
      <c r="B397" s="20" t="s">
        <v>135</v>
      </c>
    </row>
    <row r="398" spans="1:16" hidden="1">
      <c r="B398" s="17" t="s">
        <v>29</v>
      </c>
      <c r="G398" s="1">
        <v>95</v>
      </c>
      <c r="L398" s="1">
        <v>1969</v>
      </c>
    </row>
    <row r="399" spans="1:16" hidden="1">
      <c r="B399" s="17" t="s">
        <v>30</v>
      </c>
    </row>
    <row r="400" spans="1:16" hidden="1">
      <c r="B400" s="17" t="s">
        <v>31</v>
      </c>
    </row>
    <row r="401" spans="1:16" hidden="1">
      <c r="B401" s="17" t="s">
        <v>32</v>
      </c>
    </row>
    <row r="402" spans="1:16" ht="31.5" hidden="1">
      <c r="B402" s="17" t="s">
        <v>33</v>
      </c>
    </row>
    <row r="403" spans="1:16" ht="21" hidden="1">
      <c r="B403" s="17" t="s">
        <v>34</v>
      </c>
      <c r="D403" s="18"/>
      <c r="K403" s="18"/>
      <c r="O403" s="1" t="s">
        <v>35</v>
      </c>
      <c r="P403" s="1" t="s">
        <v>36</v>
      </c>
    </row>
    <row r="404" spans="1:16" ht="21" hidden="1">
      <c r="B404" s="17" t="s">
        <v>37</v>
      </c>
    </row>
    <row r="405" spans="1:16" ht="21" hidden="1">
      <c r="B405" s="17" t="s">
        <v>38</v>
      </c>
    </row>
    <row r="406" spans="1:16" ht="21" hidden="1">
      <c r="B406" s="17" t="s">
        <v>39</v>
      </c>
    </row>
    <row r="407" spans="1:16">
      <c r="B407" s="17" t="s">
        <v>40</v>
      </c>
      <c r="D407" s="1">
        <v>95</v>
      </c>
      <c r="G407" s="14">
        <f>IF('Базовые цены с учетом расхода'!N25&gt;0,'Базовые цены с учетом расхода'!N25,IF('Базовые цены с учетом расхода'!N25&lt;0,'Базовые цены с учетом расхода'!N25,""))</f>
        <v>90</v>
      </c>
      <c r="K407" s="1">
        <v>95</v>
      </c>
      <c r="L407" s="14">
        <f>IF('Текущие цены с учетом расхода'!N25&gt;0,'Текущие цены с учетом расхода'!N25,IF('Текущие цены с учетом расхода'!N25&lt;0,'Текущие цены с учетом расхода'!N25,""))</f>
        <v>1871</v>
      </c>
      <c r="P407" s="5" t="s">
        <v>41</v>
      </c>
    </row>
    <row r="408" spans="1:16" hidden="1">
      <c r="B408" s="17" t="s">
        <v>42</v>
      </c>
      <c r="D408" s="1">
        <v>95</v>
      </c>
      <c r="G408" s="14">
        <f>IF('Базовые цены с учетом расхода'!P25&gt;0,'Базовые цены с учетом расхода'!P25,IF('Базовые цены с учетом расхода'!P25&lt;0,'Базовые цены с учетом расхода'!P25,""))</f>
        <v>91</v>
      </c>
      <c r="K408" s="1">
        <v>95</v>
      </c>
      <c r="L408" s="14">
        <f>IF('Текущие цены с учетом расхода'!P25&gt;0,'Текущие цены с учетом расхода'!P25,IF('Текущие цены с учетом расхода'!P25&lt;0,'Текущие цены с учетом расхода'!P25,""))</f>
        <v>1871</v>
      </c>
      <c r="P408" s="5" t="s">
        <v>43</v>
      </c>
    </row>
    <row r="409" spans="1:16" hidden="1">
      <c r="B409" s="17" t="s">
        <v>44</v>
      </c>
      <c r="G409" s="14" t="str">
        <f>IF('Базовые цены с учетом расхода'!Q25&gt;0,'Базовые цены с учетом расхода'!Q25,IF('Базовые цены с учетом расхода'!Q25&lt;0,'Базовые цены с учетом расхода'!Q25,""))</f>
        <v/>
      </c>
      <c r="L409" s="14" t="str">
        <f>IF('Текущие цены с учетом расхода'!Q25&gt;0,'Текущие цены с учетом расхода'!Q25,IF('Текущие цены с учетом расхода'!Q25&lt;0,'Текущие цены с учетом расхода'!Q25,""))</f>
        <v/>
      </c>
      <c r="P409" s="5" t="s">
        <v>45</v>
      </c>
    </row>
    <row r="410" spans="1:16" ht="21">
      <c r="B410" s="17" t="s">
        <v>46</v>
      </c>
      <c r="D410" s="1">
        <v>47</v>
      </c>
      <c r="G410" s="14">
        <f>IF('Базовые цены с учетом расхода'!O25&gt;0,'Базовые цены с учетом расхода'!O25,IF('Базовые цены с учетом расхода'!O25&lt;0,'Базовые цены с учетом расхода'!O25,""))</f>
        <v>45</v>
      </c>
      <c r="K410" s="1">
        <v>47</v>
      </c>
      <c r="L410" s="14">
        <f>IF('Текущие цены с учетом расхода'!O25&gt;0,'Текущие цены с учетом расхода'!O25,IF('Текущие цены с учетом расхода'!O25&lt;0,'Текущие цены с учетом расхода'!O25,""))</f>
        <v>925</v>
      </c>
      <c r="P410" s="5" t="s">
        <v>47</v>
      </c>
    </row>
    <row r="411" spans="1:16" hidden="1">
      <c r="B411" s="17" t="s">
        <v>48</v>
      </c>
      <c r="D411" s="1">
        <v>47</v>
      </c>
      <c r="G411" s="14">
        <f>IF('Базовые цены с учетом расхода'!R25&gt;0,'Базовые цены с учетом расхода'!R25,IF('Базовые цены с учетом расхода'!R25&lt;0,'Базовые цены с учетом расхода'!R25,""))</f>
        <v>45</v>
      </c>
      <c r="K411" s="1">
        <v>47</v>
      </c>
      <c r="L411" s="14">
        <f>IF('Текущие цены с учетом расхода'!R25&gt;0,'Текущие цены с учетом расхода'!R25,IF('Текущие цены с учетом расхода'!R25&lt;0,'Текущие цены с учетом расхода'!R25,""))</f>
        <v>925</v>
      </c>
      <c r="P411" s="5" t="s">
        <v>49</v>
      </c>
    </row>
    <row r="412" spans="1:16" hidden="1">
      <c r="B412" s="17" t="s">
        <v>50</v>
      </c>
      <c r="G412" s="14" t="str">
        <f>IF('Базовые цены с учетом расхода'!S25&gt;0,'Базовые цены с учетом расхода'!S25,IF('Базовые цены с учетом расхода'!S25&lt;0,'Базовые цены с учетом расхода'!S25,""))</f>
        <v/>
      </c>
      <c r="L412" s="14" t="str">
        <f>IF('Текущие цены с учетом расхода'!S25&gt;0,'Текущие цены с учетом расхода'!S25,IF('Текущие цены с учетом расхода'!S25&lt;0,'Текущие цены с учетом расхода'!S25,""))</f>
        <v/>
      </c>
      <c r="P412" s="5" t="s">
        <v>51</v>
      </c>
    </row>
    <row r="413" spans="1:16">
      <c r="B413" s="17" t="s">
        <v>52</v>
      </c>
      <c r="G413" s="14">
        <f>ROUND(IF(G395="",0,G395)+IF(G407="",0,G407)+IF(G410="",0,G410),0)</f>
        <v>230</v>
      </c>
      <c r="L413" s="14">
        <f>ROUND(IF(L395="",0,L395)+IF(L407="",0,L407)+IF(L410="",0,L410),0)</f>
        <v>4765</v>
      </c>
    </row>
    <row r="414" spans="1:16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</row>
    <row r="415" spans="1:16">
      <c r="A415" s="6" t="s">
        <v>136</v>
      </c>
      <c r="B415" s="48" t="s">
        <v>137</v>
      </c>
      <c r="C415" s="1">
        <v>0.81</v>
      </c>
      <c r="D415" s="12">
        <f>'Базовые цены за единицу'!B26</f>
        <v>403.56</v>
      </c>
      <c r="E415" s="13">
        <f>'Базовые цены за единицу'!C26</f>
        <v>76.8</v>
      </c>
      <c r="F415" s="13">
        <f>'Базовые цены за единицу'!D26</f>
        <v>3.83</v>
      </c>
      <c r="G415" s="14">
        <f>'Базовые цены с учетом расхода'!B26</f>
        <v>327</v>
      </c>
      <c r="H415" s="15">
        <f>'Базовые цены с учетом расхода'!C26</f>
        <v>62</v>
      </c>
      <c r="I415" s="15">
        <f>'Базовые цены с учетом расхода'!D26</f>
        <v>3</v>
      </c>
      <c r="J415" s="16">
        <v>20.63</v>
      </c>
      <c r="K415" s="16">
        <v>9.0500000000000007</v>
      </c>
      <c r="L415" s="14">
        <f>'Текущие цены с учетом расхода'!B26</f>
        <v>2823</v>
      </c>
      <c r="M415" s="15">
        <f>'Текущие цены с учетом расхода'!C26</f>
        <v>1283</v>
      </c>
      <c r="N415" s="15">
        <f>'Текущие цены с учетом расхода'!D26</f>
        <v>28</v>
      </c>
    </row>
    <row r="416" spans="1:16" ht="43.9" customHeight="1">
      <c r="B416" s="43"/>
      <c r="E416" s="12">
        <f>'Базовые цены за единицу'!F26</f>
        <v>322.93</v>
      </c>
      <c r="F416" s="12">
        <f>'Базовые цены за единицу'!E26</f>
        <v>0.16</v>
      </c>
      <c r="H416" s="14">
        <f>'Базовые цены с учетом расхода'!F26</f>
        <v>262</v>
      </c>
      <c r="I416" s="14">
        <f>'Базовые цены с учетом расхода'!E26</f>
        <v>0</v>
      </c>
      <c r="J416" s="16">
        <v>5.78</v>
      </c>
      <c r="K416" s="16">
        <v>20.63</v>
      </c>
      <c r="M416" s="14">
        <f>'Текущие цены с учетом расхода'!F26</f>
        <v>1512</v>
      </c>
      <c r="N416" s="14">
        <f>'Текущие цены с учетом расхода'!E26</f>
        <v>3</v>
      </c>
    </row>
    <row r="417" spans="2:16">
      <c r="B417" s="20" t="s">
        <v>55</v>
      </c>
    </row>
    <row r="418" spans="2:16" hidden="1">
      <c r="B418" s="17" t="s">
        <v>29</v>
      </c>
      <c r="G418" s="1">
        <v>62</v>
      </c>
      <c r="L418" s="1">
        <v>1283</v>
      </c>
    </row>
    <row r="419" spans="2:16" hidden="1">
      <c r="B419" s="17" t="s">
        <v>30</v>
      </c>
      <c r="G419" s="1">
        <v>3</v>
      </c>
      <c r="L419" s="1">
        <v>28</v>
      </c>
    </row>
    <row r="420" spans="2:16" hidden="1">
      <c r="B420" s="17" t="s">
        <v>31</v>
      </c>
      <c r="L420" s="1">
        <v>3</v>
      </c>
    </row>
    <row r="421" spans="2:16" hidden="1">
      <c r="B421" s="17" t="s">
        <v>32</v>
      </c>
      <c r="G421" s="1">
        <v>262</v>
      </c>
      <c r="L421" s="1">
        <v>1512</v>
      </c>
    </row>
    <row r="422" spans="2:16" ht="31.5" hidden="1">
      <c r="B422" s="17" t="s">
        <v>33</v>
      </c>
    </row>
    <row r="423" spans="2:16" ht="21" hidden="1">
      <c r="B423" s="17" t="s">
        <v>34</v>
      </c>
      <c r="D423" s="18"/>
      <c r="K423" s="18"/>
      <c r="O423" s="1" t="s">
        <v>35</v>
      </c>
      <c r="P423" s="1" t="s">
        <v>36</v>
      </c>
    </row>
    <row r="424" spans="2:16" ht="21" hidden="1">
      <c r="B424" s="17" t="s">
        <v>37</v>
      </c>
    </row>
    <row r="425" spans="2:16" ht="21" hidden="1">
      <c r="B425" s="17" t="s">
        <v>38</v>
      </c>
    </row>
    <row r="426" spans="2:16" ht="21" hidden="1">
      <c r="B426" s="17" t="s">
        <v>39</v>
      </c>
    </row>
    <row r="427" spans="2:16">
      <c r="B427" s="17" t="s">
        <v>40</v>
      </c>
      <c r="D427" s="1">
        <v>95</v>
      </c>
      <c r="G427" s="14">
        <f>IF('Базовые цены с учетом расхода'!N26&gt;0,'Базовые цены с учетом расхода'!N26,IF('Базовые цены с учетом расхода'!N26&lt;0,'Базовые цены с учетом расхода'!N26,""))</f>
        <v>59</v>
      </c>
      <c r="K427" s="1">
        <v>95</v>
      </c>
      <c r="L427" s="14">
        <f>IF('Текущие цены с учетом расхода'!N26&gt;0,'Текущие цены с учетом расхода'!N26,IF('Текущие цены с учетом расхода'!N26&lt;0,'Текущие цены с учетом расхода'!N26,""))</f>
        <v>1222</v>
      </c>
      <c r="P427" s="5" t="s">
        <v>41</v>
      </c>
    </row>
    <row r="428" spans="2:16" hidden="1">
      <c r="B428" s="17" t="s">
        <v>42</v>
      </c>
      <c r="D428" s="1">
        <v>95</v>
      </c>
      <c r="G428" s="14">
        <f>IF('Базовые цены с учетом расхода'!P26&gt;0,'Базовые цены с учетом расхода'!P26,IF('Базовые цены с учетом расхода'!P26&lt;0,'Базовые цены с учетом расхода'!P26,""))</f>
        <v>59</v>
      </c>
      <c r="K428" s="1">
        <v>95</v>
      </c>
      <c r="L428" s="14">
        <f>IF('Текущие цены с учетом расхода'!P26&gt;0,'Текущие цены с учетом расхода'!P26,IF('Текущие цены с учетом расхода'!P26&lt;0,'Текущие цены с учетом расхода'!P26,""))</f>
        <v>1219</v>
      </c>
      <c r="P428" s="5" t="s">
        <v>43</v>
      </c>
    </row>
    <row r="429" spans="2:16" hidden="1">
      <c r="B429" s="17" t="s">
        <v>44</v>
      </c>
      <c r="G429" s="14" t="str">
        <f>IF('Базовые цены с учетом расхода'!Q26&gt;0,'Базовые цены с учетом расхода'!Q26,IF('Базовые цены с учетом расхода'!Q26&lt;0,'Базовые цены с учетом расхода'!Q26,""))</f>
        <v/>
      </c>
      <c r="K429" s="1">
        <v>95</v>
      </c>
      <c r="L429" s="14">
        <f>IF('Текущие цены с учетом расхода'!Q26&gt;0,'Текущие цены с учетом расхода'!Q26,IF('Текущие цены с учетом расхода'!Q26&lt;0,'Текущие цены с учетом расхода'!Q26,""))</f>
        <v>3</v>
      </c>
      <c r="P429" s="5" t="s">
        <v>45</v>
      </c>
    </row>
    <row r="430" spans="2:16" ht="21">
      <c r="B430" s="17" t="s">
        <v>46</v>
      </c>
      <c r="D430" s="1">
        <v>47</v>
      </c>
      <c r="G430" s="14">
        <f>IF('Базовые цены с учетом расхода'!O26&gt;0,'Базовые цены с учетом расхода'!O26,IF('Базовые цены с учетом расхода'!O26&lt;0,'Базовые цены с учетом расхода'!O26,""))</f>
        <v>29</v>
      </c>
      <c r="K430" s="1">
        <v>47</v>
      </c>
      <c r="L430" s="14">
        <f>IF('Текущие цены с учетом расхода'!O26&gt;0,'Текущие цены с учетом расхода'!O26,IF('Текущие цены с учетом расхода'!O26&lt;0,'Текущие цены с учетом расхода'!O26,""))</f>
        <v>604</v>
      </c>
      <c r="P430" s="5" t="s">
        <v>47</v>
      </c>
    </row>
    <row r="431" spans="2:16" hidden="1">
      <c r="B431" s="17" t="s">
        <v>48</v>
      </c>
      <c r="D431" s="1">
        <v>47</v>
      </c>
      <c r="G431" s="14">
        <f>IF('Базовые цены с учетом расхода'!R26&gt;0,'Базовые цены с учетом расхода'!R26,IF('Базовые цены с учетом расхода'!R26&lt;0,'Базовые цены с учетом расхода'!R26,""))</f>
        <v>29</v>
      </c>
      <c r="K431" s="1">
        <v>47</v>
      </c>
      <c r="L431" s="14">
        <f>IF('Текущие цены с учетом расхода'!R26&gt;0,'Текущие цены с учетом расхода'!R26,IF('Текущие цены с учетом расхода'!R26&lt;0,'Текущие цены с учетом расхода'!R26,""))</f>
        <v>603</v>
      </c>
      <c r="P431" s="5" t="s">
        <v>49</v>
      </c>
    </row>
    <row r="432" spans="2:16" hidden="1">
      <c r="B432" s="17" t="s">
        <v>50</v>
      </c>
      <c r="G432" s="14" t="str">
        <f>IF('Базовые цены с учетом расхода'!S26&gt;0,'Базовые цены с учетом расхода'!S26,IF('Базовые цены с учетом расхода'!S26&lt;0,'Базовые цены с учетом расхода'!S26,""))</f>
        <v/>
      </c>
      <c r="K432" s="1">
        <v>47</v>
      </c>
      <c r="L432" s="14">
        <f>IF('Текущие цены с учетом расхода'!S26&gt;0,'Текущие цены с учетом расхода'!S26,IF('Текущие цены с учетом расхода'!S26&lt;0,'Текущие цены с учетом расхода'!S26,""))</f>
        <v>1</v>
      </c>
      <c r="P432" s="5" t="s">
        <v>51</v>
      </c>
    </row>
    <row r="433" spans="1:26">
      <c r="B433" s="17" t="s">
        <v>52</v>
      </c>
      <c r="G433" s="14">
        <f>ROUND(IF(G415="",0,G415)+IF(G427="",0,G427)+IF(G430="",0,G430),0)</f>
        <v>415</v>
      </c>
      <c r="L433" s="14">
        <f>ROUND(IF(L415="",0,L415)+IF(L427="",0,L427)+IF(L430="",0,L430),0)</f>
        <v>4649</v>
      </c>
    </row>
    <row r="434" spans="1:26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</row>
    <row r="435" spans="1:26">
      <c r="B435" s="42" t="s">
        <v>138</v>
      </c>
      <c r="C435" s="43"/>
      <c r="D435" s="43"/>
      <c r="E435" s="43"/>
      <c r="F435" s="44"/>
      <c r="G435" s="47">
        <f>'Базовые концовки'!F192</f>
        <v>10075</v>
      </c>
      <c r="H435" s="22">
        <f>'Базовые концовки'!G192</f>
        <v>718</v>
      </c>
      <c r="I435" s="22">
        <f>'Базовые концовки'!H192</f>
        <v>483</v>
      </c>
      <c r="L435" s="47">
        <f>'Текущие концовки'!F192</f>
        <v>61736</v>
      </c>
      <c r="M435" s="22">
        <f>'Текущие концовки'!G192</f>
        <v>14839</v>
      </c>
      <c r="N435" s="22">
        <f>'Текущие концовки'!H192</f>
        <v>2838</v>
      </c>
      <c r="T435" s="46">
        <f>'Текущие концовки'!G192</f>
        <v>14839</v>
      </c>
      <c r="U435" s="46">
        <f>'Текущие концовки'!H192</f>
        <v>2838</v>
      </c>
      <c r="V435" s="46">
        <f>'Текущие концовки'!I192</f>
        <v>746</v>
      </c>
      <c r="W435" s="45" t="e">
        <f ca="1">'Текущие концовки'!J192</f>
        <v>#NAME?</v>
      </c>
      <c r="X435" s="45" t="e">
        <f ca="1">'Текущие концовки'!K192</f>
        <v>#NAME?</v>
      </c>
      <c r="Y435" s="46">
        <f>'Текущие концовки'!L192</f>
        <v>44059</v>
      </c>
      <c r="Z435" s="46">
        <f>'Текущие концовки'!M192</f>
        <v>0</v>
      </c>
    </row>
    <row r="436" spans="1:26">
      <c r="B436" s="43"/>
      <c r="C436" s="43"/>
      <c r="D436" s="43"/>
      <c r="E436" s="43"/>
      <c r="F436" s="43"/>
      <c r="G436" s="47"/>
      <c r="H436" s="21">
        <f>'Базовые концовки'!L192</f>
        <v>8874</v>
      </c>
      <c r="I436" s="21">
        <f>'Базовые концовки'!I192</f>
        <v>36</v>
      </c>
      <c r="L436" s="47"/>
      <c r="M436" s="21">
        <f>'Текущие концовки'!L192</f>
        <v>44059</v>
      </c>
      <c r="N436" s="21">
        <f>'Текущие концовки'!I192</f>
        <v>746</v>
      </c>
      <c r="T436" s="46"/>
      <c r="U436" s="46"/>
      <c r="V436" s="46"/>
      <c r="W436" s="45"/>
      <c r="X436" s="45"/>
      <c r="Y436" s="46"/>
      <c r="Z436" s="46"/>
    </row>
    <row r="437" spans="1:26" hidden="1">
      <c r="B437" s="42" t="s">
        <v>59</v>
      </c>
      <c r="C437" s="43"/>
      <c r="D437" s="43"/>
      <c r="E437" s="44"/>
      <c r="G437" s="21">
        <f>'Базовые концовки'!F193</f>
        <v>0</v>
      </c>
      <c r="H437" s="21">
        <f>'Базовые концовки'!G193</f>
        <v>0</v>
      </c>
      <c r="I437" s="21">
        <f>'Базовые концовки'!H193</f>
        <v>0</v>
      </c>
      <c r="L437" s="21">
        <f>'Текущие концовки'!F193</f>
        <v>0</v>
      </c>
      <c r="M437" s="21">
        <f>'Текущие концовки'!G193</f>
        <v>0</v>
      </c>
      <c r="N437" s="21">
        <f>'Текущие концовки'!H193</f>
        <v>0</v>
      </c>
      <c r="T437" s="23">
        <f>'Текущие концовки'!G193</f>
        <v>0</v>
      </c>
      <c r="U437" s="23">
        <f>'Текущие концовки'!H193</f>
        <v>0</v>
      </c>
      <c r="V437" s="23">
        <f>'Текущие концовки'!I193</f>
        <v>0</v>
      </c>
      <c r="W437" s="7">
        <f>'Текущие концовки'!J193</f>
        <v>0</v>
      </c>
      <c r="X437" s="7">
        <f>'Текущие концовки'!K193</f>
        <v>0</v>
      </c>
      <c r="Y437" s="23">
        <f>'Текущие концовки'!L193</f>
        <v>0</v>
      </c>
      <c r="Z437" s="23">
        <f>'Текущие концовки'!M193</f>
        <v>0</v>
      </c>
    </row>
    <row r="438" spans="1:26" hidden="1">
      <c r="B438" s="42" t="s">
        <v>60</v>
      </c>
      <c r="C438" s="43"/>
      <c r="D438" s="43"/>
      <c r="E438" s="44"/>
      <c r="G438" s="21" t="e">
        <f ca="1">'Базовые концовки'!F194</f>
        <v>#NAME?</v>
      </c>
      <c r="H438" s="21"/>
      <c r="I438" s="21"/>
      <c r="L438" s="21" t="e">
        <f ca="1">'Текущие концовки'!F194</f>
        <v>#NAME?</v>
      </c>
      <c r="M438" s="21"/>
      <c r="N438" s="21"/>
      <c r="T438" s="23"/>
      <c r="U438" s="23"/>
      <c r="V438" s="23"/>
      <c r="W438" s="7"/>
      <c r="X438" s="7"/>
      <c r="Y438" s="23"/>
      <c r="Z438" s="23"/>
    </row>
    <row r="439" spans="1:26" hidden="1">
      <c r="B439" s="42" t="s">
        <v>61</v>
      </c>
      <c r="C439" s="43"/>
      <c r="D439" s="43"/>
      <c r="E439" s="44"/>
      <c r="G439" s="21" t="e">
        <f ca="1">'Базовые концовки'!F195</f>
        <v>#NAME?</v>
      </c>
      <c r="H439" s="21"/>
      <c r="I439" s="21"/>
      <c r="L439" s="21" t="e">
        <f ca="1">'Текущие концовки'!F195</f>
        <v>#NAME?</v>
      </c>
      <c r="M439" s="21"/>
      <c r="N439" s="21"/>
      <c r="T439" s="23"/>
      <c r="U439" s="23"/>
      <c r="V439" s="23"/>
      <c r="W439" s="7"/>
      <c r="X439" s="7"/>
      <c r="Y439" s="23"/>
      <c r="Z439" s="23"/>
    </row>
    <row r="440" spans="1:26" hidden="1">
      <c r="B440" s="42" t="s">
        <v>62</v>
      </c>
      <c r="C440" s="43"/>
      <c r="D440" s="43"/>
      <c r="E440" s="44"/>
      <c r="G440" s="21" t="e">
        <f ca="1">'Базовые концовки'!F196</f>
        <v>#NAME?</v>
      </c>
      <c r="H440" s="21"/>
      <c r="I440" s="21"/>
      <c r="L440" s="21" t="e">
        <f ca="1">'Текущие концовки'!F196</f>
        <v>#NAME?</v>
      </c>
      <c r="M440" s="21"/>
      <c r="N440" s="21"/>
      <c r="T440" s="23"/>
      <c r="U440" s="23"/>
      <c r="V440" s="23"/>
      <c r="W440" s="7"/>
      <c r="X440" s="7"/>
      <c r="Y440" s="23"/>
      <c r="Z440" s="23"/>
    </row>
    <row r="441" spans="1:26" hidden="1">
      <c r="B441" s="42" t="s">
        <v>63</v>
      </c>
      <c r="C441" s="43"/>
      <c r="D441" s="43"/>
      <c r="E441" s="44"/>
      <c r="G441" s="21" t="e">
        <f ca="1">'Базовые концовки'!F197</f>
        <v>#NAME?</v>
      </c>
      <c r="H441" s="21"/>
      <c r="I441" s="21"/>
      <c r="L441" s="21" t="e">
        <f ca="1">'Текущие концовки'!F197</f>
        <v>#NAME?</v>
      </c>
      <c r="M441" s="21"/>
      <c r="N441" s="21"/>
      <c r="T441" s="23"/>
      <c r="U441" s="23"/>
      <c r="V441" s="23"/>
      <c r="W441" s="7"/>
      <c r="X441" s="7"/>
      <c r="Y441" s="23"/>
      <c r="Z441" s="23"/>
    </row>
    <row r="442" spans="1:26" hidden="1">
      <c r="B442" s="42" t="s">
        <v>64</v>
      </c>
      <c r="C442" s="43"/>
      <c r="D442" s="43"/>
      <c r="E442" s="44"/>
      <c r="G442" s="21" t="e">
        <f ca="1">'Базовые концовки'!F198</f>
        <v>#NAME?</v>
      </c>
      <c r="H442" s="21"/>
      <c r="I442" s="21"/>
      <c r="L442" s="21" t="e">
        <f ca="1">'Текущие концовки'!F198</f>
        <v>#NAME?</v>
      </c>
      <c r="M442" s="21"/>
      <c r="N442" s="21"/>
      <c r="T442" s="23"/>
      <c r="U442" s="23"/>
      <c r="V442" s="23"/>
      <c r="W442" s="7"/>
      <c r="X442" s="7"/>
      <c r="Y442" s="23"/>
      <c r="Z442" s="23"/>
    </row>
    <row r="443" spans="1:26" hidden="1">
      <c r="B443" s="42" t="s">
        <v>65</v>
      </c>
      <c r="C443" s="43"/>
      <c r="D443" s="43"/>
      <c r="E443" s="44"/>
      <c r="G443" s="21" t="e">
        <f ca="1">'Базовые концовки'!F199</f>
        <v>#NAME?</v>
      </c>
      <c r="H443" s="21"/>
      <c r="I443" s="21"/>
      <c r="L443" s="21" t="e">
        <f ca="1">'Текущие концовки'!F199</f>
        <v>#NAME?</v>
      </c>
      <c r="M443" s="21"/>
      <c r="N443" s="21"/>
      <c r="T443" s="23"/>
      <c r="U443" s="23"/>
      <c r="V443" s="23"/>
      <c r="W443" s="7"/>
      <c r="X443" s="7"/>
      <c r="Y443" s="23"/>
      <c r="Z443" s="23"/>
    </row>
    <row r="444" spans="1:26" hidden="1">
      <c r="B444" s="42" t="s">
        <v>66</v>
      </c>
      <c r="C444" s="43"/>
      <c r="D444" s="43"/>
      <c r="E444" s="44"/>
      <c r="G444" s="21" t="e">
        <f ca="1">'Базовые концовки'!F200</f>
        <v>#NAME?</v>
      </c>
      <c r="H444" s="21"/>
      <c r="I444" s="21"/>
      <c r="L444" s="21" t="e">
        <f ca="1">'Текущие концовки'!F200</f>
        <v>#NAME?</v>
      </c>
      <c r="M444" s="21"/>
      <c r="N444" s="21"/>
      <c r="T444" s="23"/>
      <c r="U444" s="23"/>
      <c r="V444" s="23"/>
      <c r="W444" s="7"/>
      <c r="X444" s="7"/>
      <c r="Y444" s="23"/>
      <c r="Z444" s="23"/>
    </row>
    <row r="445" spans="1:26" hidden="1">
      <c r="B445" s="42" t="s">
        <v>67</v>
      </c>
      <c r="C445" s="43"/>
      <c r="D445" s="43"/>
      <c r="E445" s="44"/>
      <c r="G445" s="21" t="e">
        <f ca="1">'Базовые концовки'!F201</f>
        <v>#NAME?</v>
      </c>
      <c r="H445" s="21"/>
      <c r="I445" s="21"/>
      <c r="L445" s="21" t="e">
        <f ca="1">'Текущие концовки'!F201</f>
        <v>#NAME?</v>
      </c>
      <c r="M445" s="21"/>
      <c r="N445" s="21"/>
      <c r="T445" s="23"/>
      <c r="U445" s="23"/>
      <c r="V445" s="23"/>
      <c r="W445" s="7"/>
      <c r="X445" s="7"/>
      <c r="Y445" s="23"/>
      <c r="Z445" s="23"/>
    </row>
    <row r="446" spans="1:26" hidden="1">
      <c r="B446" s="42" t="s">
        <v>68</v>
      </c>
      <c r="C446" s="43"/>
      <c r="D446" s="43"/>
      <c r="E446" s="44"/>
      <c r="G446" s="21" t="e">
        <f ca="1">'Базовые концовки'!F202</f>
        <v>#NAME?</v>
      </c>
      <c r="H446" s="21"/>
      <c r="I446" s="21"/>
      <c r="L446" s="21" t="e">
        <f ca="1">'Текущие концовки'!F202</f>
        <v>#NAME?</v>
      </c>
      <c r="M446" s="21"/>
      <c r="N446" s="21"/>
      <c r="T446" s="23"/>
      <c r="U446" s="23"/>
      <c r="V446" s="23"/>
      <c r="W446" s="7"/>
      <c r="X446" s="7"/>
      <c r="Y446" s="23"/>
      <c r="Z446" s="23"/>
    </row>
    <row r="447" spans="1:26" hidden="1">
      <c r="B447" s="42" t="s">
        <v>69</v>
      </c>
      <c r="C447" s="43"/>
      <c r="D447" s="43"/>
      <c r="E447" s="44"/>
      <c r="G447" s="21">
        <f>'Базовые концовки'!F203</f>
        <v>0</v>
      </c>
      <c r="H447" s="21">
        <f>'Базовые концовки'!G203</f>
        <v>0</v>
      </c>
      <c r="I447" s="21">
        <f>'Базовые концовки'!H203</f>
        <v>0</v>
      </c>
      <c r="L447" s="21">
        <f>'Текущие концовки'!F203</f>
        <v>0</v>
      </c>
      <c r="M447" s="21">
        <f>'Текущие концовки'!G203</f>
        <v>0</v>
      </c>
      <c r="N447" s="21">
        <f>'Текущие концовки'!H203</f>
        <v>0</v>
      </c>
      <c r="T447" s="23">
        <f>'Текущие концовки'!G203</f>
        <v>0</v>
      </c>
      <c r="U447" s="23">
        <f>'Текущие концовки'!H203</f>
        <v>0</v>
      </c>
      <c r="V447" s="23">
        <f>'Текущие концовки'!I203</f>
        <v>0</v>
      </c>
      <c r="W447" s="7">
        <f>'Текущие концовки'!J203</f>
        <v>0</v>
      </c>
      <c r="X447" s="7">
        <f>'Текущие концовки'!K203</f>
        <v>0</v>
      </c>
      <c r="Y447" s="23">
        <f>'Текущие концовки'!L203</f>
        <v>0</v>
      </c>
      <c r="Z447" s="23">
        <f>'Текущие концовки'!M203</f>
        <v>0</v>
      </c>
    </row>
    <row r="448" spans="1:26" hidden="1">
      <c r="B448" s="42" t="s">
        <v>70</v>
      </c>
      <c r="C448" s="43"/>
      <c r="D448" s="43"/>
      <c r="E448" s="44"/>
      <c r="G448" s="21"/>
      <c r="H448" s="21"/>
      <c r="I448" s="21"/>
      <c r="L448" s="21"/>
      <c r="M448" s="21"/>
      <c r="N448" s="21"/>
      <c r="T448" s="23"/>
      <c r="U448" s="23"/>
      <c r="V448" s="23"/>
      <c r="W448" s="7"/>
      <c r="X448" s="7"/>
      <c r="Y448" s="23"/>
      <c r="Z448" s="23"/>
    </row>
    <row r="449" spans="2:26" hidden="1">
      <c r="B449" s="42" t="s">
        <v>71</v>
      </c>
      <c r="C449" s="43"/>
      <c r="D449" s="43"/>
      <c r="E449" s="44"/>
      <c r="G449" s="21">
        <f>'Базовые концовки'!G205</f>
        <v>0</v>
      </c>
      <c r="H449" s="21">
        <f>'Базовые концовки'!G205</f>
        <v>0</v>
      </c>
      <c r="I449" s="21"/>
      <c r="L449" s="21">
        <f>'Текущие концовки'!G205</f>
        <v>0</v>
      </c>
      <c r="M449" s="21">
        <f>'Текущие концовки'!G205</f>
        <v>0</v>
      </c>
      <c r="N449" s="21"/>
      <c r="T449" s="23">
        <f>'Текущие концовки'!G205</f>
        <v>0</v>
      </c>
      <c r="U449" s="23"/>
      <c r="V449" s="23"/>
      <c r="W449" s="7"/>
      <c r="X449" s="7"/>
      <c r="Y449" s="23"/>
      <c r="Z449" s="23"/>
    </row>
    <row r="450" spans="2:26" hidden="1">
      <c r="B450" s="42" t="s">
        <v>72</v>
      </c>
      <c r="C450" s="43"/>
      <c r="D450" s="43"/>
      <c r="E450" s="44"/>
      <c r="G450" s="21">
        <f>'Базовые концовки'!F206</f>
        <v>0</v>
      </c>
      <c r="H450" s="21"/>
      <c r="I450" s="21"/>
      <c r="L450" s="21">
        <f>'Текущие концовки'!F206</f>
        <v>0</v>
      </c>
      <c r="M450" s="21"/>
      <c r="N450" s="21"/>
      <c r="T450" s="23"/>
      <c r="U450" s="23"/>
      <c r="V450" s="23"/>
      <c r="W450" s="7"/>
      <c r="X450" s="7"/>
      <c r="Y450" s="23"/>
      <c r="Z450" s="23"/>
    </row>
    <row r="451" spans="2:26" hidden="1">
      <c r="B451" s="42" t="s">
        <v>73</v>
      </c>
      <c r="C451" s="43"/>
      <c r="D451" s="43"/>
      <c r="E451" s="44"/>
      <c r="G451" s="21" t="e">
        <f ca="1">'Базовые концовки'!F207</f>
        <v>#NAME?</v>
      </c>
      <c r="H451" s="21"/>
      <c r="I451" s="21"/>
      <c r="L451" s="21" t="e">
        <f ca="1">'Текущие концовки'!F207</f>
        <v>#NAME?</v>
      </c>
      <c r="M451" s="21"/>
      <c r="N451" s="21"/>
      <c r="T451" s="23"/>
      <c r="U451" s="23"/>
      <c r="V451" s="23"/>
      <c r="W451" s="7"/>
      <c r="X451" s="7"/>
      <c r="Y451" s="23"/>
      <c r="Z451" s="23"/>
    </row>
    <row r="452" spans="2:26" hidden="1">
      <c r="B452" s="42" t="s">
        <v>74</v>
      </c>
      <c r="C452" s="43"/>
      <c r="D452" s="43"/>
      <c r="E452" s="44"/>
      <c r="G452" s="21">
        <f>'Базовые концовки'!F208</f>
        <v>0</v>
      </c>
      <c r="H452" s="21"/>
      <c r="I452" s="21"/>
      <c r="L452" s="21">
        <f>'Текущие концовки'!F208</f>
        <v>0</v>
      </c>
      <c r="M452" s="21"/>
      <c r="N452" s="21"/>
      <c r="T452" s="23"/>
      <c r="U452" s="23"/>
      <c r="V452" s="23"/>
      <c r="W452" s="7"/>
      <c r="X452" s="7"/>
      <c r="Y452" s="23"/>
      <c r="Z452" s="23"/>
    </row>
    <row r="453" spans="2:26" hidden="1">
      <c r="B453" s="42" t="s">
        <v>75</v>
      </c>
      <c r="C453" s="43"/>
      <c r="D453" s="43"/>
      <c r="E453" s="44"/>
      <c r="G453" s="21">
        <f>'Базовые концовки'!F209</f>
        <v>0</v>
      </c>
      <c r="H453" s="21"/>
      <c r="I453" s="21"/>
      <c r="L453" s="21">
        <f>'Текущие концовки'!F209</f>
        <v>0</v>
      </c>
      <c r="M453" s="21"/>
      <c r="N453" s="21"/>
      <c r="T453" s="23"/>
      <c r="U453" s="23"/>
      <c r="V453" s="23"/>
      <c r="W453" s="7"/>
      <c r="X453" s="7"/>
      <c r="Y453" s="23"/>
      <c r="Z453" s="23"/>
    </row>
    <row r="454" spans="2:26" hidden="1">
      <c r="B454" s="42" t="s">
        <v>76</v>
      </c>
      <c r="C454" s="43"/>
      <c r="D454" s="43"/>
      <c r="E454" s="44"/>
      <c r="G454" s="21">
        <f>'Базовые концовки'!F210</f>
        <v>0</v>
      </c>
      <c r="H454" s="21"/>
      <c r="I454" s="21"/>
      <c r="L454" s="21">
        <f>'Текущие концовки'!F210</f>
        <v>0</v>
      </c>
      <c r="M454" s="21"/>
      <c r="N454" s="21"/>
      <c r="T454" s="23"/>
      <c r="U454" s="23"/>
      <c r="V454" s="23"/>
      <c r="W454" s="7"/>
      <c r="X454" s="7"/>
      <c r="Y454" s="23"/>
      <c r="Z454" s="23"/>
    </row>
    <row r="455" spans="2:26" hidden="1">
      <c r="B455" s="42" t="s">
        <v>67</v>
      </c>
      <c r="C455" s="43"/>
      <c r="D455" s="43"/>
      <c r="E455" s="44"/>
      <c r="G455" s="21" t="e">
        <f ca="1">'Базовые концовки'!F211</f>
        <v>#NAME?</v>
      </c>
      <c r="H455" s="21"/>
      <c r="I455" s="21"/>
      <c r="L455" s="21" t="e">
        <f ca="1">'Текущие концовки'!F211</f>
        <v>#NAME?</v>
      </c>
      <c r="M455" s="21"/>
      <c r="N455" s="21"/>
      <c r="T455" s="23"/>
      <c r="U455" s="23"/>
      <c r="V455" s="23"/>
      <c r="W455" s="7"/>
      <c r="X455" s="7"/>
      <c r="Y455" s="23"/>
      <c r="Z455" s="23"/>
    </row>
    <row r="456" spans="2:26" hidden="1">
      <c r="B456" s="42" t="s">
        <v>77</v>
      </c>
      <c r="C456" s="43"/>
      <c r="D456" s="43"/>
      <c r="E456" s="44"/>
      <c r="G456" s="21">
        <f>'Базовые концовки'!F212</f>
        <v>0</v>
      </c>
      <c r="H456" s="21"/>
      <c r="I456" s="21"/>
      <c r="L456" s="21">
        <f>'Текущие концовки'!F212</f>
        <v>0</v>
      </c>
      <c r="M456" s="21"/>
      <c r="N456" s="21"/>
      <c r="T456" s="23"/>
      <c r="U456" s="23"/>
      <c r="V456" s="23"/>
      <c r="W456" s="7"/>
      <c r="X456" s="7"/>
      <c r="Y456" s="23"/>
      <c r="Z456" s="23"/>
    </row>
    <row r="457" spans="2:26">
      <c r="B457" s="42" t="s">
        <v>78</v>
      </c>
      <c r="C457" s="43"/>
      <c r="D457" s="43"/>
      <c r="E457" s="43"/>
      <c r="F457" s="44"/>
      <c r="G457" s="47">
        <f>'Базовые концовки'!F213</f>
        <v>9210</v>
      </c>
      <c r="H457" s="22">
        <f>'Базовые концовки'!G213</f>
        <v>446</v>
      </c>
      <c r="I457" s="22">
        <f>'Базовые концовки'!H213</f>
        <v>15</v>
      </c>
      <c r="L457" s="47">
        <f>'Текущие концовки'!F213</f>
        <v>52517</v>
      </c>
      <c r="M457" s="22">
        <f>'Текущие концовки'!G213</f>
        <v>9223</v>
      </c>
      <c r="N457" s="22">
        <f>'Текущие концовки'!H213</f>
        <v>76</v>
      </c>
      <c r="T457" s="46">
        <f>'Текущие концовки'!G213</f>
        <v>9223</v>
      </c>
      <c r="U457" s="46">
        <f>'Текущие концовки'!H213</f>
        <v>76</v>
      </c>
      <c r="V457" s="46">
        <f>'Текущие концовки'!I213</f>
        <v>10</v>
      </c>
      <c r="W457" s="45" t="e">
        <f ca="1">'Текущие концовки'!J213</f>
        <v>#NAME?</v>
      </c>
      <c r="X457" s="45" t="e">
        <f ca="1">'Текущие концовки'!K213</f>
        <v>#NAME?</v>
      </c>
      <c r="Y457" s="46">
        <f>'Текущие концовки'!L213</f>
        <v>43218</v>
      </c>
      <c r="Z457" s="46">
        <f>'Текущие концовки'!M213</f>
        <v>0</v>
      </c>
    </row>
    <row r="458" spans="2:26">
      <c r="B458" s="43"/>
      <c r="C458" s="43"/>
      <c r="D458" s="43"/>
      <c r="E458" s="43"/>
      <c r="F458" s="43"/>
      <c r="G458" s="47"/>
      <c r="H458" s="21">
        <f>'Базовые концовки'!L213</f>
        <v>8749</v>
      </c>
      <c r="I458" s="21">
        <f>'Базовые концовки'!I213</f>
        <v>0</v>
      </c>
      <c r="L458" s="47"/>
      <c r="M458" s="21">
        <f>'Текущие концовки'!L213</f>
        <v>43218</v>
      </c>
      <c r="N458" s="21">
        <f>'Текущие концовки'!I213</f>
        <v>10</v>
      </c>
      <c r="T458" s="46"/>
      <c r="U458" s="46"/>
      <c r="V458" s="46"/>
      <c r="W458" s="45"/>
      <c r="X458" s="45"/>
      <c r="Y458" s="46"/>
      <c r="Z458" s="46"/>
    </row>
    <row r="459" spans="2:26" hidden="1">
      <c r="B459" s="42" t="s">
        <v>70</v>
      </c>
      <c r="C459" s="43"/>
      <c r="D459" s="43"/>
      <c r="E459" s="44"/>
      <c r="G459" s="21"/>
      <c r="H459" s="21"/>
      <c r="I459" s="21"/>
      <c r="L459" s="21"/>
      <c r="M459" s="21"/>
      <c r="N459" s="21"/>
      <c r="T459" s="23"/>
      <c r="U459" s="23"/>
      <c r="V459" s="23"/>
      <c r="W459" s="7"/>
      <c r="X459" s="7"/>
      <c r="Y459" s="23"/>
      <c r="Z459" s="23"/>
    </row>
    <row r="460" spans="2:26">
      <c r="B460" s="42" t="s">
        <v>79</v>
      </c>
      <c r="C460" s="43"/>
      <c r="D460" s="43"/>
      <c r="E460" s="43"/>
      <c r="F460" s="44"/>
      <c r="G460" s="21" t="e">
        <f ca="1">'Базовые концовки'!F215</f>
        <v>#NAME?</v>
      </c>
      <c r="H460" s="21"/>
      <c r="I460" s="21"/>
      <c r="L460" s="21" t="e">
        <f ca="1">'Текущие концовки'!F215</f>
        <v>#NAME?</v>
      </c>
      <c r="M460" s="21"/>
      <c r="N460" s="21"/>
      <c r="T460" s="23"/>
      <c r="U460" s="23"/>
      <c r="V460" s="23"/>
      <c r="W460" s="7"/>
      <c r="X460" s="7"/>
      <c r="Y460" s="23"/>
      <c r="Z460" s="23"/>
    </row>
    <row r="461" spans="2:26" hidden="1">
      <c r="B461" s="42" t="s">
        <v>74</v>
      </c>
      <c r="C461" s="43"/>
      <c r="D461" s="43"/>
      <c r="E461" s="44"/>
      <c r="G461" s="21">
        <f>'Базовые концовки'!F216</f>
        <v>0</v>
      </c>
      <c r="H461" s="21"/>
      <c r="I461" s="21"/>
      <c r="L461" s="21">
        <f>'Текущие концовки'!F216</f>
        <v>0</v>
      </c>
      <c r="M461" s="21"/>
      <c r="N461" s="21"/>
      <c r="T461" s="23"/>
      <c r="U461" s="23"/>
      <c r="V461" s="23"/>
      <c r="W461" s="7"/>
      <c r="X461" s="7"/>
      <c r="Y461" s="23"/>
      <c r="Z461" s="23"/>
    </row>
    <row r="462" spans="2:26">
      <c r="B462" s="42" t="s">
        <v>139</v>
      </c>
      <c r="C462" s="43"/>
      <c r="D462" s="43"/>
      <c r="E462" s="43"/>
      <c r="F462" s="44"/>
      <c r="G462" s="21">
        <f>'Базовые концовки'!F217</f>
        <v>397</v>
      </c>
      <c r="H462" s="21"/>
      <c r="I462" s="21"/>
      <c r="L462" s="21">
        <f>'Текущие концовки'!F217</f>
        <v>8223</v>
      </c>
      <c r="M462" s="21"/>
      <c r="N462" s="21"/>
      <c r="T462" s="23"/>
      <c r="U462" s="23"/>
      <c r="V462" s="23"/>
      <c r="W462" s="7"/>
      <c r="X462" s="7"/>
      <c r="Y462" s="23"/>
      <c r="Z462" s="23"/>
    </row>
    <row r="463" spans="2:26">
      <c r="B463" s="42" t="s">
        <v>140</v>
      </c>
      <c r="C463" s="43"/>
      <c r="D463" s="43"/>
      <c r="E463" s="43"/>
      <c r="F463" s="44"/>
      <c r="G463" s="21">
        <f>'Базовые концовки'!F218</f>
        <v>260</v>
      </c>
      <c r="H463" s="21"/>
      <c r="I463" s="21"/>
      <c r="L463" s="21">
        <f>'Текущие концовки'!F218</f>
        <v>5362</v>
      </c>
      <c r="M463" s="21"/>
      <c r="N463" s="21"/>
      <c r="T463" s="23"/>
      <c r="U463" s="23"/>
      <c r="V463" s="23"/>
      <c r="W463" s="7"/>
      <c r="X463" s="7"/>
      <c r="Y463" s="23"/>
      <c r="Z463" s="23"/>
    </row>
    <row r="464" spans="2:26">
      <c r="B464" s="42" t="s">
        <v>82</v>
      </c>
      <c r="C464" s="43"/>
      <c r="D464" s="43"/>
      <c r="E464" s="43"/>
      <c r="F464" s="44"/>
      <c r="G464" s="21">
        <f>'Базовые концовки'!F219</f>
        <v>9867</v>
      </c>
      <c r="H464" s="21"/>
      <c r="I464" s="21"/>
      <c r="L464" s="21">
        <f>'Текущие концовки'!F219</f>
        <v>66102</v>
      </c>
      <c r="M464" s="21"/>
      <c r="N464" s="21"/>
      <c r="T464" s="23"/>
      <c r="U464" s="23"/>
      <c r="V464" s="23"/>
      <c r="W464" s="7"/>
      <c r="X464" s="7"/>
      <c r="Y464" s="23"/>
      <c r="Z464" s="23"/>
    </row>
    <row r="465" spans="2:26">
      <c r="B465" s="42" t="s">
        <v>83</v>
      </c>
      <c r="C465" s="43"/>
      <c r="D465" s="43"/>
      <c r="E465" s="43"/>
      <c r="F465" s="44"/>
      <c r="G465" s="47">
        <f>'Базовые концовки'!F220</f>
        <v>865</v>
      </c>
      <c r="H465" s="22">
        <f>'Базовые концовки'!G220</f>
        <v>272</v>
      </c>
      <c r="I465" s="22">
        <f>'Базовые концовки'!H220</f>
        <v>468</v>
      </c>
      <c r="L465" s="47">
        <f>'Текущие концовки'!F220</f>
        <v>9219</v>
      </c>
      <c r="M465" s="22">
        <f>'Текущие концовки'!G220</f>
        <v>5616</v>
      </c>
      <c r="N465" s="22">
        <f>'Текущие концовки'!H220</f>
        <v>2762</v>
      </c>
      <c r="T465" s="46">
        <f>'Текущие концовки'!G220</f>
        <v>5616</v>
      </c>
      <c r="U465" s="46">
        <f>'Текущие концовки'!H220</f>
        <v>2762</v>
      </c>
      <c r="V465" s="46">
        <f>'Текущие концовки'!I220</f>
        <v>736</v>
      </c>
      <c r="W465" s="45" t="e">
        <f ca="1">'Текущие концовки'!J220</f>
        <v>#NAME?</v>
      </c>
      <c r="X465" s="45" t="e">
        <f ca="1">'Текущие концовки'!K220</f>
        <v>#NAME?</v>
      </c>
      <c r="Y465" s="46">
        <f>'Текущие концовки'!L220</f>
        <v>841</v>
      </c>
      <c r="Z465" s="46">
        <f>'Текущие концовки'!M220</f>
        <v>0</v>
      </c>
    </row>
    <row r="466" spans="2:26">
      <c r="B466" s="43"/>
      <c r="C466" s="43"/>
      <c r="D466" s="43"/>
      <c r="E466" s="43"/>
      <c r="F466" s="43"/>
      <c r="G466" s="47"/>
      <c r="H466" s="21">
        <f>'Базовые концовки'!L220</f>
        <v>125</v>
      </c>
      <c r="I466" s="21">
        <f>'Базовые концовки'!I220</f>
        <v>36</v>
      </c>
      <c r="L466" s="47"/>
      <c r="M466" s="21">
        <f>'Текущие концовки'!L220</f>
        <v>841</v>
      </c>
      <c r="N466" s="21">
        <f>'Текущие концовки'!I220</f>
        <v>736</v>
      </c>
      <c r="T466" s="46"/>
      <c r="U466" s="46"/>
      <c r="V466" s="46"/>
      <c r="W466" s="45"/>
      <c r="X466" s="45"/>
      <c r="Y466" s="46"/>
      <c r="Z466" s="46"/>
    </row>
    <row r="467" spans="2:26" hidden="1">
      <c r="B467" s="42" t="s">
        <v>74</v>
      </c>
      <c r="C467" s="43"/>
      <c r="D467" s="43"/>
      <c r="E467" s="44"/>
      <c r="G467" s="21">
        <f>'Базовые концовки'!F221</f>
        <v>0</v>
      </c>
      <c r="H467" s="21"/>
      <c r="I467" s="21"/>
      <c r="L467" s="21">
        <f>'Текущие концовки'!F221</f>
        <v>0</v>
      </c>
      <c r="M467" s="21"/>
      <c r="N467" s="21"/>
      <c r="T467" s="23"/>
      <c r="U467" s="23"/>
      <c r="V467" s="23"/>
      <c r="W467" s="7"/>
      <c r="X467" s="7"/>
      <c r="Y467" s="23"/>
      <c r="Z467" s="23"/>
    </row>
    <row r="468" spans="2:26">
      <c r="B468" s="42" t="s">
        <v>141</v>
      </c>
      <c r="C468" s="43"/>
      <c r="D468" s="43"/>
      <c r="E468" s="43"/>
      <c r="F468" s="44"/>
      <c r="G468" s="21">
        <f>'Базовые концовки'!F222</f>
        <v>249</v>
      </c>
      <c r="H468" s="21"/>
      <c r="I468" s="21"/>
      <c r="L468" s="21">
        <f>'Текущие концовки'!F222</f>
        <v>5145</v>
      </c>
      <c r="M468" s="21"/>
      <c r="N468" s="21"/>
      <c r="T468" s="23"/>
      <c r="U468" s="23"/>
      <c r="V468" s="23"/>
      <c r="W468" s="7"/>
      <c r="X468" s="7"/>
      <c r="Y468" s="23"/>
      <c r="Z468" s="23"/>
    </row>
    <row r="469" spans="2:26">
      <c r="B469" s="42" t="s">
        <v>142</v>
      </c>
      <c r="C469" s="43"/>
      <c r="D469" s="43"/>
      <c r="E469" s="43"/>
      <c r="F469" s="44"/>
      <c r="G469" s="21">
        <f>'Базовые концовки'!F223</f>
        <v>222</v>
      </c>
      <c r="H469" s="21"/>
      <c r="I469" s="21"/>
      <c r="L469" s="21">
        <f>'Текущие концовки'!F223</f>
        <v>4573</v>
      </c>
      <c r="M469" s="21"/>
      <c r="N469" s="21"/>
      <c r="T469" s="23"/>
      <c r="U469" s="23"/>
      <c r="V469" s="23"/>
      <c r="W469" s="7"/>
      <c r="X469" s="7"/>
      <c r="Y469" s="23"/>
      <c r="Z469" s="23"/>
    </row>
    <row r="470" spans="2:26">
      <c r="B470" s="42" t="s">
        <v>84</v>
      </c>
      <c r="C470" s="43"/>
      <c r="D470" s="43"/>
      <c r="E470" s="43"/>
      <c r="F470" s="44"/>
      <c r="G470" s="21">
        <f>'Базовые концовки'!F224</f>
        <v>1336</v>
      </c>
      <c r="H470" s="21"/>
      <c r="I470" s="21"/>
      <c r="L470" s="21">
        <f>'Текущие концовки'!F224</f>
        <v>18937</v>
      </c>
      <c r="M470" s="21"/>
      <c r="N470" s="21"/>
      <c r="T470" s="23"/>
      <c r="U470" s="23"/>
      <c r="V470" s="23"/>
      <c r="W470" s="7"/>
      <c r="X470" s="7"/>
      <c r="Y470" s="23"/>
      <c r="Z470" s="23"/>
    </row>
    <row r="471" spans="2:26" hidden="1">
      <c r="B471" s="42" t="s">
        <v>85</v>
      </c>
      <c r="C471" s="43"/>
      <c r="D471" s="43"/>
      <c r="E471" s="44"/>
      <c r="G471" s="21">
        <f>'Базовые концовки'!F225</f>
        <v>0</v>
      </c>
      <c r="H471" s="21">
        <f>'Базовые концовки'!G225</f>
        <v>0</v>
      </c>
      <c r="I471" s="21">
        <f>'Базовые концовки'!H225</f>
        <v>0</v>
      </c>
      <c r="L471" s="21">
        <f>'Текущие концовки'!F225</f>
        <v>0</v>
      </c>
      <c r="M471" s="21">
        <f>'Текущие концовки'!G225</f>
        <v>0</v>
      </c>
      <c r="N471" s="21">
        <f>'Текущие концовки'!H225</f>
        <v>0</v>
      </c>
      <c r="T471" s="23">
        <f>'Текущие концовки'!G225</f>
        <v>0</v>
      </c>
      <c r="U471" s="23">
        <f>'Текущие концовки'!H225</f>
        <v>0</v>
      </c>
      <c r="V471" s="23">
        <f>'Текущие концовки'!I225</f>
        <v>0</v>
      </c>
      <c r="W471" s="7">
        <f>'Текущие концовки'!J225</f>
        <v>0</v>
      </c>
      <c r="X471" s="7">
        <f>'Текущие концовки'!K225</f>
        <v>0</v>
      </c>
      <c r="Y471" s="23">
        <f>'Текущие концовки'!L225</f>
        <v>0</v>
      </c>
      <c r="Z471" s="23">
        <f>'Текущие концовки'!M225</f>
        <v>0</v>
      </c>
    </row>
    <row r="472" spans="2:26" hidden="1">
      <c r="B472" s="42" t="s">
        <v>70</v>
      </c>
      <c r="C472" s="43"/>
      <c r="D472" s="43"/>
      <c r="E472" s="44"/>
      <c r="G472" s="21"/>
      <c r="H472" s="21"/>
      <c r="I472" s="21"/>
      <c r="L472" s="21"/>
      <c r="M472" s="21"/>
      <c r="N472" s="21"/>
      <c r="T472" s="23"/>
      <c r="U472" s="23"/>
      <c r="V472" s="23"/>
      <c r="W472" s="7"/>
      <c r="X472" s="7"/>
      <c r="Y472" s="23"/>
      <c r="Z472" s="23"/>
    </row>
    <row r="473" spans="2:26" hidden="1">
      <c r="B473" s="42" t="s">
        <v>86</v>
      </c>
      <c r="C473" s="43"/>
      <c r="D473" s="43"/>
      <c r="E473" s="44"/>
      <c r="G473" s="21">
        <f>'Базовые концовки'!F227</f>
        <v>0</v>
      </c>
      <c r="H473" s="21">
        <f>'Базовые концовки'!G227</f>
        <v>0</v>
      </c>
      <c r="I473" s="21">
        <f>'Базовые концовки'!H227</f>
        <v>0</v>
      </c>
      <c r="L473" s="21">
        <f>'Текущие концовки'!F227</f>
        <v>0</v>
      </c>
      <c r="M473" s="21">
        <f>'Текущие концовки'!G227</f>
        <v>0</v>
      </c>
      <c r="N473" s="21">
        <f>'Текущие концовки'!H227</f>
        <v>0</v>
      </c>
      <c r="T473" s="23">
        <f>'Текущие концовки'!G227</f>
        <v>0</v>
      </c>
      <c r="U473" s="23">
        <f>'Текущие концовки'!H227</f>
        <v>0</v>
      </c>
      <c r="V473" s="23">
        <f>'Текущие концовки'!I227</f>
        <v>0</v>
      </c>
      <c r="W473" s="7">
        <f>'Текущие концовки'!J227</f>
        <v>0</v>
      </c>
      <c r="X473" s="7">
        <f>'Текущие концовки'!K227</f>
        <v>0</v>
      </c>
      <c r="Y473" s="23">
        <f>'Текущие концовки'!L227</f>
        <v>0</v>
      </c>
      <c r="Z473" s="23">
        <f>'Текущие концовки'!M227</f>
        <v>0</v>
      </c>
    </row>
    <row r="474" spans="2:26" hidden="1">
      <c r="B474" s="42" t="s">
        <v>74</v>
      </c>
      <c r="C474" s="43"/>
      <c r="D474" s="43"/>
      <c r="E474" s="44"/>
      <c r="G474" s="21">
        <f>'Базовые концовки'!F228</f>
        <v>0</v>
      </c>
      <c r="H474" s="21"/>
      <c r="I474" s="21"/>
      <c r="L474" s="21">
        <f>'Текущие концовки'!F228</f>
        <v>0</v>
      </c>
      <c r="M474" s="21"/>
      <c r="N474" s="21"/>
      <c r="T474" s="23"/>
      <c r="U474" s="23"/>
      <c r="V474" s="23"/>
      <c r="W474" s="7"/>
      <c r="X474" s="7"/>
      <c r="Y474" s="23"/>
      <c r="Z474" s="23"/>
    </row>
    <row r="475" spans="2:26" hidden="1">
      <c r="B475" s="42" t="s">
        <v>75</v>
      </c>
      <c r="C475" s="43"/>
      <c r="D475" s="43"/>
      <c r="E475" s="44"/>
      <c r="G475" s="21">
        <f>'Базовые концовки'!F229</f>
        <v>0</v>
      </c>
      <c r="H475" s="21"/>
      <c r="I475" s="21"/>
      <c r="L475" s="21">
        <f>'Текущие концовки'!F229</f>
        <v>0</v>
      </c>
      <c r="M475" s="21"/>
      <c r="N475" s="21"/>
      <c r="T475" s="23"/>
      <c r="U475" s="23"/>
      <c r="V475" s="23"/>
      <c r="W475" s="7"/>
      <c r="X475" s="7"/>
      <c r="Y475" s="23"/>
      <c r="Z475" s="23"/>
    </row>
    <row r="476" spans="2:26" hidden="1">
      <c r="B476" s="42" t="s">
        <v>76</v>
      </c>
      <c r="C476" s="43"/>
      <c r="D476" s="43"/>
      <c r="E476" s="44"/>
      <c r="G476" s="21">
        <f>'Базовые концовки'!F230</f>
        <v>0</v>
      </c>
      <c r="H476" s="21"/>
      <c r="I476" s="21"/>
      <c r="L476" s="21">
        <f>'Текущие концовки'!F230</f>
        <v>0</v>
      </c>
      <c r="M476" s="21"/>
      <c r="N476" s="21"/>
      <c r="T476" s="23"/>
      <c r="U476" s="23"/>
      <c r="V476" s="23"/>
      <c r="W476" s="7"/>
      <c r="X476" s="7"/>
      <c r="Y476" s="23"/>
      <c r="Z476" s="23"/>
    </row>
    <row r="477" spans="2:26" hidden="1">
      <c r="B477" s="42" t="s">
        <v>67</v>
      </c>
      <c r="C477" s="43"/>
      <c r="D477" s="43"/>
      <c r="E477" s="44"/>
      <c r="G477" s="21" t="e">
        <f ca="1">'Базовые концовки'!F231</f>
        <v>#NAME?</v>
      </c>
      <c r="H477" s="21"/>
      <c r="I477" s="21"/>
      <c r="L477" s="21" t="e">
        <f ca="1">'Текущие концовки'!F231</f>
        <v>#NAME?</v>
      </c>
      <c r="M477" s="21"/>
      <c r="N477" s="21"/>
      <c r="T477" s="23"/>
      <c r="U477" s="23"/>
      <c r="V477" s="23"/>
      <c r="W477" s="7"/>
      <c r="X477" s="7"/>
      <c r="Y477" s="23"/>
      <c r="Z477" s="23"/>
    </row>
    <row r="478" spans="2:26" hidden="1">
      <c r="B478" s="42" t="s">
        <v>87</v>
      </c>
      <c r="C478" s="43"/>
      <c r="D478" s="43"/>
      <c r="E478" s="44"/>
      <c r="G478" s="21">
        <f>'Базовые концовки'!F232</f>
        <v>0</v>
      </c>
      <c r="H478" s="21"/>
      <c r="I478" s="21"/>
      <c r="L478" s="21">
        <f>'Текущие концовки'!F232</f>
        <v>0</v>
      </c>
      <c r="M478" s="21"/>
      <c r="N478" s="21"/>
      <c r="T478" s="23"/>
      <c r="U478" s="23"/>
      <c r="V478" s="23"/>
      <c r="W478" s="7"/>
      <c r="X478" s="7"/>
      <c r="Y478" s="23"/>
      <c r="Z478" s="23"/>
    </row>
    <row r="479" spans="2:26" hidden="1">
      <c r="B479" s="42" t="s">
        <v>88</v>
      </c>
      <c r="C479" s="43"/>
      <c r="D479" s="43"/>
      <c r="E479" s="44"/>
      <c r="G479" s="21">
        <f>'Базовые концовки'!F233</f>
        <v>0</v>
      </c>
      <c r="H479" s="21">
        <f>'Базовые концовки'!G233</f>
        <v>0</v>
      </c>
      <c r="I479" s="21">
        <f>'Базовые концовки'!H233</f>
        <v>0</v>
      </c>
      <c r="L479" s="21">
        <f>'Текущие концовки'!F233</f>
        <v>0</v>
      </c>
      <c r="M479" s="21">
        <f>'Текущие концовки'!G233</f>
        <v>0</v>
      </c>
      <c r="N479" s="21">
        <f>'Текущие концовки'!H233</f>
        <v>0</v>
      </c>
      <c r="T479" s="23">
        <f>'Текущие концовки'!G233</f>
        <v>0</v>
      </c>
      <c r="U479" s="23">
        <f>'Текущие концовки'!H233</f>
        <v>0</v>
      </c>
      <c r="V479" s="23">
        <f>'Текущие концовки'!I233</f>
        <v>0</v>
      </c>
      <c r="W479" s="7">
        <f>'Текущие концовки'!J233</f>
        <v>0</v>
      </c>
      <c r="X479" s="7">
        <f>'Текущие концовки'!K233</f>
        <v>0</v>
      </c>
      <c r="Y479" s="23">
        <f>'Текущие концовки'!L233</f>
        <v>0</v>
      </c>
      <c r="Z479" s="23">
        <f>'Текущие концовки'!M233</f>
        <v>0</v>
      </c>
    </row>
    <row r="480" spans="2:26" hidden="1">
      <c r="B480" s="42" t="s">
        <v>74</v>
      </c>
      <c r="C480" s="43"/>
      <c r="D480" s="43"/>
      <c r="E480" s="44"/>
      <c r="G480" s="21">
        <f>'Базовые концовки'!F234</f>
        <v>0</v>
      </c>
      <c r="H480" s="21"/>
      <c r="I480" s="21"/>
      <c r="L480" s="21">
        <f>'Текущие концовки'!F234</f>
        <v>0</v>
      </c>
      <c r="M480" s="21"/>
      <c r="N480" s="21"/>
      <c r="T480" s="23"/>
      <c r="U480" s="23"/>
      <c r="V480" s="23"/>
      <c r="W480" s="7"/>
      <c r="X480" s="7"/>
      <c r="Y480" s="23"/>
      <c r="Z480" s="23"/>
    </row>
    <row r="481" spans="2:26" hidden="1">
      <c r="B481" s="42" t="s">
        <v>75</v>
      </c>
      <c r="C481" s="43"/>
      <c r="D481" s="43"/>
      <c r="E481" s="44"/>
      <c r="G481" s="21">
        <f>'Базовые концовки'!F235</f>
        <v>0</v>
      </c>
      <c r="H481" s="21"/>
      <c r="I481" s="21"/>
      <c r="L481" s="21">
        <f>'Текущие концовки'!F235</f>
        <v>0</v>
      </c>
      <c r="M481" s="21"/>
      <c r="N481" s="21"/>
      <c r="T481" s="23"/>
      <c r="U481" s="23"/>
      <c r="V481" s="23"/>
      <c r="W481" s="7"/>
      <c r="X481" s="7"/>
      <c r="Y481" s="23"/>
      <c r="Z481" s="23"/>
    </row>
    <row r="482" spans="2:26" hidden="1">
      <c r="B482" s="42" t="s">
        <v>76</v>
      </c>
      <c r="C482" s="43"/>
      <c r="D482" s="43"/>
      <c r="E482" s="44"/>
      <c r="G482" s="21">
        <f>'Базовые концовки'!F236</f>
        <v>0</v>
      </c>
      <c r="H482" s="21"/>
      <c r="I482" s="21"/>
      <c r="L482" s="21">
        <f>'Текущие концовки'!F236</f>
        <v>0</v>
      </c>
      <c r="M482" s="21"/>
      <c r="N482" s="21"/>
      <c r="T482" s="23"/>
      <c r="U482" s="23"/>
      <c r="V482" s="23"/>
      <c r="W482" s="7"/>
      <c r="X482" s="7"/>
      <c r="Y482" s="23"/>
      <c r="Z482" s="23"/>
    </row>
    <row r="483" spans="2:26" hidden="1">
      <c r="B483" s="42" t="s">
        <v>89</v>
      </c>
      <c r="C483" s="43"/>
      <c r="D483" s="43"/>
      <c r="E483" s="44"/>
      <c r="G483" s="21">
        <f>'Базовые концовки'!F237</f>
        <v>0</v>
      </c>
      <c r="H483" s="21"/>
      <c r="I483" s="21"/>
      <c r="L483" s="21">
        <f>'Текущие концовки'!F237</f>
        <v>0</v>
      </c>
      <c r="M483" s="21"/>
      <c r="N483" s="21"/>
      <c r="T483" s="23"/>
      <c r="U483" s="23"/>
      <c r="V483" s="23"/>
      <c r="W483" s="7"/>
      <c r="X483" s="7"/>
      <c r="Y483" s="23"/>
      <c r="Z483" s="23"/>
    </row>
    <row r="484" spans="2:26" hidden="1">
      <c r="B484" s="42" t="s">
        <v>90</v>
      </c>
      <c r="C484" s="43"/>
      <c r="D484" s="43"/>
      <c r="E484" s="44"/>
      <c r="G484" s="21">
        <f>'Базовые концовки'!F238</f>
        <v>0</v>
      </c>
      <c r="H484" s="21">
        <f>'Базовые концовки'!G238</f>
        <v>0</v>
      </c>
      <c r="I484" s="21">
        <f>'Базовые концовки'!H238</f>
        <v>0</v>
      </c>
      <c r="L484" s="21">
        <f>'Текущие концовки'!F238</f>
        <v>0</v>
      </c>
      <c r="M484" s="21">
        <f>'Текущие концовки'!G238</f>
        <v>0</v>
      </c>
      <c r="N484" s="21">
        <f>'Текущие концовки'!H238</f>
        <v>0</v>
      </c>
      <c r="T484" s="23">
        <f>'Текущие концовки'!G238</f>
        <v>0</v>
      </c>
      <c r="U484" s="23">
        <f>'Текущие концовки'!H238</f>
        <v>0</v>
      </c>
      <c r="V484" s="23">
        <f>'Текущие концовки'!I238</f>
        <v>0</v>
      </c>
      <c r="W484" s="7">
        <f>'Текущие концовки'!J238</f>
        <v>0</v>
      </c>
      <c r="X484" s="7">
        <f>'Текущие концовки'!K238</f>
        <v>0</v>
      </c>
      <c r="Y484" s="23">
        <f>'Текущие концовки'!L238</f>
        <v>0</v>
      </c>
      <c r="Z484" s="23">
        <f>'Текущие концовки'!M238</f>
        <v>0</v>
      </c>
    </row>
    <row r="485" spans="2:26" hidden="1">
      <c r="B485" s="42" t="s">
        <v>74</v>
      </c>
      <c r="C485" s="43"/>
      <c r="D485" s="43"/>
      <c r="E485" s="44"/>
      <c r="G485" s="21">
        <f>'Базовые концовки'!F239</f>
        <v>0</v>
      </c>
      <c r="H485" s="21"/>
      <c r="I485" s="21"/>
      <c r="L485" s="21">
        <f>'Текущие концовки'!F239</f>
        <v>0</v>
      </c>
      <c r="M485" s="21"/>
      <c r="N485" s="21"/>
      <c r="T485" s="23"/>
      <c r="U485" s="23"/>
      <c r="V485" s="23"/>
      <c r="W485" s="7"/>
      <c r="X485" s="7"/>
      <c r="Y485" s="23"/>
      <c r="Z485" s="23"/>
    </row>
    <row r="486" spans="2:26" hidden="1">
      <c r="B486" s="42" t="s">
        <v>75</v>
      </c>
      <c r="C486" s="43"/>
      <c r="D486" s="43"/>
      <c r="E486" s="44"/>
      <c r="G486" s="21">
        <f>'Базовые концовки'!F240</f>
        <v>0</v>
      </c>
      <c r="H486" s="21"/>
      <c r="I486" s="21"/>
      <c r="L486" s="21">
        <f>'Текущие концовки'!F240</f>
        <v>0</v>
      </c>
      <c r="M486" s="21"/>
      <c r="N486" s="21"/>
      <c r="T486" s="23"/>
      <c r="U486" s="23"/>
      <c r="V486" s="23"/>
      <c r="W486" s="7"/>
      <c r="X486" s="7"/>
      <c r="Y486" s="23"/>
      <c r="Z486" s="23"/>
    </row>
    <row r="487" spans="2:26" hidden="1">
      <c r="B487" s="42" t="s">
        <v>76</v>
      </c>
      <c r="C487" s="43"/>
      <c r="D487" s="43"/>
      <c r="E487" s="44"/>
      <c r="G487" s="21">
        <f>'Базовые концовки'!F241</f>
        <v>0</v>
      </c>
      <c r="H487" s="21"/>
      <c r="I487" s="21"/>
      <c r="L487" s="21">
        <f>'Текущие концовки'!F241</f>
        <v>0</v>
      </c>
      <c r="M487" s="21"/>
      <c r="N487" s="21"/>
      <c r="T487" s="23"/>
      <c r="U487" s="23"/>
      <c r="V487" s="23"/>
      <c r="W487" s="7"/>
      <c r="X487" s="7"/>
      <c r="Y487" s="23"/>
      <c r="Z487" s="23"/>
    </row>
    <row r="488" spans="2:26" hidden="1">
      <c r="B488" s="42" t="s">
        <v>91</v>
      </c>
      <c r="C488" s="43"/>
      <c r="D488" s="43"/>
      <c r="E488" s="44"/>
      <c r="G488" s="21">
        <f>'Базовые концовки'!F242</f>
        <v>0</v>
      </c>
      <c r="H488" s="21"/>
      <c r="I488" s="21"/>
      <c r="L488" s="21">
        <f>'Текущие концовки'!F242</f>
        <v>0</v>
      </c>
      <c r="M488" s="21"/>
      <c r="N488" s="21"/>
      <c r="T488" s="23"/>
      <c r="U488" s="23"/>
      <c r="V488" s="23"/>
      <c r="W488" s="7"/>
      <c r="X488" s="7"/>
      <c r="Y488" s="23"/>
      <c r="Z488" s="23"/>
    </row>
    <row r="489" spans="2:26" hidden="1">
      <c r="B489" s="42" t="s">
        <v>92</v>
      </c>
      <c r="C489" s="43"/>
      <c r="D489" s="43"/>
      <c r="E489" s="44"/>
      <c r="G489" s="21">
        <f>'Базовые концовки'!F243</f>
        <v>0</v>
      </c>
      <c r="H489" s="21">
        <f>'Базовые концовки'!G243</f>
        <v>0</v>
      </c>
      <c r="I489" s="21">
        <f>'Базовые концовки'!H243</f>
        <v>0</v>
      </c>
      <c r="L489" s="21">
        <f>'Текущие концовки'!F243</f>
        <v>0</v>
      </c>
      <c r="M489" s="21">
        <f>'Текущие концовки'!G243</f>
        <v>0</v>
      </c>
      <c r="N489" s="21">
        <f>'Текущие концовки'!H243</f>
        <v>0</v>
      </c>
      <c r="T489" s="23">
        <f>'Текущие концовки'!G243</f>
        <v>0</v>
      </c>
      <c r="U489" s="23">
        <f>'Текущие концовки'!H243</f>
        <v>0</v>
      </c>
      <c r="V489" s="23">
        <f>'Текущие концовки'!I243</f>
        <v>0</v>
      </c>
      <c r="W489" s="7">
        <f>'Текущие концовки'!J243</f>
        <v>0</v>
      </c>
      <c r="X489" s="7">
        <f>'Текущие концовки'!K243</f>
        <v>0</v>
      </c>
      <c r="Y489" s="23">
        <f>'Текущие концовки'!L243</f>
        <v>0</v>
      </c>
      <c r="Z489" s="23">
        <f>'Текущие концовки'!M243</f>
        <v>0</v>
      </c>
    </row>
    <row r="490" spans="2:26" hidden="1">
      <c r="B490" s="42" t="s">
        <v>70</v>
      </c>
      <c r="C490" s="43"/>
      <c r="D490" s="43"/>
      <c r="E490" s="44"/>
      <c r="G490" s="21"/>
      <c r="H490" s="21"/>
      <c r="I490" s="21"/>
      <c r="L490" s="21"/>
      <c r="M490" s="21"/>
      <c r="N490" s="21"/>
      <c r="T490" s="23"/>
      <c r="U490" s="23"/>
      <c r="V490" s="23"/>
      <c r="W490" s="7"/>
      <c r="X490" s="7"/>
      <c r="Y490" s="23"/>
      <c r="Z490" s="23"/>
    </row>
    <row r="491" spans="2:26" hidden="1">
      <c r="B491" s="42" t="s">
        <v>79</v>
      </c>
      <c r="C491" s="43"/>
      <c r="D491" s="43"/>
      <c r="E491" s="44"/>
      <c r="G491" s="21" t="e">
        <f ca="1">'Базовые концовки'!F245</f>
        <v>#NAME?</v>
      </c>
      <c r="H491" s="21"/>
      <c r="I491" s="21"/>
      <c r="L491" s="21" t="e">
        <f ca="1">'Текущие концовки'!F245</f>
        <v>#NAME?</v>
      </c>
      <c r="M491" s="21"/>
      <c r="N491" s="21"/>
      <c r="T491" s="23"/>
      <c r="U491" s="23"/>
      <c r="V491" s="23"/>
      <c r="W491" s="7"/>
      <c r="X491" s="7"/>
      <c r="Y491" s="23"/>
      <c r="Z491" s="23"/>
    </row>
    <row r="492" spans="2:26" hidden="1">
      <c r="B492" s="42" t="s">
        <v>74</v>
      </c>
      <c r="C492" s="43"/>
      <c r="D492" s="43"/>
      <c r="E492" s="44"/>
      <c r="G492" s="21">
        <f>'Базовые концовки'!F246</f>
        <v>0</v>
      </c>
      <c r="H492" s="21"/>
      <c r="I492" s="21"/>
      <c r="L492" s="21">
        <f>'Текущие концовки'!F246</f>
        <v>0</v>
      </c>
      <c r="M492" s="21"/>
      <c r="N492" s="21"/>
      <c r="T492" s="23"/>
      <c r="U492" s="23"/>
      <c r="V492" s="23"/>
      <c r="W492" s="7"/>
      <c r="X492" s="7"/>
      <c r="Y492" s="23"/>
      <c r="Z492" s="23"/>
    </row>
    <row r="493" spans="2:26" hidden="1">
      <c r="B493" s="42" t="s">
        <v>75</v>
      </c>
      <c r="C493" s="43"/>
      <c r="D493" s="43"/>
      <c r="E493" s="44"/>
      <c r="G493" s="21">
        <f>'Базовые концовки'!F247</f>
        <v>0</v>
      </c>
      <c r="H493" s="21"/>
      <c r="I493" s="21"/>
      <c r="L493" s="21">
        <f>'Текущие концовки'!F247</f>
        <v>0</v>
      </c>
      <c r="M493" s="21"/>
      <c r="N493" s="21"/>
      <c r="T493" s="23"/>
      <c r="U493" s="23"/>
      <c r="V493" s="23"/>
      <c r="W493" s="7"/>
      <c r="X493" s="7"/>
      <c r="Y493" s="23"/>
      <c r="Z493" s="23"/>
    </row>
    <row r="494" spans="2:26" hidden="1">
      <c r="B494" s="42" t="s">
        <v>76</v>
      </c>
      <c r="C494" s="43"/>
      <c r="D494" s="43"/>
      <c r="E494" s="44"/>
      <c r="G494" s="21">
        <f>'Базовые концовки'!F248</f>
        <v>0</v>
      </c>
      <c r="H494" s="21"/>
      <c r="I494" s="21"/>
      <c r="L494" s="21">
        <f>'Текущие концовки'!F248</f>
        <v>0</v>
      </c>
      <c r="M494" s="21"/>
      <c r="N494" s="21"/>
      <c r="T494" s="23"/>
      <c r="U494" s="23"/>
      <c r="V494" s="23"/>
      <c r="W494" s="7"/>
      <c r="X494" s="7"/>
      <c r="Y494" s="23"/>
      <c r="Z494" s="23"/>
    </row>
    <row r="495" spans="2:26" hidden="1">
      <c r="B495" s="42" t="s">
        <v>93</v>
      </c>
      <c r="C495" s="43"/>
      <c r="D495" s="43"/>
      <c r="E495" s="44"/>
      <c r="G495" s="21">
        <f>'Базовые концовки'!F249</f>
        <v>0</v>
      </c>
      <c r="H495" s="21"/>
      <c r="I495" s="21"/>
      <c r="L495" s="21">
        <f>'Текущие концовки'!F249</f>
        <v>0</v>
      </c>
      <c r="M495" s="21"/>
      <c r="N495" s="21"/>
      <c r="T495" s="23"/>
      <c r="U495" s="23"/>
      <c r="V495" s="23"/>
      <c r="W495" s="7"/>
      <c r="X495" s="7"/>
      <c r="Y495" s="23"/>
      <c r="Z495" s="23"/>
    </row>
    <row r="496" spans="2:26" hidden="1">
      <c r="B496" s="42" t="s">
        <v>94</v>
      </c>
      <c r="C496" s="43"/>
      <c r="D496" s="43"/>
      <c r="E496" s="44"/>
      <c r="G496" s="21">
        <f>'Базовые концовки'!F250</f>
        <v>0</v>
      </c>
      <c r="H496" s="21">
        <f>'Базовые концовки'!G250</f>
        <v>0</v>
      </c>
      <c r="I496" s="21">
        <f>'Базовые концовки'!H250</f>
        <v>0</v>
      </c>
      <c r="L496" s="21">
        <f>'Текущие концовки'!F250</f>
        <v>0</v>
      </c>
      <c r="M496" s="21">
        <f>'Текущие концовки'!G250</f>
        <v>0</v>
      </c>
      <c r="N496" s="21">
        <f>'Текущие концовки'!H250</f>
        <v>0</v>
      </c>
      <c r="T496" s="23">
        <f>'Текущие концовки'!G250</f>
        <v>0</v>
      </c>
      <c r="U496" s="23">
        <f>'Текущие концовки'!H250</f>
        <v>0</v>
      </c>
      <c r="V496" s="23">
        <f>'Текущие концовки'!I250</f>
        <v>0</v>
      </c>
      <c r="W496" s="7">
        <f>'Текущие концовки'!J250</f>
        <v>0</v>
      </c>
      <c r="X496" s="7">
        <f>'Текущие концовки'!K250</f>
        <v>0</v>
      </c>
      <c r="Y496" s="23">
        <f>'Текущие концовки'!L250</f>
        <v>0</v>
      </c>
      <c r="Z496" s="23">
        <f>'Текущие концовки'!M250</f>
        <v>0</v>
      </c>
    </row>
    <row r="497" spans="2:26" hidden="1">
      <c r="B497" s="42" t="s">
        <v>95</v>
      </c>
      <c r="C497" s="43"/>
      <c r="D497" s="43"/>
      <c r="E497" s="44"/>
      <c r="G497" s="21">
        <f>'Базовые концовки'!F251</f>
        <v>0</v>
      </c>
      <c r="H497" s="21"/>
      <c r="I497" s="21"/>
      <c r="L497" s="21">
        <f>'Текущие концовки'!F251</f>
        <v>0</v>
      </c>
      <c r="M497" s="21"/>
      <c r="N497" s="21"/>
      <c r="T497" s="23"/>
      <c r="U497" s="23"/>
      <c r="V497" s="23"/>
      <c r="W497" s="7"/>
      <c r="X497" s="7"/>
      <c r="Y497" s="23"/>
      <c r="Z497" s="23"/>
    </row>
    <row r="498" spans="2:26" hidden="1">
      <c r="B498" s="42" t="s">
        <v>96</v>
      </c>
      <c r="C498" s="43"/>
      <c r="D498" s="43"/>
      <c r="E498" s="44"/>
      <c r="G498" s="21">
        <f>'Базовые концовки'!F252</f>
        <v>0</v>
      </c>
      <c r="H498" s="21"/>
      <c r="I498" s="21"/>
      <c r="L498" s="21">
        <f>'Текущие концовки'!F252</f>
        <v>0</v>
      </c>
      <c r="M498" s="21"/>
      <c r="N498" s="21"/>
      <c r="T498" s="23"/>
      <c r="U498" s="23"/>
      <c r="V498" s="23"/>
      <c r="W498" s="7"/>
      <c r="X498" s="7"/>
      <c r="Y498" s="23"/>
      <c r="Z498" s="23"/>
    </row>
    <row r="499" spans="2:26" hidden="1">
      <c r="B499" s="42" t="s">
        <v>75</v>
      </c>
      <c r="C499" s="43"/>
      <c r="D499" s="43"/>
      <c r="E499" s="44"/>
      <c r="G499" s="21">
        <f>'Базовые концовки'!F253</f>
        <v>0</v>
      </c>
      <c r="H499" s="21"/>
      <c r="I499" s="21"/>
      <c r="L499" s="21">
        <f>'Текущие концовки'!F253</f>
        <v>0</v>
      </c>
      <c r="M499" s="21"/>
      <c r="N499" s="21"/>
      <c r="T499" s="23"/>
      <c r="U499" s="23"/>
      <c r="V499" s="23"/>
      <c r="W499" s="7"/>
      <c r="X499" s="7"/>
      <c r="Y499" s="23"/>
      <c r="Z499" s="23"/>
    </row>
    <row r="500" spans="2:26" hidden="1">
      <c r="B500" s="42" t="s">
        <v>76</v>
      </c>
      <c r="C500" s="43"/>
      <c r="D500" s="43"/>
      <c r="E500" s="44"/>
      <c r="G500" s="21">
        <f>'Базовые концовки'!F254</f>
        <v>0</v>
      </c>
      <c r="H500" s="21"/>
      <c r="I500" s="21"/>
      <c r="L500" s="21">
        <f>'Текущие концовки'!F254</f>
        <v>0</v>
      </c>
      <c r="M500" s="21"/>
      <c r="N500" s="21"/>
      <c r="T500" s="23"/>
      <c r="U500" s="23"/>
      <c r="V500" s="23"/>
      <c r="W500" s="7"/>
      <c r="X500" s="7"/>
      <c r="Y500" s="23"/>
      <c r="Z500" s="23"/>
    </row>
    <row r="501" spans="2:26" hidden="1">
      <c r="B501" s="42" t="s">
        <v>97</v>
      </c>
      <c r="C501" s="43"/>
      <c r="D501" s="43"/>
      <c r="E501" s="44"/>
      <c r="G501" s="21">
        <f>'Базовые концовки'!F255</f>
        <v>0</v>
      </c>
      <c r="H501" s="21"/>
      <c r="I501" s="21"/>
      <c r="L501" s="21">
        <f>'Текущие концовки'!F255</f>
        <v>0</v>
      </c>
      <c r="M501" s="21"/>
      <c r="N501" s="21"/>
      <c r="T501" s="23"/>
      <c r="U501" s="23"/>
      <c r="V501" s="23"/>
      <c r="W501" s="7"/>
      <c r="X501" s="7"/>
      <c r="Y501" s="23"/>
      <c r="Z501" s="23"/>
    </row>
    <row r="502" spans="2:26" hidden="1">
      <c r="B502" s="42" t="s">
        <v>98</v>
      </c>
      <c r="C502" s="43"/>
      <c r="D502" s="43"/>
      <c r="E502" s="44"/>
      <c r="G502" s="21">
        <f>'Базовые концовки'!F256</f>
        <v>0</v>
      </c>
      <c r="H502" s="21">
        <f>'Базовые концовки'!G256</f>
        <v>0</v>
      </c>
      <c r="I502" s="21">
        <f>'Базовые концовки'!H256</f>
        <v>0</v>
      </c>
      <c r="L502" s="21">
        <f>'Текущие концовки'!F256</f>
        <v>0</v>
      </c>
      <c r="M502" s="21">
        <f>'Текущие концовки'!G256</f>
        <v>0</v>
      </c>
      <c r="N502" s="21">
        <f>'Текущие концовки'!H256</f>
        <v>0</v>
      </c>
      <c r="T502" s="23">
        <f>'Текущие концовки'!G256</f>
        <v>0</v>
      </c>
      <c r="U502" s="23">
        <f>'Текущие концовки'!H256</f>
        <v>0</v>
      </c>
      <c r="V502" s="23">
        <f>'Текущие концовки'!I256</f>
        <v>0</v>
      </c>
      <c r="W502" s="7">
        <f>'Текущие концовки'!J256</f>
        <v>0</v>
      </c>
      <c r="X502" s="7">
        <f>'Текущие концовки'!K256</f>
        <v>0</v>
      </c>
      <c r="Y502" s="23">
        <f>'Текущие концовки'!L256</f>
        <v>0</v>
      </c>
      <c r="Z502" s="23">
        <f>'Текущие концовки'!M256</f>
        <v>0</v>
      </c>
    </row>
    <row r="503" spans="2:26" hidden="1">
      <c r="B503" s="42" t="s">
        <v>75</v>
      </c>
      <c r="C503" s="43"/>
      <c r="D503" s="43"/>
      <c r="E503" s="44"/>
      <c r="G503" s="21">
        <f>'Базовые концовки'!F257</f>
        <v>0</v>
      </c>
      <c r="H503" s="21"/>
      <c r="I503" s="21"/>
      <c r="L503" s="21">
        <f>'Текущие концовки'!F257</f>
        <v>0</v>
      </c>
      <c r="M503" s="21"/>
      <c r="N503" s="21"/>
      <c r="T503" s="23"/>
      <c r="U503" s="23"/>
      <c r="V503" s="23"/>
      <c r="W503" s="7"/>
      <c r="X503" s="7"/>
      <c r="Y503" s="23"/>
      <c r="Z503" s="23"/>
    </row>
    <row r="504" spans="2:26" hidden="1">
      <c r="B504" s="42" t="s">
        <v>76</v>
      </c>
      <c r="C504" s="43"/>
      <c r="D504" s="43"/>
      <c r="E504" s="44"/>
      <c r="G504" s="21">
        <f>'Базовые концовки'!F258</f>
        <v>0</v>
      </c>
      <c r="H504" s="21"/>
      <c r="I504" s="21"/>
      <c r="L504" s="21">
        <f>'Текущие концовки'!F258</f>
        <v>0</v>
      </c>
      <c r="M504" s="21"/>
      <c r="N504" s="21"/>
      <c r="T504" s="23"/>
      <c r="U504" s="23"/>
      <c r="V504" s="23"/>
      <c r="W504" s="7"/>
      <c r="X504" s="7"/>
      <c r="Y504" s="23"/>
      <c r="Z504" s="23"/>
    </row>
    <row r="505" spans="2:26" hidden="1">
      <c r="B505" s="42" t="s">
        <v>99</v>
      </c>
      <c r="C505" s="43"/>
      <c r="D505" s="43"/>
      <c r="E505" s="44"/>
      <c r="G505" s="21">
        <f>'Базовые концовки'!F259</f>
        <v>0</v>
      </c>
      <c r="H505" s="21"/>
      <c r="I505" s="21"/>
      <c r="L505" s="21">
        <f>'Текущие концовки'!F259</f>
        <v>0</v>
      </c>
      <c r="M505" s="21"/>
      <c r="N505" s="21"/>
      <c r="T505" s="23"/>
      <c r="U505" s="23"/>
      <c r="V505" s="23"/>
      <c r="W505" s="7"/>
      <c r="X505" s="7"/>
      <c r="Y505" s="23"/>
      <c r="Z505" s="23"/>
    </row>
    <row r="506" spans="2:26" hidden="1">
      <c r="B506" s="42" t="s">
        <v>100</v>
      </c>
      <c r="C506" s="43"/>
      <c r="D506" s="43"/>
      <c r="E506" s="44"/>
      <c r="G506" s="21">
        <f>'Базовые концовки'!F260</f>
        <v>0</v>
      </c>
      <c r="H506" s="21">
        <f>'Базовые концовки'!G260</f>
        <v>0</v>
      </c>
      <c r="I506" s="21">
        <f>'Базовые концовки'!H260</f>
        <v>0</v>
      </c>
      <c r="L506" s="21">
        <f>'Текущие концовки'!F260</f>
        <v>0</v>
      </c>
      <c r="M506" s="21">
        <f>'Текущие концовки'!G260</f>
        <v>0</v>
      </c>
      <c r="N506" s="21">
        <f>'Текущие концовки'!H260</f>
        <v>0</v>
      </c>
      <c r="T506" s="23">
        <f>'Текущие концовки'!G260</f>
        <v>0</v>
      </c>
      <c r="U506" s="23">
        <f>'Текущие концовки'!H260</f>
        <v>0</v>
      </c>
      <c r="V506" s="23">
        <f>'Текущие концовки'!I260</f>
        <v>0</v>
      </c>
      <c r="W506" s="7">
        <f>'Текущие концовки'!J260</f>
        <v>0</v>
      </c>
      <c r="X506" s="7">
        <f>'Текущие концовки'!K260</f>
        <v>0</v>
      </c>
      <c r="Y506" s="23">
        <f>'Текущие концовки'!L260</f>
        <v>0</v>
      </c>
      <c r="Z506" s="23">
        <f>'Текущие концовки'!M260</f>
        <v>0</v>
      </c>
    </row>
    <row r="507" spans="2:26" hidden="1">
      <c r="B507" s="42" t="s">
        <v>74</v>
      </c>
      <c r="C507" s="43"/>
      <c r="D507" s="43"/>
      <c r="E507" s="44"/>
      <c r="G507" s="21">
        <f>'Базовые концовки'!F261</f>
        <v>0</v>
      </c>
      <c r="H507" s="21"/>
      <c r="I507" s="21"/>
      <c r="L507" s="21">
        <f>'Текущие концовки'!F261</f>
        <v>0</v>
      </c>
      <c r="M507" s="21"/>
      <c r="N507" s="21"/>
      <c r="T507" s="23"/>
      <c r="U507" s="23"/>
      <c r="V507" s="23"/>
      <c r="W507" s="7"/>
      <c r="X507" s="7"/>
      <c r="Y507" s="23"/>
      <c r="Z507" s="23"/>
    </row>
    <row r="508" spans="2:26" hidden="1">
      <c r="B508" s="42" t="s">
        <v>75</v>
      </c>
      <c r="C508" s="43"/>
      <c r="D508" s="43"/>
      <c r="E508" s="44"/>
      <c r="G508" s="21">
        <f>'Базовые концовки'!F262</f>
        <v>0</v>
      </c>
      <c r="H508" s="21"/>
      <c r="I508" s="21"/>
      <c r="L508" s="21">
        <f>'Текущие концовки'!F262</f>
        <v>0</v>
      </c>
      <c r="M508" s="21"/>
      <c r="N508" s="21"/>
      <c r="T508" s="23"/>
      <c r="U508" s="23"/>
      <c r="V508" s="23"/>
      <c r="W508" s="7"/>
      <c r="X508" s="7"/>
      <c r="Y508" s="23"/>
      <c r="Z508" s="23"/>
    </row>
    <row r="509" spans="2:26" hidden="1">
      <c r="B509" s="42" t="s">
        <v>76</v>
      </c>
      <c r="C509" s="43"/>
      <c r="D509" s="43"/>
      <c r="E509" s="44"/>
      <c r="G509" s="21">
        <f>'Базовые концовки'!F263</f>
        <v>0</v>
      </c>
      <c r="H509" s="21"/>
      <c r="I509" s="21"/>
      <c r="L509" s="21">
        <f>'Текущие концовки'!F263</f>
        <v>0</v>
      </c>
      <c r="M509" s="21"/>
      <c r="N509" s="21"/>
      <c r="T509" s="23"/>
      <c r="U509" s="23"/>
      <c r="V509" s="23"/>
      <c r="W509" s="7"/>
      <c r="X509" s="7"/>
      <c r="Y509" s="23"/>
      <c r="Z509" s="23"/>
    </row>
    <row r="510" spans="2:26" hidden="1">
      <c r="B510" s="42" t="s">
        <v>101</v>
      </c>
      <c r="C510" s="43"/>
      <c r="D510" s="43"/>
      <c r="E510" s="44"/>
      <c r="G510" s="21">
        <f>'Базовые концовки'!F264</f>
        <v>0</v>
      </c>
      <c r="H510" s="21"/>
      <c r="I510" s="21"/>
      <c r="L510" s="21">
        <f>'Текущие концовки'!F264</f>
        <v>0</v>
      </c>
      <c r="M510" s="21"/>
      <c r="N510" s="21"/>
      <c r="T510" s="23"/>
      <c r="U510" s="23"/>
      <c r="V510" s="23"/>
      <c r="W510" s="7"/>
      <c r="X510" s="7"/>
      <c r="Y510" s="23"/>
      <c r="Z510" s="23"/>
    </row>
    <row r="511" spans="2:26" hidden="1">
      <c r="B511" s="42" t="s">
        <v>102</v>
      </c>
      <c r="C511" s="43"/>
      <c r="D511" s="43"/>
      <c r="E511" s="44"/>
      <c r="G511" s="21">
        <f>'Базовые концовки'!F265</f>
        <v>0</v>
      </c>
      <c r="H511" s="21">
        <f>'Базовые концовки'!G265</f>
        <v>0</v>
      </c>
      <c r="I511" s="21">
        <f>'Базовые концовки'!H265</f>
        <v>0</v>
      </c>
      <c r="L511" s="21">
        <f>'Текущие концовки'!F265</f>
        <v>0</v>
      </c>
      <c r="M511" s="21">
        <f>'Текущие концовки'!G265</f>
        <v>0</v>
      </c>
      <c r="N511" s="21">
        <f>'Текущие концовки'!H265</f>
        <v>0</v>
      </c>
      <c r="T511" s="23">
        <f>'Текущие концовки'!G265</f>
        <v>0</v>
      </c>
      <c r="U511" s="23">
        <f>'Текущие концовки'!H265</f>
        <v>0</v>
      </c>
      <c r="V511" s="23">
        <f>'Текущие концовки'!I265</f>
        <v>0</v>
      </c>
      <c r="W511" s="7">
        <f>'Текущие концовки'!J265</f>
        <v>0</v>
      </c>
      <c r="X511" s="7">
        <f>'Текущие концовки'!K265</f>
        <v>0</v>
      </c>
      <c r="Y511" s="23">
        <f>'Текущие концовки'!L265</f>
        <v>0</v>
      </c>
      <c r="Z511" s="23">
        <f>'Текущие концовки'!M265</f>
        <v>0</v>
      </c>
    </row>
    <row r="512" spans="2:26" hidden="1">
      <c r="B512" s="42" t="s">
        <v>74</v>
      </c>
      <c r="C512" s="43"/>
      <c r="D512" s="43"/>
      <c r="E512" s="44"/>
      <c r="G512" s="21">
        <f>'Базовые концовки'!F266</f>
        <v>0</v>
      </c>
      <c r="H512" s="21"/>
      <c r="I512" s="21"/>
      <c r="L512" s="21">
        <f>'Текущие концовки'!F266</f>
        <v>0</v>
      </c>
      <c r="M512" s="21"/>
      <c r="N512" s="21"/>
      <c r="T512" s="23"/>
      <c r="U512" s="23"/>
      <c r="V512" s="23"/>
      <c r="W512" s="7"/>
      <c r="X512" s="7"/>
      <c r="Y512" s="23"/>
      <c r="Z512" s="23"/>
    </row>
    <row r="513" spans="1:26">
      <c r="B513" s="42" t="s">
        <v>143</v>
      </c>
      <c r="C513" s="43"/>
      <c r="D513" s="43"/>
      <c r="E513" s="43"/>
      <c r="F513" s="44"/>
      <c r="G513" s="21" t="e">
        <f ca="1">'Базовые концовки'!F267</f>
        <v>#NAME?</v>
      </c>
      <c r="H513" s="21">
        <f>'Базовые концовки'!G267</f>
        <v>0</v>
      </c>
      <c r="I513" s="21">
        <f>'Базовые концовки'!H267</f>
        <v>0</v>
      </c>
      <c r="L513" s="21" t="e">
        <f ca="1">'Текущие концовки'!F267</f>
        <v>#NAME?</v>
      </c>
      <c r="M513" s="21">
        <f>'Текущие концовки'!G267</f>
        <v>0</v>
      </c>
      <c r="N513" s="21">
        <f>'Текущие концовки'!H267</f>
        <v>0</v>
      </c>
      <c r="T513" s="23">
        <f>'Текущие концовки'!G267</f>
        <v>0</v>
      </c>
      <c r="U513" s="23">
        <f>'Текущие концовки'!H267</f>
        <v>0</v>
      </c>
      <c r="V513" s="23">
        <f>'Текущие концовки'!I267</f>
        <v>0</v>
      </c>
      <c r="W513" s="7">
        <f>'Текущие концовки'!J267</f>
        <v>0</v>
      </c>
      <c r="X513" s="7">
        <f>'Текущие концовки'!K267</f>
        <v>0</v>
      </c>
      <c r="Y513" s="23">
        <f>'Текущие концовки'!L267</f>
        <v>0</v>
      </c>
      <c r="Z513" s="23">
        <f>'Текущие концовки'!M267</f>
        <v>0</v>
      </c>
    </row>
    <row r="514" spans="1:26" hidden="1">
      <c r="B514" s="42" t="s">
        <v>104</v>
      </c>
      <c r="C514" s="43"/>
      <c r="D514" s="43"/>
      <c r="E514" s="44"/>
      <c r="G514" s="21">
        <f>'Базовые концовки'!F268</f>
        <v>0</v>
      </c>
      <c r="H514" s="21"/>
      <c r="I514" s="21"/>
      <c r="L514" s="21">
        <f>'Текущие концовки'!F268</f>
        <v>0</v>
      </c>
      <c r="M514" s="21"/>
      <c r="N514" s="21"/>
      <c r="T514" s="23"/>
      <c r="U514" s="23"/>
      <c r="V514" s="23"/>
      <c r="W514" s="7"/>
      <c r="X514" s="7"/>
      <c r="Y514" s="23"/>
      <c r="Z514" s="23"/>
    </row>
    <row r="515" spans="1:26">
      <c r="B515" s="42" t="s">
        <v>105</v>
      </c>
      <c r="C515" s="43"/>
      <c r="D515" s="43"/>
      <c r="E515" s="43"/>
      <c r="F515" s="44"/>
      <c r="G515" s="21">
        <f>'Базовые концовки'!F269</f>
        <v>646</v>
      </c>
      <c r="H515" s="21"/>
      <c r="I515" s="21"/>
      <c r="L515" s="21">
        <f>'Текущие концовки'!F269</f>
        <v>13368</v>
      </c>
      <c r="M515" s="21"/>
      <c r="N515" s="21"/>
      <c r="T515" s="23"/>
      <c r="U515" s="23"/>
      <c r="V515" s="23"/>
      <c r="W515" s="7"/>
      <c r="X515" s="7"/>
      <c r="Y515" s="23"/>
      <c r="Z515" s="23"/>
    </row>
    <row r="516" spans="1:26">
      <c r="B516" s="42" t="s">
        <v>106</v>
      </c>
      <c r="C516" s="43"/>
      <c r="D516" s="43"/>
      <c r="E516" s="43"/>
      <c r="F516" s="44"/>
      <c r="G516" s="21">
        <f>'Базовые концовки'!F270</f>
        <v>482</v>
      </c>
      <c r="H516" s="21"/>
      <c r="I516" s="21"/>
      <c r="L516" s="21">
        <f>'Текущие концовки'!F270</f>
        <v>9935</v>
      </c>
      <c r="M516" s="21"/>
      <c r="N516" s="21"/>
      <c r="T516" s="23"/>
      <c r="U516" s="23"/>
      <c r="V516" s="23"/>
      <c r="W516" s="7"/>
      <c r="X516" s="7"/>
      <c r="Y516" s="23"/>
      <c r="Z516" s="23"/>
    </row>
    <row r="517" spans="1:26" hidden="1">
      <c r="B517" s="42" t="s">
        <v>33</v>
      </c>
      <c r="C517" s="43"/>
      <c r="D517" s="43"/>
      <c r="E517" s="44"/>
      <c r="G517" s="21">
        <f>'Базовые концовки'!F271</f>
        <v>0</v>
      </c>
      <c r="H517" s="21"/>
      <c r="I517" s="21"/>
      <c r="L517" s="21">
        <f>'Текущие концовки'!F271</f>
        <v>0</v>
      </c>
      <c r="M517" s="21"/>
      <c r="N517" s="21"/>
      <c r="T517" s="23"/>
      <c r="U517" s="23"/>
      <c r="V517" s="23"/>
      <c r="W517" s="7"/>
      <c r="X517" s="7"/>
      <c r="Y517" s="23">
        <f>'Текущие концовки'!L271</f>
        <v>0</v>
      </c>
      <c r="Z517" s="23"/>
    </row>
    <row r="518" spans="1:26" hidden="1">
      <c r="B518" s="42" t="s">
        <v>107</v>
      </c>
      <c r="C518" s="43"/>
      <c r="D518" s="43"/>
      <c r="E518" s="44"/>
      <c r="G518" s="21">
        <f>'Базовые концовки'!F272</f>
        <v>0</v>
      </c>
      <c r="H518" s="21"/>
      <c r="I518" s="21"/>
      <c r="L518" s="21">
        <f>'Текущие концовки'!F272</f>
        <v>0</v>
      </c>
      <c r="M518" s="21"/>
      <c r="N518" s="21"/>
      <c r="T518" s="23"/>
      <c r="U518" s="23"/>
      <c r="V518" s="23"/>
      <c r="W518" s="7"/>
      <c r="X518" s="7"/>
      <c r="Y518" s="23">
        <f>'Текущие концовки'!L272</f>
        <v>0</v>
      </c>
      <c r="Z518" s="23"/>
    </row>
    <row r="519" spans="1:26" hidden="1">
      <c r="B519" s="42" t="s">
        <v>108</v>
      </c>
      <c r="C519" s="43"/>
      <c r="D519" s="43"/>
      <c r="E519" s="43"/>
      <c r="F519" s="44"/>
      <c r="G519" s="21">
        <f>'Базовые концовки'!F273</f>
        <v>718</v>
      </c>
      <c r="H519" s="21"/>
      <c r="I519" s="21"/>
      <c r="L519" s="21">
        <f>'Текущие концовки'!F273</f>
        <v>14839</v>
      </c>
      <c r="M519" s="21"/>
      <c r="N519" s="21"/>
      <c r="T519" s="23"/>
      <c r="U519" s="23"/>
      <c r="V519" s="23"/>
      <c r="W519" s="7"/>
      <c r="X519" s="7"/>
      <c r="Y519" s="23"/>
      <c r="Z519" s="23"/>
    </row>
    <row r="520" spans="1:26" hidden="1">
      <c r="B520" s="42" t="s">
        <v>109</v>
      </c>
      <c r="C520" s="43"/>
      <c r="D520" s="43"/>
      <c r="E520" s="43"/>
      <c r="F520" s="44"/>
      <c r="G520" s="21">
        <f>'Базовые концовки'!F274</f>
        <v>36</v>
      </c>
      <c r="H520" s="21"/>
      <c r="I520" s="21"/>
      <c r="L520" s="21">
        <f>'Текущие концовки'!F274</f>
        <v>746</v>
      </c>
      <c r="M520" s="21"/>
      <c r="N520" s="21"/>
      <c r="T520" s="23"/>
      <c r="U520" s="23"/>
      <c r="V520" s="23"/>
      <c r="W520" s="7"/>
      <c r="X520" s="7"/>
      <c r="Y520" s="23"/>
      <c r="Z520" s="23"/>
    </row>
    <row r="521" spans="1:26" hidden="1">
      <c r="B521" s="42" t="s">
        <v>110</v>
      </c>
      <c r="C521" s="43"/>
      <c r="D521" s="43"/>
      <c r="E521" s="43"/>
      <c r="F521" s="44"/>
      <c r="G521" s="21">
        <f>'Базовые концовки'!F275</f>
        <v>754</v>
      </c>
      <c r="H521" s="21"/>
      <c r="I521" s="21"/>
      <c r="L521" s="21">
        <f>'Текущие концовки'!F275</f>
        <v>15585</v>
      </c>
      <c r="M521" s="21"/>
      <c r="N521" s="21"/>
      <c r="T521" s="23"/>
      <c r="U521" s="23"/>
      <c r="V521" s="23"/>
      <c r="W521" s="7"/>
      <c r="X521" s="7"/>
      <c r="Y521" s="23"/>
      <c r="Z521" s="23"/>
    </row>
    <row r="522" spans="1:26" hidden="1">
      <c r="B522" s="42" t="s">
        <v>111</v>
      </c>
      <c r="C522" s="43"/>
      <c r="D522" s="43"/>
      <c r="E522" s="43"/>
      <c r="F522" s="44"/>
      <c r="G522" s="7" t="e">
        <f ca="1">'Базовые концовки'!J276</f>
        <v>#NAME?</v>
      </c>
      <c r="H522" s="21"/>
      <c r="I522" s="21"/>
      <c r="L522" s="7" t="e">
        <f ca="1">'Текущие концовки'!J276</f>
        <v>#NAME?</v>
      </c>
      <c r="M522" s="21"/>
      <c r="N522" s="21"/>
      <c r="T522" s="23"/>
      <c r="U522" s="23"/>
      <c r="V522" s="23"/>
      <c r="W522" s="7" t="e">
        <f ca="1">'Текущие концовки'!J276</f>
        <v>#NAME?</v>
      </c>
      <c r="X522" s="7"/>
      <c r="Y522" s="23"/>
      <c r="Z522" s="23"/>
    </row>
    <row r="523" spans="1:26" hidden="1">
      <c r="B523" s="42" t="s">
        <v>112</v>
      </c>
      <c r="C523" s="43"/>
      <c r="D523" s="43"/>
      <c r="E523" s="43"/>
      <c r="F523" s="44"/>
      <c r="G523" s="7" t="e">
        <f ca="1">'Базовые концовки'!J277</f>
        <v>#NAME?</v>
      </c>
      <c r="H523" s="21"/>
      <c r="I523" s="21"/>
      <c r="L523" s="7" t="e">
        <f ca="1">'Текущие концовки'!J277</f>
        <v>#NAME?</v>
      </c>
      <c r="M523" s="21"/>
      <c r="N523" s="21"/>
      <c r="T523" s="23"/>
      <c r="U523" s="23"/>
      <c r="V523" s="23"/>
      <c r="W523" s="7" t="e">
        <f ca="1">'Текущие концовки'!J277</f>
        <v>#NAME?</v>
      </c>
      <c r="X523" s="7"/>
      <c r="Y523" s="23"/>
      <c r="Z523" s="23"/>
    </row>
    <row r="524" spans="1:26" hidden="1">
      <c r="B524" s="42" t="s">
        <v>113</v>
      </c>
      <c r="C524" s="43"/>
      <c r="D524" s="43"/>
      <c r="E524" s="43"/>
      <c r="F524" s="44"/>
      <c r="G524" s="7" t="e">
        <f ca="1">'Базовые концовки'!J278</f>
        <v>#NAME?</v>
      </c>
      <c r="H524" s="21"/>
      <c r="I524" s="21"/>
      <c r="L524" s="7" t="e">
        <f ca="1">'Текущие концовки'!J278</f>
        <v>#NAME?</v>
      </c>
      <c r="M524" s="21"/>
      <c r="N524" s="21"/>
      <c r="T524" s="23"/>
      <c r="U524" s="23"/>
      <c r="V524" s="23"/>
      <c r="W524" s="7" t="e">
        <f ca="1">'Текущие концовки'!J278</f>
        <v>#NAME?</v>
      </c>
      <c r="X524" s="7"/>
      <c r="Y524" s="23"/>
      <c r="Z524" s="23"/>
    </row>
    <row r="526" spans="1:26">
      <c r="B526" s="49" t="s">
        <v>144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</row>
    <row r="527" spans="1:26"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</row>
    <row r="528" spans="1:26">
      <c r="A528" s="6" t="s">
        <v>145</v>
      </c>
      <c r="B528" s="48" t="s">
        <v>146</v>
      </c>
      <c r="C528" s="1">
        <v>0.15</v>
      </c>
      <c r="D528" s="12">
        <f>'Базовые цены за единицу'!B30</f>
        <v>2133.5300000000002</v>
      </c>
      <c r="E528" s="13">
        <f>'Базовые цены за единицу'!C30</f>
        <v>1300.51</v>
      </c>
      <c r="F528" s="13">
        <f>'Базовые цены за единицу'!D30</f>
        <v>122.23</v>
      </c>
      <c r="G528" s="14">
        <f>'Базовые цены с учетом расхода'!B30</f>
        <v>320</v>
      </c>
      <c r="H528" s="15">
        <f>'Базовые цены с учетом расхода'!C30</f>
        <v>195</v>
      </c>
      <c r="I528" s="15">
        <f>'Базовые цены с учетом расхода'!D30</f>
        <v>18</v>
      </c>
      <c r="J528" s="16">
        <v>20.63</v>
      </c>
      <c r="K528" s="16">
        <v>9.8000000000000007</v>
      </c>
      <c r="L528" s="14">
        <f>'Текущие цены с учетом расхода'!B30</f>
        <v>4900</v>
      </c>
      <c r="M528" s="15">
        <f>'Текущие цены с учетом расхода'!C30</f>
        <v>4024</v>
      </c>
      <c r="N528" s="15">
        <f>'Текущие цены с учетом расхода'!D30</f>
        <v>180</v>
      </c>
    </row>
    <row r="529" spans="2:16" ht="55.15" customHeight="1">
      <c r="B529" s="43"/>
      <c r="E529" s="12">
        <f>'Базовые цены за единицу'!F30</f>
        <v>710.79</v>
      </c>
      <c r="F529" s="12">
        <f>'Базовые цены за единицу'!E30</f>
        <v>28.41</v>
      </c>
      <c r="H529" s="14">
        <f>'Базовые цены с учетом расхода'!F30</f>
        <v>107</v>
      </c>
      <c r="I529" s="14">
        <f>'Базовые цены с учетом расхода'!E30</f>
        <v>4</v>
      </c>
      <c r="J529" s="16">
        <v>6.53</v>
      </c>
      <c r="K529" s="16">
        <v>20.63</v>
      </c>
      <c r="M529" s="14">
        <f>'Текущие цены с учетом расхода'!F30</f>
        <v>696</v>
      </c>
      <c r="N529" s="14">
        <f>'Текущие цены с учетом расхода'!E30</f>
        <v>88</v>
      </c>
    </row>
    <row r="530" spans="2:16" hidden="1">
      <c r="B530" s="17" t="s">
        <v>29</v>
      </c>
      <c r="G530" s="1">
        <v>195</v>
      </c>
      <c r="L530" s="1">
        <v>4024</v>
      </c>
    </row>
    <row r="531" spans="2:16" hidden="1">
      <c r="B531" s="17" t="s">
        <v>30</v>
      </c>
      <c r="G531" s="1">
        <v>18</v>
      </c>
      <c r="L531" s="1">
        <v>180</v>
      </c>
    </row>
    <row r="532" spans="2:16" hidden="1">
      <c r="B532" s="17" t="s">
        <v>31</v>
      </c>
      <c r="G532" s="1">
        <v>4</v>
      </c>
      <c r="L532" s="1">
        <v>88</v>
      </c>
    </row>
    <row r="533" spans="2:16" hidden="1">
      <c r="B533" s="17" t="s">
        <v>32</v>
      </c>
      <c r="G533" s="1">
        <v>107</v>
      </c>
      <c r="L533" s="1">
        <v>696</v>
      </c>
    </row>
    <row r="534" spans="2:16" ht="31.5" hidden="1">
      <c r="B534" s="17" t="s">
        <v>33</v>
      </c>
    </row>
    <row r="535" spans="2:16" ht="21" hidden="1">
      <c r="B535" s="17" t="s">
        <v>34</v>
      </c>
      <c r="D535" s="18"/>
      <c r="K535" s="18"/>
      <c r="O535" s="1" t="s">
        <v>35</v>
      </c>
      <c r="P535" s="1" t="s">
        <v>36</v>
      </c>
    </row>
    <row r="536" spans="2:16" ht="21" hidden="1">
      <c r="B536" s="17" t="s">
        <v>37</v>
      </c>
    </row>
    <row r="537" spans="2:16" ht="21" hidden="1">
      <c r="B537" s="17" t="s">
        <v>38</v>
      </c>
    </row>
    <row r="538" spans="2:16" ht="21" hidden="1">
      <c r="B538" s="17" t="s">
        <v>39</v>
      </c>
    </row>
    <row r="539" spans="2:16">
      <c r="B539" s="17" t="s">
        <v>40</v>
      </c>
      <c r="D539" s="1">
        <v>83</v>
      </c>
      <c r="G539" s="14">
        <f>IF('Базовые цены с учетом расхода'!N30&gt;0,'Базовые цены с учетом расхода'!N30,IF('Базовые цены с учетом расхода'!N30&lt;0,'Базовые цены с учетом расхода'!N30,""))</f>
        <v>165</v>
      </c>
      <c r="K539" s="1">
        <v>83</v>
      </c>
      <c r="L539" s="14">
        <f>IF('Текущие цены с учетом расхода'!N30&gt;0,'Текущие цены с учетом расхода'!N30,IF('Текущие цены с учетом расхода'!N30&lt;0,'Текущие цены с учетом расхода'!N30,""))</f>
        <v>3413</v>
      </c>
      <c r="P539" s="5" t="s">
        <v>41</v>
      </c>
    </row>
    <row r="540" spans="2:16" hidden="1">
      <c r="B540" s="17" t="s">
        <v>42</v>
      </c>
      <c r="D540" s="1">
        <v>83</v>
      </c>
      <c r="G540" s="14">
        <f>IF('Базовые цены с учетом расхода'!P30&gt;0,'Базовые цены с учетом расхода'!P30,IF('Базовые цены с учетом расхода'!P30&lt;0,'Базовые цены с учетом расхода'!P30,""))</f>
        <v>162</v>
      </c>
      <c r="K540" s="1">
        <v>83</v>
      </c>
      <c r="L540" s="14">
        <f>IF('Текущие цены с учетом расхода'!P30&gt;0,'Текущие цены с учетом расхода'!P30,IF('Текущие цены с учетом расхода'!P30&lt;0,'Текущие цены с учетом расхода'!P30,""))</f>
        <v>3340</v>
      </c>
      <c r="P540" s="5" t="s">
        <v>43</v>
      </c>
    </row>
    <row r="541" spans="2:16" hidden="1">
      <c r="B541" s="17" t="s">
        <v>44</v>
      </c>
      <c r="D541" s="1">
        <v>83</v>
      </c>
      <c r="G541" s="14">
        <f>IF('Базовые цены с учетом расхода'!Q30&gt;0,'Базовые цены с учетом расхода'!Q30,IF('Базовые цены с учетом расхода'!Q30&lt;0,'Базовые цены с учетом расхода'!Q30,""))</f>
        <v>4</v>
      </c>
      <c r="K541" s="1">
        <v>83</v>
      </c>
      <c r="L541" s="14">
        <f>IF('Текущие цены с учетом расхода'!Q30&gt;0,'Текущие цены с учетом расхода'!Q30,IF('Текущие цены с учетом расхода'!Q30&lt;0,'Текущие цены с учетом расхода'!Q30,""))</f>
        <v>73</v>
      </c>
      <c r="P541" s="5" t="s">
        <v>45</v>
      </c>
    </row>
    <row r="542" spans="2:16" ht="21">
      <c r="B542" s="17" t="s">
        <v>46</v>
      </c>
      <c r="D542" s="1">
        <v>65</v>
      </c>
      <c r="G542" s="14">
        <f>IF('Базовые цены с учетом расхода'!O30&gt;0,'Базовые цены с учетом расхода'!O30,IF('Базовые цены с учетом расхода'!O30&lt;0,'Базовые цены с учетом расхода'!O30,""))</f>
        <v>129</v>
      </c>
      <c r="K542" s="1">
        <v>65</v>
      </c>
      <c r="L542" s="14">
        <f>IF('Текущие цены с учетом расхода'!O30&gt;0,'Текущие цены с учетом расхода'!O30,IF('Текущие цены с учетом расхода'!O30&lt;0,'Текущие цены с учетом расхода'!O30,""))</f>
        <v>2673</v>
      </c>
      <c r="P542" s="5" t="s">
        <v>47</v>
      </c>
    </row>
    <row r="543" spans="2:16" hidden="1">
      <c r="B543" s="17" t="s">
        <v>48</v>
      </c>
      <c r="D543" s="1">
        <v>65</v>
      </c>
      <c r="G543" s="14">
        <f>IF('Базовые цены с учетом расхода'!R30&gt;0,'Базовые цены с учетом расхода'!R30,IF('Базовые цены с учетом расхода'!R30&lt;0,'Базовые цены с учетом расхода'!R30,""))</f>
        <v>127</v>
      </c>
      <c r="K543" s="1">
        <v>65</v>
      </c>
      <c r="L543" s="14">
        <f>IF('Текущие цены с учетом расхода'!R30&gt;0,'Текущие цены с учетом расхода'!R30,IF('Текущие цены с учетом расхода'!R30&lt;0,'Текущие цены с учетом расхода'!R30,""))</f>
        <v>2616</v>
      </c>
      <c r="P543" s="5" t="s">
        <v>49</v>
      </c>
    </row>
    <row r="544" spans="2:16" hidden="1">
      <c r="B544" s="17" t="s">
        <v>50</v>
      </c>
      <c r="D544" s="1">
        <v>65</v>
      </c>
      <c r="G544" s="14">
        <f>IF('Базовые цены с учетом расхода'!S30&gt;0,'Базовые цены с учетом расхода'!S30,IF('Базовые цены с учетом расхода'!S30&lt;0,'Базовые цены с учетом расхода'!S30,""))</f>
        <v>3</v>
      </c>
      <c r="K544" s="1">
        <v>65</v>
      </c>
      <c r="L544" s="14">
        <f>IF('Текущие цены с учетом расхода'!S30&gt;0,'Текущие цены с учетом расхода'!S30,IF('Текущие цены с учетом расхода'!S30&lt;0,'Текущие цены с учетом расхода'!S30,""))</f>
        <v>57</v>
      </c>
      <c r="P544" s="5" t="s">
        <v>51</v>
      </c>
    </row>
    <row r="545" spans="1:16">
      <c r="B545" s="17" t="s">
        <v>52</v>
      </c>
      <c r="G545" s="14">
        <f>ROUND(IF(G528="",0,G528)+IF(G539="",0,G539)+IF(G542="",0,G542),0)</f>
        <v>614</v>
      </c>
      <c r="L545" s="14">
        <f>ROUND(IF(L528="",0,L528)+IF(L539="",0,L539)+IF(L542="",0,L542),0)</f>
        <v>10986</v>
      </c>
    </row>
    <row r="546" spans="1:16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</row>
    <row r="547" spans="1:16">
      <c r="A547" s="6" t="s">
        <v>147</v>
      </c>
      <c r="B547" s="48" t="s">
        <v>134</v>
      </c>
      <c r="C547" s="1">
        <v>0.17</v>
      </c>
      <c r="D547" s="12">
        <f>'Базовые цены за единицу'!B31</f>
        <v>117.83</v>
      </c>
      <c r="E547" s="13">
        <f>'Базовые цены за единицу'!C31</f>
        <v>117.83</v>
      </c>
      <c r="F547" s="13">
        <f>'Базовые цены за единицу'!D31</f>
        <v>0</v>
      </c>
      <c r="G547" s="14">
        <f>'Базовые цены с учетом расхода'!B31</f>
        <v>20</v>
      </c>
      <c r="H547" s="15">
        <f>'Базовые цены с учетом расхода'!C31</f>
        <v>20</v>
      </c>
      <c r="I547" s="15">
        <f>'Базовые цены с учетом расхода'!D31</f>
        <v>0</v>
      </c>
      <c r="J547" s="16">
        <v>20.63</v>
      </c>
      <c r="K547" s="16">
        <v>1</v>
      </c>
      <c r="L547" s="14">
        <f>'Текущие цены с учетом расхода'!B31</f>
        <v>413</v>
      </c>
      <c r="M547" s="15">
        <f>'Текущие цены с учетом расхода'!C31</f>
        <v>413</v>
      </c>
      <c r="N547" s="15">
        <f>'Текущие цены с учетом расхода'!D31</f>
        <v>0</v>
      </c>
    </row>
    <row r="548" spans="1:16" ht="55.15" customHeight="1">
      <c r="B548" s="43"/>
      <c r="E548" s="12">
        <f>'Базовые цены за единицу'!F31</f>
        <v>0</v>
      </c>
      <c r="F548" s="12">
        <f>'Базовые цены за единицу'!E31</f>
        <v>0</v>
      </c>
      <c r="H548" s="14">
        <f>'Базовые цены с учетом расхода'!F31</f>
        <v>0</v>
      </c>
      <c r="I548" s="14">
        <f>'Базовые цены с учетом расхода'!E31</f>
        <v>0</v>
      </c>
      <c r="J548" s="16">
        <v>1</v>
      </c>
      <c r="K548" s="16">
        <v>1</v>
      </c>
      <c r="M548" s="14">
        <f>'Текущие цены с учетом расхода'!F31</f>
        <v>0</v>
      </c>
      <c r="N548" s="14">
        <f>'Текущие цены с учетом расхода'!E31</f>
        <v>0</v>
      </c>
    </row>
    <row r="549" spans="1:16">
      <c r="B549" s="20" t="s">
        <v>135</v>
      </c>
    </row>
    <row r="550" spans="1:16" hidden="1">
      <c r="B550" s="17" t="s">
        <v>29</v>
      </c>
      <c r="G550" s="1">
        <v>20</v>
      </c>
      <c r="L550" s="1">
        <v>413</v>
      </c>
    </row>
    <row r="551" spans="1:16" hidden="1">
      <c r="B551" s="17" t="s">
        <v>30</v>
      </c>
    </row>
    <row r="552" spans="1:16" hidden="1">
      <c r="B552" s="17" t="s">
        <v>31</v>
      </c>
    </row>
    <row r="553" spans="1:16" hidden="1">
      <c r="B553" s="17" t="s">
        <v>32</v>
      </c>
    </row>
    <row r="554" spans="1:16" ht="31.5" hidden="1">
      <c r="B554" s="17" t="s">
        <v>33</v>
      </c>
    </row>
    <row r="555" spans="1:16" ht="21" hidden="1">
      <c r="B555" s="17" t="s">
        <v>34</v>
      </c>
      <c r="D555" s="18"/>
      <c r="K555" s="18"/>
      <c r="O555" s="1" t="s">
        <v>35</v>
      </c>
      <c r="P555" s="1" t="s">
        <v>36</v>
      </c>
    </row>
    <row r="556" spans="1:16" ht="21" hidden="1">
      <c r="B556" s="17" t="s">
        <v>37</v>
      </c>
    </row>
    <row r="557" spans="1:16" ht="21" hidden="1">
      <c r="B557" s="17" t="s">
        <v>38</v>
      </c>
    </row>
    <row r="558" spans="1:16" ht="21" hidden="1">
      <c r="B558" s="17" t="s">
        <v>39</v>
      </c>
    </row>
    <row r="559" spans="1:16">
      <c r="B559" s="17" t="s">
        <v>40</v>
      </c>
      <c r="D559" s="1">
        <v>95</v>
      </c>
      <c r="G559" s="14">
        <f>IF('Базовые цены с учетом расхода'!N31&gt;0,'Базовые цены с учетом расхода'!N31,IF('Базовые цены с учетом расхода'!N31&lt;0,'Базовые цены с учетом расхода'!N31,""))</f>
        <v>19</v>
      </c>
      <c r="K559" s="1">
        <v>95</v>
      </c>
      <c r="L559" s="14">
        <f>IF('Текущие цены с учетом расхода'!N31&gt;0,'Текущие цены с учетом расхода'!N31,IF('Текущие цены с учетом расхода'!N31&lt;0,'Текущие цены с учетом расхода'!N31,""))</f>
        <v>392</v>
      </c>
      <c r="P559" s="5" t="s">
        <v>41</v>
      </c>
    </row>
    <row r="560" spans="1:16" hidden="1">
      <c r="B560" s="17" t="s">
        <v>42</v>
      </c>
      <c r="D560" s="1">
        <v>95</v>
      </c>
      <c r="G560" s="14">
        <f>IF('Базовые цены с учетом расхода'!P31&gt;0,'Базовые цены с учетом расхода'!P31,IF('Базовые цены с учетом расхода'!P31&lt;0,'Базовые цены с учетом расхода'!P31,""))</f>
        <v>19</v>
      </c>
      <c r="K560" s="1">
        <v>95</v>
      </c>
      <c r="L560" s="14">
        <f>IF('Текущие цены с учетом расхода'!P31&gt;0,'Текущие цены с учетом расхода'!P31,IF('Текущие цены с учетом расхода'!P31&lt;0,'Текущие цены с учетом расхода'!P31,""))</f>
        <v>393</v>
      </c>
      <c r="P560" s="5" t="s">
        <v>43</v>
      </c>
    </row>
    <row r="561" spans="1:16" hidden="1">
      <c r="B561" s="17" t="s">
        <v>44</v>
      </c>
      <c r="G561" s="14" t="str">
        <f>IF('Базовые цены с учетом расхода'!Q31&gt;0,'Базовые цены с учетом расхода'!Q31,IF('Базовые цены с учетом расхода'!Q31&lt;0,'Базовые цены с учетом расхода'!Q31,""))</f>
        <v/>
      </c>
      <c r="L561" s="14" t="str">
        <f>IF('Текущие цены с учетом расхода'!Q31&gt;0,'Текущие цены с учетом расхода'!Q31,IF('Текущие цены с учетом расхода'!Q31&lt;0,'Текущие цены с учетом расхода'!Q31,""))</f>
        <v/>
      </c>
      <c r="P561" s="5" t="s">
        <v>45</v>
      </c>
    </row>
    <row r="562" spans="1:16" ht="21">
      <c r="B562" s="17" t="s">
        <v>46</v>
      </c>
      <c r="D562" s="1">
        <v>47</v>
      </c>
      <c r="G562" s="14">
        <f>IF('Базовые цены с учетом расхода'!O31&gt;0,'Базовые цены с учетом расхода'!O31,IF('Базовые цены с учетом расхода'!O31&lt;0,'Базовые цены с учетом расхода'!O31,""))</f>
        <v>9</v>
      </c>
      <c r="K562" s="1">
        <v>47</v>
      </c>
      <c r="L562" s="14">
        <f>IF('Текущие цены с учетом расхода'!O31&gt;0,'Текущие цены с учетом расхода'!O31,IF('Текущие цены с учетом расхода'!O31&lt;0,'Текущие цены с учетом расхода'!O31,""))</f>
        <v>194</v>
      </c>
      <c r="P562" s="5" t="s">
        <v>47</v>
      </c>
    </row>
    <row r="563" spans="1:16" hidden="1">
      <c r="B563" s="17" t="s">
        <v>48</v>
      </c>
      <c r="D563" s="1">
        <v>47</v>
      </c>
      <c r="G563" s="14">
        <f>IF('Базовые цены с учетом расхода'!R31&gt;0,'Базовые цены с учетом расхода'!R31,IF('Базовые цены с учетом расхода'!R31&lt;0,'Базовые цены с учетом расхода'!R31,""))</f>
        <v>9</v>
      </c>
      <c r="K563" s="1">
        <v>47</v>
      </c>
      <c r="L563" s="14">
        <f>IF('Текущие цены с учетом расхода'!R31&gt;0,'Текущие цены с учетом расхода'!R31,IF('Текущие цены с учетом расхода'!R31&lt;0,'Текущие цены с учетом расхода'!R31,""))</f>
        <v>194</v>
      </c>
      <c r="P563" s="5" t="s">
        <v>49</v>
      </c>
    </row>
    <row r="564" spans="1:16" hidden="1">
      <c r="B564" s="17" t="s">
        <v>50</v>
      </c>
      <c r="G564" s="14" t="str">
        <f>IF('Базовые цены с учетом расхода'!S31&gt;0,'Базовые цены с учетом расхода'!S31,IF('Базовые цены с учетом расхода'!S31&lt;0,'Базовые цены с учетом расхода'!S31,""))</f>
        <v/>
      </c>
      <c r="L564" s="14" t="str">
        <f>IF('Текущие цены с учетом расхода'!S31&gt;0,'Текущие цены с учетом расхода'!S31,IF('Текущие цены с учетом расхода'!S31&lt;0,'Текущие цены с учетом расхода'!S31,""))</f>
        <v/>
      </c>
      <c r="P564" s="5" t="s">
        <v>51</v>
      </c>
    </row>
    <row r="565" spans="1:16">
      <c r="B565" s="17" t="s">
        <v>52</v>
      </c>
      <c r="G565" s="14">
        <f>ROUND(IF(G547="",0,G547)+IF(G559="",0,G559)+IF(G562="",0,G562),0)</f>
        <v>48</v>
      </c>
      <c r="L565" s="14">
        <f>ROUND(IF(L547="",0,L547)+IF(L559="",0,L559)+IF(L562="",0,L562),0)</f>
        <v>999</v>
      </c>
    </row>
    <row r="566" spans="1:16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</row>
    <row r="567" spans="1:16">
      <c r="A567" s="6" t="s">
        <v>148</v>
      </c>
      <c r="B567" s="48" t="s">
        <v>137</v>
      </c>
      <c r="C567" s="1">
        <v>0.17</v>
      </c>
      <c r="D567" s="12">
        <f>'Базовые цены за единицу'!B32</f>
        <v>403.56</v>
      </c>
      <c r="E567" s="13">
        <f>'Базовые цены за единицу'!C32</f>
        <v>76.8</v>
      </c>
      <c r="F567" s="13">
        <f>'Базовые цены за единицу'!D32</f>
        <v>3.83</v>
      </c>
      <c r="G567" s="14">
        <f>'Базовые цены с учетом расхода'!B32</f>
        <v>69</v>
      </c>
      <c r="H567" s="15">
        <f>'Базовые цены с учетом расхода'!C32</f>
        <v>13</v>
      </c>
      <c r="I567" s="15">
        <f>'Базовые цены с учетом расхода'!D32</f>
        <v>1</v>
      </c>
      <c r="J567" s="16">
        <v>20.63</v>
      </c>
      <c r="K567" s="16">
        <v>9.0500000000000007</v>
      </c>
      <c r="L567" s="14">
        <f>'Текущие цены с учетом расхода'!B32</f>
        <v>592</v>
      </c>
      <c r="M567" s="15">
        <f>'Текущие цены с учетом расхода'!C32</f>
        <v>269</v>
      </c>
      <c r="N567" s="15">
        <f>'Текущие цены с учетом расхода'!D32</f>
        <v>6</v>
      </c>
    </row>
    <row r="568" spans="1:16" ht="43.9" customHeight="1">
      <c r="B568" s="43"/>
      <c r="E568" s="12">
        <f>'Базовые цены за единицу'!F32</f>
        <v>322.93</v>
      </c>
      <c r="F568" s="12">
        <f>'Базовые цены за единицу'!E32</f>
        <v>0.16</v>
      </c>
      <c r="H568" s="14">
        <f>'Базовые цены с учетом расхода'!F32</f>
        <v>55</v>
      </c>
      <c r="I568" s="14">
        <f>'Базовые цены с учетом расхода'!E32</f>
        <v>0</v>
      </c>
      <c r="J568" s="16">
        <v>5.78</v>
      </c>
      <c r="K568" s="16">
        <v>20.63</v>
      </c>
      <c r="M568" s="14">
        <f>'Текущие цены с учетом расхода'!F32</f>
        <v>317</v>
      </c>
      <c r="N568" s="14">
        <f>'Текущие цены с учетом расхода'!E32</f>
        <v>1</v>
      </c>
    </row>
    <row r="569" spans="1:16">
      <c r="B569" s="20" t="s">
        <v>55</v>
      </c>
    </row>
    <row r="570" spans="1:16" hidden="1">
      <c r="B570" s="17" t="s">
        <v>29</v>
      </c>
      <c r="G570" s="1">
        <v>13</v>
      </c>
      <c r="L570" s="1">
        <v>269</v>
      </c>
    </row>
    <row r="571" spans="1:16" hidden="1">
      <c r="B571" s="17" t="s">
        <v>30</v>
      </c>
      <c r="G571" s="1">
        <v>1</v>
      </c>
      <c r="L571" s="1">
        <v>6</v>
      </c>
    </row>
    <row r="572" spans="1:16" hidden="1">
      <c r="B572" s="17" t="s">
        <v>31</v>
      </c>
      <c r="L572" s="1">
        <v>1</v>
      </c>
    </row>
    <row r="573" spans="1:16" hidden="1">
      <c r="B573" s="17" t="s">
        <v>32</v>
      </c>
      <c r="G573" s="1">
        <v>55</v>
      </c>
      <c r="L573" s="1">
        <v>317</v>
      </c>
    </row>
    <row r="574" spans="1:16" ht="31.5" hidden="1">
      <c r="B574" s="17" t="s">
        <v>33</v>
      </c>
    </row>
    <row r="575" spans="1:16" ht="21" hidden="1">
      <c r="B575" s="17" t="s">
        <v>34</v>
      </c>
      <c r="D575" s="18"/>
      <c r="K575" s="18"/>
      <c r="O575" s="1" t="s">
        <v>35</v>
      </c>
      <c r="P575" s="1" t="s">
        <v>36</v>
      </c>
    </row>
    <row r="576" spans="1:16" ht="21" hidden="1">
      <c r="B576" s="17" t="s">
        <v>37</v>
      </c>
    </row>
    <row r="577" spans="1:26" ht="21" hidden="1">
      <c r="B577" s="17" t="s">
        <v>38</v>
      </c>
    </row>
    <row r="578" spans="1:26" ht="21" hidden="1">
      <c r="B578" s="17" t="s">
        <v>39</v>
      </c>
    </row>
    <row r="579" spans="1:26">
      <c r="B579" s="17" t="s">
        <v>40</v>
      </c>
      <c r="D579" s="1">
        <v>95</v>
      </c>
      <c r="G579" s="14">
        <f>IF('Базовые цены с учетом расхода'!N32&gt;0,'Базовые цены с учетом расхода'!N32,IF('Базовые цены с учетом расхода'!N32&lt;0,'Базовые цены с учетом расхода'!N32,""))</f>
        <v>12</v>
      </c>
      <c r="K579" s="1">
        <v>95</v>
      </c>
      <c r="L579" s="14">
        <f>IF('Текущие цены с учетом расхода'!N32&gt;0,'Текущие цены с учетом расхода'!N32,IF('Текущие цены с учетом расхода'!N32&lt;0,'Текущие цены с учетом расхода'!N32,""))</f>
        <v>257</v>
      </c>
      <c r="P579" s="5" t="s">
        <v>41</v>
      </c>
    </row>
    <row r="580" spans="1:26" hidden="1">
      <c r="B580" s="17" t="s">
        <v>42</v>
      </c>
      <c r="D580" s="1">
        <v>95</v>
      </c>
      <c r="G580" s="14">
        <f>IF('Базовые цены с учетом расхода'!P32&gt;0,'Базовые цены с учетом расхода'!P32,IF('Базовые цены с учетом расхода'!P32&lt;0,'Базовые цены с учетом расхода'!P32,""))</f>
        <v>12</v>
      </c>
      <c r="K580" s="1">
        <v>95</v>
      </c>
      <c r="L580" s="14">
        <f>IF('Текущие цены с учетом расхода'!P32&gt;0,'Текущие цены с учетом расхода'!P32,IF('Текущие цены с учетом расхода'!P32&lt;0,'Текущие цены с учетом расхода'!P32,""))</f>
        <v>256</v>
      </c>
      <c r="P580" s="5" t="s">
        <v>43</v>
      </c>
    </row>
    <row r="581" spans="1:26" hidden="1">
      <c r="B581" s="17" t="s">
        <v>44</v>
      </c>
      <c r="G581" s="14" t="str">
        <f>IF('Базовые цены с учетом расхода'!Q32&gt;0,'Базовые цены с учетом расхода'!Q32,IF('Базовые цены с учетом расхода'!Q32&lt;0,'Базовые цены с учетом расхода'!Q32,""))</f>
        <v/>
      </c>
      <c r="K581" s="1">
        <v>95</v>
      </c>
      <c r="L581" s="14">
        <f>IF('Текущие цены с учетом расхода'!Q32&gt;0,'Текущие цены с учетом расхода'!Q32,IF('Текущие цены с учетом расхода'!Q32&lt;0,'Текущие цены с учетом расхода'!Q32,""))</f>
        <v>1</v>
      </c>
      <c r="P581" s="5" t="s">
        <v>45</v>
      </c>
    </row>
    <row r="582" spans="1:26" ht="21">
      <c r="B582" s="17" t="s">
        <v>46</v>
      </c>
      <c r="D582" s="1">
        <v>47</v>
      </c>
      <c r="G582" s="14">
        <f>IF('Базовые цены с учетом расхода'!O32&gt;0,'Базовые цены с учетом расхода'!O32,IF('Базовые цены с учетом расхода'!O32&lt;0,'Базовые цены с учетом расхода'!O32,""))</f>
        <v>6</v>
      </c>
      <c r="K582" s="1">
        <v>47</v>
      </c>
      <c r="L582" s="14">
        <f>IF('Текущие цены с учетом расхода'!O32&gt;0,'Текущие цены с учетом расхода'!O32,IF('Текущие цены с учетом расхода'!O32&lt;0,'Текущие цены с учетом расхода'!O32,""))</f>
        <v>127</v>
      </c>
      <c r="P582" s="5" t="s">
        <v>47</v>
      </c>
    </row>
    <row r="583" spans="1:26" hidden="1">
      <c r="B583" s="17" t="s">
        <v>48</v>
      </c>
      <c r="D583" s="1">
        <v>47</v>
      </c>
      <c r="G583" s="14">
        <f>IF('Базовые цены с учетом расхода'!R32&gt;0,'Базовые цены с учетом расхода'!R32,IF('Базовые цены с учетом расхода'!R32&lt;0,'Базовые цены с учетом расхода'!R32,""))</f>
        <v>6</v>
      </c>
      <c r="K583" s="1">
        <v>47</v>
      </c>
      <c r="L583" s="14">
        <f>IF('Текущие цены с учетом расхода'!R32&gt;0,'Текущие цены с учетом расхода'!R32,IF('Текущие цены с учетом расхода'!R32&lt;0,'Текущие цены с учетом расхода'!R32,""))</f>
        <v>127</v>
      </c>
      <c r="P583" s="5" t="s">
        <v>49</v>
      </c>
    </row>
    <row r="584" spans="1:26" hidden="1">
      <c r="B584" s="17" t="s">
        <v>50</v>
      </c>
      <c r="G584" s="14" t="str">
        <f>IF('Базовые цены с учетом расхода'!S32&gt;0,'Базовые цены с учетом расхода'!S32,IF('Базовые цены с учетом расхода'!S32&lt;0,'Базовые цены с учетом расхода'!S32,""))</f>
        <v/>
      </c>
      <c r="K584" s="1">
        <v>47</v>
      </c>
      <c r="L584" s="14" t="str">
        <f>IF('Текущие цены с учетом расхода'!S32&gt;0,'Текущие цены с учетом расхода'!S32,IF('Текущие цены с учетом расхода'!S32&lt;0,'Текущие цены с учетом расхода'!S32,""))</f>
        <v/>
      </c>
      <c r="P584" s="5" t="s">
        <v>51</v>
      </c>
    </row>
    <row r="585" spans="1:26">
      <c r="B585" s="17" t="s">
        <v>52</v>
      </c>
      <c r="G585" s="14">
        <f>ROUND(IF(G567="",0,G567)+IF(G579="",0,G579)+IF(G582="",0,G582),0)</f>
        <v>87</v>
      </c>
      <c r="L585" s="14">
        <f>ROUND(IF(L567="",0,L567)+IF(L579="",0,L579)+IF(L582="",0,L582),0)</f>
        <v>976</v>
      </c>
    </row>
    <row r="586" spans="1:26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</row>
    <row r="587" spans="1:26">
      <c r="B587" s="42" t="s">
        <v>149</v>
      </c>
      <c r="C587" s="43"/>
      <c r="D587" s="43"/>
      <c r="E587" s="43"/>
      <c r="F587" s="44"/>
      <c r="G587" s="47">
        <f>'Базовые концовки'!F283</f>
        <v>409</v>
      </c>
      <c r="H587" s="22">
        <f>'Базовые концовки'!G283</f>
        <v>228</v>
      </c>
      <c r="I587" s="22">
        <f>'Базовые концовки'!H283</f>
        <v>19</v>
      </c>
      <c r="L587" s="47">
        <f>'Текущие концовки'!F283</f>
        <v>5905</v>
      </c>
      <c r="M587" s="22">
        <f>'Текущие концовки'!G283</f>
        <v>4706</v>
      </c>
      <c r="N587" s="22">
        <f>'Текущие концовки'!H283</f>
        <v>186</v>
      </c>
      <c r="T587" s="46">
        <f>'Текущие концовки'!G283</f>
        <v>4706</v>
      </c>
      <c r="U587" s="46">
        <f>'Текущие концовки'!H283</f>
        <v>186</v>
      </c>
      <c r="V587" s="46">
        <f>'Текущие концовки'!I283</f>
        <v>89</v>
      </c>
      <c r="W587" s="45" t="e">
        <f ca="1">'Текущие концовки'!J283</f>
        <v>#NAME?</v>
      </c>
      <c r="X587" s="45" t="e">
        <f ca="1">'Текущие концовки'!K283</f>
        <v>#NAME?</v>
      </c>
      <c r="Y587" s="46">
        <f>'Текущие концовки'!L283</f>
        <v>1013</v>
      </c>
      <c r="Z587" s="46">
        <f>'Текущие концовки'!M283</f>
        <v>0</v>
      </c>
    </row>
    <row r="588" spans="1:26">
      <c r="B588" s="43"/>
      <c r="C588" s="43"/>
      <c r="D588" s="43"/>
      <c r="E588" s="43"/>
      <c r="F588" s="43"/>
      <c r="G588" s="47"/>
      <c r="H588" s="21">
        <f>'Базовые концовки'!L283</f>
        <v>162</v>
      </c>
      <c r="I588" s="21">
        <f>'Базовые концовки'!I283</f>
        <v>4</v>
      </c>
      <c r="L588" s="47"/>
      <c r="M588" s="21">
        <f>'Текущие концовки'!L283</f>
        <v>1013</v>
      </c>
      <c r="N588" s="21">
        <f>'Текущие концовки'!I283</f>
        <v>89</v>
      </c>
      <c r="T588" s="46"/>
      <c r="U588" s="46"/>
      <c r="V588" s="46"/>
      <c r="W588" s="45"/>
      <c r="X588" s="45"/>
      <c r="Y588" s="46"/>
      <c r="Z588" s="46"/>
    </row>
    <row r="589" spans="1:26" hidden="1">
      <c r="B589" s="42" t="s">
        <v>59</v>
      </c>
      <c r="C589" s="43"/>
      <c r="D589" s="43"/>
      <c r="E589" s="44"/>
      <c r="G589" s="21">
        <f>'Базовые концовки'!F284</f>
        <v>0</v>
      </c>
      <c r="H589" s="21">
        <f>'Базовые концовки'!G284</f>
        <v>0</v>
      </c>
      <c r="I589" s="21">
        <f>'Базовые концовки'!H284</f>
        <v>0</v>
      </c>
      <c r="L589" s="21">
        <f>'Текущие концовки'!F284</f>
        <v>0</v>
      </c>
      <c r="M589" s="21">
        <f>'Текущие концовки'!G284</f>
        <v>0</v>
      </c>
      <c r="N589" s="21">
        <f>'Текущие концовки'!H284</f>
        <v>0</v>
      </c>
      <c r="T589" s="23">
        <f>'Текущие концовки'!G284</f>
        <v>0</v>
      </c>
      <c r="U589" s="23">
        <f>'Текущие концовки'!H284</f>
        <v>0</v>
      </c>
      <c r="V589" s="23">
        <f>'Текущие концовки'!I284</f>
        <v>0</v>
      </c>
      <c r="W589" s="7">
        <f>'Текущие концовки'!J284</f>
        <v>0</v>
      </c>
      <c r="X589" s="7">
        <f>'Текущие концовки'!K284</f>
        <v>0</v>
      </c>
      <c r="Y589" s="23">
        <f>'Текущие концовки'!L284</f>
        <v>0</v>
      </c>
      <c r="Z589" s="23">
        <f>'Текущие концовки'!M284</f>
        <v>0</v>
      </c>
    </row>
    <row r="590" spans="1:26" hidden="1">
      <c r="B590" s="42" t="s">
        <v>60</v>
      </c>
      <c r="C590" s="43"/>
      <c r="D590" s="43"/>
      <c r="E590" s="44"/>
      <c r="G590" s="21" t="e">
        <f ca="1">'Базовые концовки'!F285</f>
        <v>#NAME?</v>
      </c>
      <c r="H590" s="21"/>
      <c r="I590" s="21"/>
      <c r="L590" s="21" t="e">
        <f ca="1">'Текущие концовки'!F285</f>
        <v>#NAME?</v>
      </c>
      <c r="M590" s="21"/>
      <c r="N590" s="21"/>
      <c r="T590" s="23"/>
      <c r="U590" s="23"/>
      <c r="V590" s="23"/>
      <c r="W590" s="7"/>
      <c r="X590" s="7"/>
      <c r="Y590" s="23"/>
      <c r="Z590" s="23"/>
    </row>
    <row r="591" spans="1:26" hidden="1">
      <c r="B591" s="42" t="s">
        <v>61</v>
      </c>
      <c r="C591" s="43"/>
      <c r="D591" s="43"/>
      <c r="E591" s="44"/>
      <c r="G591" s="21" t="e">
        <f ca="1">'Базовые концовки'!F286</f>
        <v>#NAME?</v>
      </c>
      <c r="H591" s="21"/>
      <c r="I591" s="21"/>
      <c r="L591" s="21" t="e">
        <f ca="1">'Текущие концовки'!F286</f>
        <v>#NAME?</v>
      </c>
      <c r="M591" s="21"/>
      <c r="N591" s="21"/>
      <c r="T591" s="23"/>
      <c r="U591" s="23"/>
      <c r="V591" s="23"/>
      <c r="W591" s="7"/>
      <c r="X591" s="7"/>
      <c r="Y591" s="23"/>
      <c r="Z591" s="23"/>
    </row>
    <row r="592" spans="1:26" hidden="1">
      <c r="B592" s="42" t="s">
        <v>62</v>
      </c>
      <c r="C592" s="43"/>
      <c r="D592" s="43"/>
      <c r="E592" s="44"/>
      <c r="G592" s="21" t="e">
        <f ca="1">'Базовые концовки'!F287</f>
        <v>#NAME?</v>
      </c>
      <c r="H592" s="21"/>
      <c r="I592" s="21"/>
      <c r="L592" s="21" t="e">
        <f ca="1">'Текущие концовки'!F287</f>
        <v>#NAME?</v>
      </c>
      <c r="M592" s="21"/>
      <c r="N592" s="21"/>
      <c r="T592" s="23"/>
      <c r="U592" s="23"/>
      <c r="V592" s="23"/>
      <c r="W592" s="7"/>
      <c r="X592" s="7"/>
      <c r="Y592" s="23"/>
      <c r="Z592" s="23"/>
    </row>
    <row r="593" spans="2:26" hidden="1">
      <c r="B593" s="42" t="s">
        <v>63</v>
      </c>
      <c r="C593" s="43"/>
      <c r="D593" s="43"/>
      <c r="E593" s="44"/>
      <c r="G593" s="21" t="e">
        <f ca="1">'Базовые концовки'!F288</f>
        <v>#NAME?</v>
      </c>
      <c r="H593" s="21"/>
      <c r="I593" s="21"/>
      <c r="L593" s="21" t="e">
        <f ca="1">'Текущие концовки'!F288</f>
        <v>#NAME?</v>
      </c>
      <c r="M593" s="21"/>
      <c r="N593" s="21"/>
      <c r="T593" s="23"/>
      <c r="U593" s="23"/>
      <c r="V593" s="23"/>
      <c r="W593" s="7"/>
      <c r="X593" s="7"/>
      <c r="Y593" s="23"/>
      <c r="Z593" s="23"/>
    </row>
    <row r="594" spans="2:26" hidden="1">
      <c r="B594" s="42" t="s">
        <v>64</v>
      </c>
      <c r="C594" s="43"/>
      <c r="D594" s="43"/>
      <c r="E594" s="44"/>
      <c r="G594" s="21" t="e">
        <f ca="1">'Базовые концовки'!F289</f>
        <v>#NAME?</v>
      </c>
      <c r="H594" s="21"/>
      <c r="I594" s="21"/>
      <c r="L594" s="21" t="e">
        <f ca="1">'Текущие концовки'!F289</f>
        <v>#NAME?</v>
      </c>
      <c r="M594" s="21"/>
      <c r="N594" s="21"/>
      <c r="T594" s="23"/>
      <c r="U594" s="23"/>
      <c r="V594" s="23"/>
      <c r="W594" s="7"/>
      <c r="X594" s="7"/>
      <c r="Y594" s="23"/>
      <c r="Z594" s="23"/>
    </row>
    <row r="595" spans="2:26" hidden="1">
      <c r="B595" s="42" t="s">
        <v>65</v>
      </c>
      <c r="C595" s="43"/>
      <c r="D595" s="43"/>
      <c r="E595" s="44"/>
      <c r="G595" s="21" t="e">
        <f ca="1">'Базовые концовки'!F290</f>
        <v>#NAME?</v>
      </c>
      <c r="H595" s="21"/>
      <c r="I595" s="21"/>
      <c r="L595" s="21" t="e">
        <f ca="1">'Текущие концовки'!F290</f>
        <v>#NAME?</v>
      </c>
      <c r="M595" s="21"/>
      <c r="N595" s="21"/>
      <c r="T595" s="23"/>
      <c r="U595" s="23"/>
      <c r="V595" s="23"/>
      <c r="W595" s="7"/>
      <c r="X595" s="7"/>
      <c r="Y595" s="23"/>
      <c r="Z595" s="23"/>
    </row>
    <row r="596" spans="2:26" hidden="1">
      <c r="B596" s="42" t="s">
        <v>66</v>
      </c>
      <c r="C596" s="43"/>
      <c r="D596" s="43"/>
      <c r="E596" s="44"/>
      <c r="G596" s="21" t="e">
        <f ca="1">'Базовые концовки'!F291</f>
        <v>#NAME?</v>
      </c>
      <c r="H596" s="21"/>
      <c r="I596" s="21"/>
      <c r="L596" s="21" t="e">
        <f ca="1">'Текущие концовки'!F291</f>
        <v>#NAME?</v>
      </c>
      <c r="M596" s="21"/>
      <c r="N596" s="21"/>
      <c r="T596" s="23"/>
      <c r="U596" s="23"/>
      <c r="V596" s="23"/>
      <c r="W596" s="7"/>
      <c r="X596" s="7"/>
      <c r="Y596" s="23"/>
      <c r="Z596" s="23"/>
    </row>
    <row r="597" spans="2:26" hidden="1">
      <c r="B597" s="42" t="s">
        <v>67</v>
      </c>
      <c r="C597" s="43"/>
      <c r="D597" s="43"/>
      <c r="E597" s="44"/>
      <c r="G597" s="21" t="e">
        <f ca="1">'Базовые концовки'!F292</f>
        <v>#NAME?</v>
      </c>
      <c r="H597" s="21"/>
      <c r="I597" s="21"/>
      <c r="L597" s="21" t="e">
        <f ca="1">'Текущие концовки'!F292</f>
        <v>#NAME?</v>
      </c>
      <c r="M597" s="21"/>
      <c r="N597" s="21"/>
      <c r="T597" s="23"/>
      <c r="U597" s="23"/>
      <c r="V597" s="23"/>
      <c r="W597" s="7"/>
      <c r="X597" s="7"/>
      <c r="Y597" s="23"/>
      <c r="Z597" s="23"/>
    </row>
    <row r="598" spans="2:26" hidden="1">
      <c r="B598" s="42" t="s">
        <v>68</v>
      </c>
      <c r="C598" s="43"/>
      <c r="D598" s="43"/>
      <c r="E598" s="44"/>
      <c r="G598" s="21" t="e">
        <f ca="1">'Базовые концовки'!F293</f>
        <v>#NAME?</v>
      </c>
      <c r="H598" s="21"/>
      <c r="I598" s="21"/>
      <c r="L598" s="21" t="e">
        <f ca="1">'Текущие концовки'!F293</f>
        <v>#NAME?</v>
      </c>
      <c r="M598" s="21"/>
      <c r="N598" s="21"/>
      <c r="T598" s="23"/>
      <c r="U598" s="23"/>
      <c r="V598" s="23"/>
      <c r="W598" s="7"/>
      <c r="X598" s="7"/>
      <c r="Y598" s="23"/>
      <c r="Z598" s="23"/>
    </row>
    <row r="599" spans="2:26" hidden="1">
      <c r="B599" s="42" t="s">
        <v>69</v>
      </c>
      <c r="C599" s="43"/>
      <c r="D599" s="43"/>
      <c r="E599" s="44"/>
      <c r="G599" s="21">
        <f>'Базовые концовки'!F294</f>
        <v>0</v>
      </c>
      <c r="H599" s="21">
        <f>'Базовые концовки'!G294</f>
        <v>0</v>
      </c>
      <c r="I599" s="21">
        <f>'Базовые концовки'!H294</f>
        <v>0</v>
      </c>
      <c r="L599" s="21">
        <f>'Текущие концовки'!F294</f>
        <v>0</v>
      </c>
      <c r="M599" s="21">
        <f>'Текущие концовки'!G294</f>
        <v>0</v>
      </c>
      <c r="N599" s="21">
        <f>'Текущие концовки'!H294</f>
        <v>0</v>
      </c>
      <c r="T599" s="23">
        <f>'Текущие концовки'!G294</f>
        <v>0</v>
      </c>
      <c r="U599" s="23">
        <f>'Текущие концовки'!H294</f>
        <v>0</v>
      </c>
      <c r="V599" s="23">
        <f>'Текущие концовки'!I294</f>
        <v>0</v>
      </c>
      <c r="W599" s="7">
        <f>'Текущие концовки'!J294</f>
        <v>0</v>
      </c>
      <c r="X599" s="7">
        <f>'Текущие концовки'!K294</f>
        <v>0</v>
      </c>
      <c r="Y599" s="23">
        <f>'Текущие концовки'!L294</f>
        <v>0</v>
      </c>
      <c r="Z599" s="23">
        <f>'Текущие концовки'!M294</f>
        <v>0</v>
      </c>
    </row>
    <row r="600" spans="2:26" hidden="1">
      <c r="B600" s="42" t="s">
        <v>70</v>
      </c>
      <c r="C600" s="43"/>
      <c r="D600" s="43"/>
      <c r="E600" s="44"/>
      <c r="G600" s="21"/>
      <c r="H600" s="21"/>
      <c r="I600" s="21"/>
      <c r="L600" s="21"/>
      <c r="M600" s="21"/>
      <c r="N600" s="21"/>
      <c r="T600" s="23"/>
      <c r="U600" s="23"/>
      <c r="V600" s="23"/>
      <c r="W600" s="7"/>
      <c r="X600" s="7"/>
      <c r="Y600" s="23"/>
      <c r="Z600" s="23"/>
    </row>
    <row r="601" spans="2:26" hidden="1">
      <c r="B601" s="42" t="s">
        <v>71</v>
      </c>
      <c r="C601" s="43"/>
      <c r="D601" s="43"/>
      <c r="E601" s="44"/>
      <c r="G601" s="21">
        <f>'Базовые концовки'!G296</f>
        <v>0</v>
      </c>
      <c r="H601" s="21">
        <f>'Базовые концовки'!G296</f>
        <v>0</v>
      </c>
      <c r="I601" s="21"/>
      <c r="L601" s="21">
        <f>'Текущие концовки'!G296</f>
        <v>0</v>
      </c>
      <c r="M601" s="21">
        <f>'Текущие концовки'!G296</f>
        <v>0</v>
      </c>
      <c r="N601" s="21"/>
      <c r="T601" s="23">
        <f>'Текущие концовки'!G296</f>
        <v>0</v>
      </c>
      <c r="U601" s="23"/>
      <c r="V601" s="23"/>
      <c r="W601" s="7"/>
      <c r="X601" s="7"/>
      <c r="Y601" s="23"/>
      <c r="Z601" s="23"/>
    </row>
    <row r="602" spans="2:26" hidden="1">
      <c r="B602" s="42" t="s">
        <v>72</v>
      </c>
      <c r="C602" s="43"/>
      <c r="D602" s="43"/>
      <c r="E602" s="44"/>
      <c r="G602" s="21">
        <f>'Базовые концовки'!F297</f>
        <v>0</v>
      </c>
      <c r="H602" s="21"/>
      <c r="I602" s="21"/>
      <c r="L602" s="21">
        <f>'Текущие концовки'!F297</f>
        <v>0</v>
      </c>
      <c r="M602" s="21"/>
      <c r="N602" s="21"/>
      <c r="T602" s="23"/>
      <c r="U602" s="23"/>
      <c r="V602" s="23"/>
      <c r="W602" s="7"/>
      <c r="X602" s="7"/>
      <c r="Y602" s="23"/>
      <c r="Z602" s="23"/>
    </row>
    <row r="603" spans="2:26" hidden="1">
      <c r="B603" s="42" t="s">
        <v>73</v>
      </c>
      <c r="C603" s="43"/>
      <c r="D603" s="43"/>
      <c r="E603" s="44"/>
      <c r="G603" s="21" t="e">
        <f ca="1">'Базовые концовки'!F298</f>
        <v>#NAME?</v>
      </c>
      <c r="H603" s="21"/>
      <c r="I603" s="21"/>
      <c r="L603" s="21" t="e">
        <f ca="1">'Текущие концовки'!F298</f>
        <v>#NAME?</v>
      </c>
      <c r="M603" s="21"/>
      <c r="N603" s="21"/>
      <c r="T603" s="23"/>
      <c r="U603" s="23"/>
      <c r="V603" s="23"/>
      <c r="W603" s="7"/>
      <c r="X603" s="7"/>
      <c r="Y603" s="23"/>
      <c r="Z603" s="23"/>
    </row>
    <row r="604" spans="2:26" hidden="1">
      <c r="B604" s="42" t="s">
        <v>74</v>
      </c>
      <c r="C604" s="43"/>
      <c r="D604" s="43"/>
      <c r="E604" s="44"/>
      <c r="G604" s="21">
        <f>'Базовые концовки'!F299</f>
        <v>0</v>
      </c>
      <c r="H604" s="21"/>
      <c r="I604" s="21"/>
      <c r="L604" s="21">
        <f>'Текущие концовки'!F299</f>
        <v>0</v>
      </c>
      <c r="M604" s="21"/>
      <c r="N604" s="21"/>
      <c r="T604" s="23"/>
      <c r="U604" s="23"/>
      <c r="V604" s="23"/>
      <c r="W604" s="7"/>
      <c r="X604" s="7"/>
      <c r="Y604" s="23"/>
      <c r="Z604" s="23"/>
    </row>
    <row r="605" spans="2:26" hidden="1">
      <c r="B605" s="42" t="s">
        <v>75</v>
      </c>
      <c r="C605" s="43"/>
      <c r="D605" s="43"/>
      <c r="E605" s="44"/>
      <c r="G605" s="21">
        <f>'Базовые концовки'!F300</f>
        <v>0</v>
      </c>
      <c r="H605" s="21"/>
      <c r="I605" s="21"/>
      <c r="L605" s="21">
        <f>'Текущие концовки'!F300</f>
        <v>0</v>
      </c>
      <c r="M605" s="21"/>
      <c r="N605" s="21"/>
      <c r="T605" s="23"/>
      <c r="U605" s="23"/>
      <c r="V605" s="23"/>
      <c r="W605" s="7"/>
      <c r="X605" s="7"/>
      <c r="Y605" s="23"/>
      <c r="Z605" s="23"/>
    </row>
    <row r="606" spans="2:26" hidden="1">
      <c r="B606" s="42" t="s">
        <v>76</v>
      </c>
      <c r="C606" s="43"/>
      <c r="D606" s="43"/>
      <c r="E606" s="44"/>
      <c r="G606" s="21">
        <f>'Базовые концовки'!F301</f>
        <v>0</v>
      </c>
      <c r="H606" s="21"/>
      <c r="I606" s="21"/>
      <c r="L606" s="21">
        <f>'Текущие концовки'!F301</f>
        <v>0</v>
      </c>
      <c r="M606" s="21"/>
      <c r="N606" s="21"/>
      <c r="T606" s="23"/>
      <c r="U606" s="23"/>
      <c r="V606" s="23"/>
      <c r="W606" s="7"/>
      <c r="X606" s="7"/>
      <c r="Y606" s="23"/>
      <c r="Z606" s="23"/>
    </row>
    <row r="607" spans="2:26" hidden="1">
      <c r="B607" s="42" t="s">
        <v>67</v>
      </c>
      <c r="C607" s="43"/>
      <c r="D607" s="43"/>
      <c r="E607" s="44"/>
      <c r="G607" s="21" t="e">
        <f ca="1">'Базовые концовки'!F302</f>
        <v>#NAME?</v>
      </c>
      <c r="H607" s="21"/>
      <c r="I607" s="21"/>
      <c r="L607" s="21" t="e">
        <f ca="1">'Текущие концовки'!F302</f>
        <v>#NAME?</v>
      </c>
      <c r="M607" s="21"/>
      <c r="N607" s="21"/>
      <c r="T607" s="23"/>
      <c r="U607" s="23"/>
      <c r="V607" s="23"/>
      <c r="W607" s="7"/>
      <c r="X607" s="7"/>
      <c r="Y607" s="23"/>
      <c r="Z607" s="23"/>
    </row>
    <row r="608" spans="2:26" hidden="1">
      <c r="B608" s="42" t="s">
        <v>77</v>
      </c>
      <c r="C608" s="43"/>
      <c r="D608" s="43"/>
      <c r="E608" s="44"/>
      <c r="G608" s="21">
        <f>'Базовые концовки'!F303</f>
        <v>0</v>
      </c>
      <c r="H608" s="21"/>
      <c r="I608" s="21"/>
      <c r="L608" s="21">
        <f>'Текущие концовки'!F303</f>
        <v>0</v>
      </c>
      <c r="M608" s="21"/>
      <c r="N608" s="21"/>
      <c r="T608" s="23"/>
      <c r="U608" s="23"/>
      <c r="V608" s="23"/>
      <c r="W608" s="7"/>
      <c r="X608" s="7"/>
      <c r="Y608" s="23"/>
      <c r="Z608" s="23"/>
    </row>
    <row r="609" spans="2:26">
      <c r="B609" s="42" t="s">
        <v>78</v>
      </c>
      <c r="C609" s="43"/>
      <c r="D609" s="43"/>
      <c r="E609" s="43"/>
      <c r="F609" s="44"/>
      <c r="G609" s="47">
        <f>'Базовые концовки'!F304</f>
        <v>409</v>
      </c>
      <c r="H609" s="22">
        <f>'Базовые концовки'!G304</f>
        <v>228</v>
      </c>
      <c r="I609" s="22">
        <f>'Базовые концовки'!H304</f>
        <v>19</v>
      </c>
      <c r="L609" s="47">
        <f>'Текущие концовки'!F304</f>
        <v>5905</v>
      </c>
      <c r="M609" s="22">
        <f>'Текущие концовки'!G304</f>
        <v>4706</v>
      </c>
      <c r="N609" s="22">
        <f>'Текущие концовки'!H304</f>
        <v>186</v>
      </c>
      <c r="T609" s="46">
        <f>'Текущие концовки'!G304</f>
        <v>4706</v>
      </c>
      <c r="U609" s="46">
        <f>'Текущие концовки'!H304</f>
        <v>186</v>
      </c>
      <c r="V609" s="46">
        <f>'Текущие концовки'!I304</f>
        <v>89</v>
      </c>
      <c r="W609" s="45" t="e">
        <f ca="1">'Текущие концовки'!J304</f>
        <v>#NAME?</v>
      </c>
      <c r="X609" s="45" t="e">
        <f ca="1">'Текущие концовки'!K304</f>
        <v>#NAME?</v>
      </c>
      <c r="Y609" s="46">
        <f>'Текущие концовки'!L304</f>
        <v>1013</v>
      </c>
      <c r="Z609" s="46">
        <f>'Текущие концовки'!M304</f>
        <v>0</v>
      </c>
    </row>
    <row r="610" spans="2:26">
      <c r="B610" s="43"/>
      <c r="C610" s="43"/>
      <c r="D610" s="43"/>
      <c r="E610" s="43"/>
      <c r="F610" s="43"/>
      <c r="G610" s="47"/>
      <c r="H610" s="21">
        <f>'Базовые концовки'!L304</f>
        <v>162</v>
      </c>
      <c r="I610" s="21">
        <f>'Базовые концовки'!I304</f>
        <v>4</v>
      </c>
      <c r="L610" s="47"/>
      <c r="M610" s="21">
        <f>'Текущие концовки'!L304</f>
        <v>1013</v>
      </c>
      <c r="N610" s="21">
        <f>'Текущие концовки'!I304</f>
        <v>89</v>
      </c>
      <c r="T610" s="46"/>
      <c r="U610" s="46"/>
      <c r="V610" s="46"/>
      <c r="W610" s="45"/>
      <c r="X610" s="45"/>
      <c r="Y610" s="46"/>
      <c r="Z610" s="46"/>
    </row>
    <row r="611" spans="2:26" hidden="1">
      <c r="B611" s="42" t="s">
        <v>70</v>
      </c>
      <c r="C611" s="43"/>
      <c r="D611" s="43"/>
      <c r="E611" s="44"/>
      <c r="G611" s="21"/>
      <c r="H611" s="21"/>
      <c r="I611" s="21"/>
      <c r="L611" s="21"/>
      <c r="M611" s="21"/>
      <c r="N611" s="21"/>
      <c r="T611" s="23"/>
      <c r="U611" s="23"/>
      <c r="V611" s="23"/>
      <c r="W611" s="7"/>
      <c r="X611" s="7"/>
      <c r="Y611" s="23"/>
      <c r="Z611" s="23"/>
    </row>
    <row r="612" spans="2:26" hidden="1">
      <c r="B612" s="42" t="s">
        <v>79</v>
      </c>
      <c r="C612" s="43"/>
      <c r="D612" s="43"/>
      <c r="E612" s="44"/>
      <c r="G612" s="21" t="e">
        <f ca="1">'Базовые концовки'!F306</f>
        <v>#NAME?</v>
      </c>
      <c r="H612" s="21"/>
      <c r="I612" s="21"/>
      <c r="L612" s="21" t="e">
        <f ca="1">'Текущие концовки'!F306</f>
        <v>#NAME?</v>
      </c>
      <c r="M612" s="21"/>
      <c r="N612" s="21"/>
      <c r="T612" s="23"/>
      <c r="U612" s="23"/>
      <c r="V612" s="23"/>
      <c r="W612" s="7"/>
      <c r="X612" s="7"/>
      <c r="Y612" s="23"/>
      <c r="Z612" s="23"/>
    </row>
    <row r="613" spans="2:26" hidden="1">
      <c r="B613" s="42" t="s">
        <v>74</v>
      </c>
      <c r="C613" s="43"/>
      <c r="D613" s="43"/>
      <c r="E613" s="44"/>
      <c r="G613" s="21">
        <f>'Базовые концовки'!F307</f>
        <v>0</v>
      </c>
      <c r="H613" s="21"/>
      <c r="I613" s="21"/>
      <c r="L613" s="21">
        <f>'Текущие концовки'!F307</f>
        <v>0</v>
      </c>
      <c r="M613" s="21"/>
      <c r="N613" s="21"/>
      <c r="T613" s="23"/>
      <c r="U613" s="23"/>
      <c r="V613" s="23"/>
      <c r="W613" s="7"/>
      <c r="X613" s="7"/>
      <c r="Y613" s="23"/>
      <c r="Z613" s="23"/>
    </row>
    <row r="614" spans="2:26">
      <c r="B614" s="42" t="s">
        <v>150</v>
      </c>
      <c r="C614" s="43"/>
      <c r="D614" s="43"/>
      <c r="E614" s="43"/>
      <c r="F614" s="44"/>
      <c r="G614" s="21">
        <f>'Базовые концовки'!F308</f>
        <v>196</v>
      </c>
      <c r="H614" s="21"/>
      <c r="I614" s="21"/>
      <c r="L614" s="21">
        <f>'Текущие концовки'!F308</f>
        <v>4062</v>
      </c>
      <c r="M614" s="21"/>
      <c r="N614" s="21"/>
      <c r="T614" s="23"/>
      <c r="U614" s="23"/>
      <c r="V614" s="23"/>
      <c r="W614" s="7"/>
      <c r="X614" s="7"/>
      <c r="Y614" s="23"/>
      <c r="Z614" s="23"/>
    </row>
    <row r="615" spans="2:26">
      <c r="B615" s="42" t="s">
        <v>151</v>
      </c>
      <c r="C615" s="43"/>
      <c r="D615" s="43"/>
      <c r="E615" s="43"/>
      <c r="F615" s="44"/>
      <c r="G615" s="21">
        <f>'Базовые концовки'!F309</f>
        <v>144</v>
      </c>
      <c r="H615" s="21"/>
      <c r="I615" s="21"/>
      <c r="L615" s="21">
        <f>'Текущие концовки'!F309</f>
        <v>2994</v>
      </c>
      <c r="M615" s="21"/>
      <c r="N615" s="21"/>
      <c r="T615" s="23"/>
      <c r="U615" s="23"/>
      <c r="V615" s="23"/>
      <c r="W615" s="7"/>
      <c r="X615" s="7"/>
      <c r="Y615" s="23"/>
      <c r="Z615" s="23"/>
    </row>
    <row r="616" spans="2:26">
      <c r="B616" s="42" t="s">
        <v>82</v>
      </c>
      <c r="C616" s="43"/>
      <c r="D616" s="43"/>
      <c r="E616" s="43"/>
      <c r="F616" s="44"/>
      <c r="G616" s="21">
        <f>'Базовые концовки'!F310</f>
        <v>749</v>
      </c>
      <c r="H616" s="21"/>
      <c r="I616" s="21"/>
      <c r="L616" s="21">
        <f>'Текущие концовки'!F310</f>
        <v>12961</v>
      </c>
      <c r="M616" s="21"/>
      <c r="N616" s="21"/>
      <c r="T616" s="23"/>
      <c r="U616" s="23"/>
      <c r="V616" s="23"/>
      <c r="W616" s="7"/>
      <c r="X616" s="7"/>
      <c r="Y616" s="23"/>
      <c r="Z616" s="23"/>
    </row>
    <row r="617" spans="2:26" hidden="1">
      <c r="B617" s="42" t="s">
        <v>83</v>
      </c>
      <c r="C617" s="43"/>
      <c r="D617" s="43"/>
      <c r="E617" s="44"/>
      <c r="G617" s="21">
        <f>'Базовые концовки'!F311</f>
        <v>0</v>
      </c>
      <c r="H617" s="21">
        <f>'Базовые концовки'!G311</f>
        <v>0</v>
      </c>
      <c r="I617" s="21">
        <f>'Базовые концовки'!H311</f>
        <v>0</v>
      </c>
      <c r="L617" s="21">
        <f>'Текущие концовки'!F311</f>
        <v>0</v>
      </c>
      <c r="M617" s="21">
        <f>'Текущие концовки'!G311</f>
        <v>0</v>
      </c>
      <c r="N617" s="21">
        <f>'Текущие концовки'!H311</f>
        <v>0</v>
      </c>
      <c r="T617" s="23">
        <f>'Текущие концовки'!G311</f>
        <v>0</v>
      </c>
      <c r="U617" s="23">
        <f>'Текущие концовки'!H311</f>
        <v>0</v>
      </c>
      <c r="V617" s="23">
        <f>'Текущие концовки'!I311</f>
        <v>0</v>
      </c>
      <c r="W617" s="7">
        <f>'Текущие концовки'!J311</f>
        <v>0</v>
      </c>
      <c r="X617" s="7">
        <f>'Текущие концовки'!K311</f>
        <v>0</v>
      </c>
      <c r="Y617" s="23">
        <f>'Текущие концовки'!L311</f>
        <v>0</v>
      </c>
      <c r="Z617" s="23">
        <f>'Текущие концовки'!M311</f>
        <v>0</v>
      </c>
    </row>
    <row r="618" spans="2:26" hidden="1">
      <c r="B618" s="42" t="s">
        <v>74</v>
      </c>
      <c r="C618" s="43"/>
      <c r="D618" s="43"/>
      <c r="E618" s="44"/>
      <c r="G618" s="21">
        <f>'Базовые концовки'!F312</f>
        <v>0</v>
      </c>
      <c r="H618" s="21"/>
      <c r="I618" s="21"/>
      <c r="L618" s="21">
        <f>'Текущие концовки'!F312</f>
        <v>0</v>
      </c>
      <c r="M618" s="21"/>
      <c r="N618" s="21"/>
      <c r="T618" s="23"/>
      <c r="U618" s="23"/>
      <c r="V618" s="23"/>
      <c r="W618" s="7"/>
      <c r="X618" s="7"/>
      <c r="Y618" s="23"/>
      <c r="Z618" s="23"/>
    </row>
    <row r="619" spans="2:26" hidden="1">
      <c r="B619" s="42" t="s">
        <v>75</v>
      </c>
      <c r="C619" s="43"/>
      <c r="D619" s="43"/>
      <c r="E619" s="44"/>
      <c r="G619" s="21">
        <f>'Базовые концовки'!F313</f>
        <v>0</v>
      </c>
      <c r="H619" s="21"/>
      <c r="I619" s="21"/>
      <c r="L619" s="21">
        <f>'Текущие концовки'!F313</f>
        <v>0</v>
      </c>
      <c r="M619" s="21"/>
      <c r="N619" s="21"/>
      <c r="T619" s="23"/>
      <c r="U619" s="23"/>
      <c r="V619" s="23"/>
      <c r="W619" s="7"/>
      <c r="X619" s="7"/>
      <c r="Y619" s="23"/>
      <c r="Z619" s="23"/>
    </row>
    <row r="620" spans="2:26" hidden="1">
      <c r="B620" s="42" t="s">
        <v>76</v>
      </c>
      <c r="C620" s="43"/>
      <c r="D620" s="43"/>
      <c r="E620" s="44"/>
      <c r="G620" s="21">
        <f>'Базовые концовки'!F314</f>
        <v>0</v>
      </c>
      <c r="H620" s="21"/>
      <c r="I620" s="21"/>
      <c r="L620" s="21">
        <f>'Текущие концовки'!F314</f>
        <v>0</v>
      </c>
      <c r="M620" s="21"/>
      <c r="N620" s="21"/>
      <c r="T620" s="23"/>
      <c r="U620" s="23"/>
      <c r="V620" s="23"/>
      <c r="W620" s="7"/>
      <c r="X620" s="7"/>
      <c r="Y620" s="23"/>
      <c r="Z620" s="23"/>
    </row>
    <row r="621" spans="2:26" hidden="1">
      <c r="B621" s="42" t="s">
        <v>84</v>
      </c>
      <c r="C621" s="43"/>
      <c r="D621" s="43"/>
      <c r="E621" s="44"/>
      <c r="G621" s="21">
        <f>'Базовые концовки'!F315</f>
        <v>0</v>
      </c>
      <c r="H621" s="21"/>
      <c r="I621" s="21"/>
      <c r="L621" s="21">
        <f>'Текущие концовки'!F315</f>
        <v>0</v>
      </c>
      <c r="M621" s="21"/>
      <c r="N621" s="21"/>
      <c r="T621" s="23"/>
      <c r="U621" s="23"/>
      <c r="V621" s="23"/>
      <c r="W621" s="7"/>
      <c r="X621" s="7"/>
      <c r="Y621" s="23"/>
      <c r="Z621" s="23"/>
    </row>
    <row r="622" spans="2:26" hidden="1">
      <c r="B622" s="42" t="s">
        <v>85</v>
      </c>
      <c r="C622" s="43"/>
      <c r="D622" s="43"/>
      <c r="E622" s="44"/>
      <c r="G622" s="21">
        <f>'Базовые концовки'!F316</f>
        <v>0</v>
      </c>
      <c r="H622" s="21">
        <f>'Базовые концовки'!G316</f>
        <v>0</v>
      </c>
      <c r="I622" s="21">
        <f>'Базовые концовки'!H316</f>
        <v>0</v>
      </c>
      <c r="L622" s="21">
        <f>'Текущие концовки'!F316</f>
        <v>0</v>
      </c>
      <c r="M622" s="21">
        <f>'Текущие концовки'!G316</f>
        <v>0</v>
      </c>
      <c r="N622" s="21">
        <f>'Текущие концовки'!H316</f>
        <v>0</v>
      </c>
      <c r="T622" s="23">
        <f>'Текущие концовки'!G316</f>
        <v>0</v>
      </c>
      <c r="U622" s="23">
        <f>'Текущие концовки'!H316</f>
        <v>0</v>
      </c>
      <c r="V622" s="23">
        <f>'Текущие концовки'!I316</f>
        <v>0</v>
      </c>
      <c r="W622" s="7">
        <f>'Текущие концовки'!J316</f>
        <v>0</v>
      </c>
      <c r="X622" s="7">
        <f>'Текущие концовки'!K316</f>
        <v>0</v>
      </c>
      <c r="Y622" s="23">
        <f>'Текущие концовки'!L316</f>
        <v>0</v>
      </c>
      <c r="Z622" s="23">
        <f>'Текущие концовки'!M316</f>
        <v>0</v>
      </c>
    </row>
    <row r="623" spans="2:26" hidden="1">
      <c r="B623" s="42" t="s">
        <v>70</v>
      </c>
      <c r="C623" s="43"/>
      <c r="D623" s="43"/>
      <c r="E623" s="44"/>
      <c r="G623" s="21"/>
      <c r="H623" s="21"/>
      <c r="I623" s="21"/>
      <c r="L623" s="21"/>
      <c r="M623" s="21"/>
      <c r="N623" s="21"/>
      <c r="T623" s="23"/>
      <c r="U623" s="23"/>
      <c r="V623" s="23"/>
      <c r="W623" s="7"/>
      <c r="X623" s="7"/>
      <c r="Y623" s="23"/>
      <c r="Z623" s="23"/>
    </row>
    <row r="624" spans="2:26" hidden="1">
      <c r="B624" s="42" t="s">
        <v>86</v>
      </c>
      <c r="C624" s="43"/>
      <c r="D624" s="43"/>
      <c r="E624" s="44"/>
      <c r="G624" s="21">
        <f>'Базовые концовки'!F318</f>
        <v>0</v>
      </c>
      <c r="H624" s="21">
        <f>'Базовые концовки'!G318</f>
        <v>0</v>
      </c>
      <c r="I624" s="21">
        <f>'Базовые концовки'!H318</f>
        <v>0</v>
      </c>
      <c r="L624" s="21">
        <f>'Текущие концовки'!F318</f>
        <v>0</v>
      </c>
      <c r="M624" s="21">
        <f>'Текущие концовки'!G318</f>
        <v>0</v>
      </c>
      <c r="N624" s="21">
        <f>'Текущие концовки'!H318</f>
        <v>0</v>
      </c>
      <c r="T624" s="23">
        <f>'Текущие концовки'!G318</f>
        <v>0</v>
      </c>
      <c r="U624" s="23">
        <f>'Текущие концовки'!H318</f>
        <v>0</v>
      </c>
      <c r="V624" s="23">
        <f>'Текущие концовки'!I318</f>
        <v>0</v>
      </c>
      <c r="W624" s="7">
        <f>'Текущие концовки'!J318</f>
        <v>0</v>
      </c>
      <c r="X624" s="7">
        <f>'Текущие концовки'!K318</f>
        <v>0</v>
      </c>
      <c r="Y624" s="23">
        <f>'Текущие концовки'!L318</f>
        <v>0</v>
      </c>
      <c r="Z624" s="23">
        <f>'Текущие концовки'!M318</f>
        <v>0</v>
      </c>
    </row>
    <row r="625" spans="2:26" hidden="1">
      <c r="B625" s="42" t="s">
        <v>74</v>
      </c>
      <c r="C625" s="43"/>
      <c r="D625" s="43"/>
      <c r="E625" s="44"/>
      <c r="G625" s="21">
        <f>'Базовые концовки'!F319</f>
        <v>0</v>
      </c>
      <c r="H625" s="21"/>
      <c r="I625" s="21"/>
      <c r="L625" s="21">
        <f>'Текущие концовки'!F319</f>
        <v>0</v>
      </c>
      <c r="M625" s="21"/>
      <c r="N625" s="21"/>
      <c r="T625" s="23"/>
      <c r="U625" s="23"/>
      <c r="V625" s="23"/>
      <c r="W625" s="7"/>
      <c r="X625" s="7"/>
      <c r="Y625" s="23"/>
      <c r="Z625" s="23"/>
    </row>
    <row r="626" spans="2:26" hidden="1">
      <c r="B626" s="42" t="s">
        <v>75</v>
      </c>
      <c r="C626" s="43"/>
      <c r="D626" s="43"/>
      <c r="E626" s="44"/>
      <c r="G626" s="21">
        <f>'Базовые концовки'!F320</f>
        <v>0</v>
      </c>
      <c r="H626" s="21"/>
      <c r="I626" s="21"/>
      <c r="L626" s="21">
        <f>'Текущие концовки'!F320</f>
        <v>0</v>
      </c>
      <c r="M626" s="21"/>
      <c r="N626" s="21"/>
      <c r="T626" s="23"/>
      <c r="U626" s="23"/>
      <c r="V626" s="23"/>
      <c r="W626" s="7"/>
      <c r="X626" s="7"/>
      <c r="Y626" s="23"/>
      <c r="Z626" s="23"/>
    </row>
    <row r="627" spans="2:26" hidden="1">
      <c r="B627" s="42" t="s">
        <v>76</v>
      </c>
      <c r="C627" s="43"/>
      <c r="D627" s="43"/>
      <c r="E627" s="44"/>
      <c r="G627" s="21">
        <f>'Базовые концовки'!F321</f>
        <v>0</v>
      </c>
      <c r="H627" s="21"/>
      <c r="I627" s="21"/>
      <c r="L627" s="21">
        <f>'Текущие концовки'!F321</f>
        <v>0</v>
      </c>
      <c r="M627" s="21"/>
      <c r="N627" s="21"/>
      <c r="T627" s="23"/>
      <c r="U627" s="23"/>
      <c r="V627" s="23"/>
      <c r="W627" s="7"/>
      <c r="X627" s="7"/>
      <c r="Y627" s="23"/>
      <c r="Z627" s="23"/>
    </row>
    <row r="628" spans="2:26" hidden="1">
      <c r="B628" s="42" t="s">
        <v>67</v>
      </c>
      <c r="C628" s="43"/>
      <c r="D628" s="43"/>
      <c r="E628" s="44"/>
      <c r="G628" s="21" t="e">
        <f ca="1">'Базовые концовки'!F322</f>
        <v>#NAME?</v>
      </c>
      <c r="H628" s="21"/>
      <c r="I628" s="21"/>
      <c r="L628" s="21" t="e">
        <f ca="1">'Текущие концовки'!F322</f>
        <v>#NAME?</v>
      </c>
      <c r="M628" s="21"/>
      <c r="N628" s="21"/>
      <c r="T628" s="23"/>
      <c r="U628" s="23"/>
      <c r="V628" s="23"/>
      <c r="W628" s="7"/>
      <c r="X628" s="7"/>
      <c r="Y628" s="23"/>
      <c r="Z628" s="23"/>
    </row>
    <row r="629" spans="2:26" hidden="1">
      <c r="B629" s="42" t="s">
        <v>87</v>
      </c>
      <c r="C629" s="43"/>
      <c r="D629" s="43"/>
      <c r="E629" s="44"/>
      <c r="G629" s="21">
        <f>'Базовые концовки'!F323</f>
        <v>0</v>
      </c>
      <c r="H629" s="21"/>
      <c r="I629" s="21"/>
      <c r="L629" s="21">
        <f>'Текущие концовки'!F323</f>
        <v>0</v>
      </c>
      <c r="M629" s="21"/>
      <c r="N629" s="21"/>
      <c r="T629" s="23"/>
      <c r="U629" s="23"/>
      <c r="V629" s="23"/>
      <c r="W629" s="7"/>
      <c r="X629" s="7"/>
      <c r="Y629" s="23"/>
      <c r="Z629" s="23"/>
    </row>
    <row r="630" spans="2:26" hidden="1">
      <c r="B630" s="42" t="s">
        <v>88</v>
      </c>
      <c r="C630" s="43"/>
      <c r="D630" s="43"/>
      <c r="E630" s="44"/>
      <c r="G630" s="21">
        <f>'Базовые концовки'!F324</f>
        <v>0</v>
      </c>
      <c r="H630" s="21">
        <f>'Базовые концовки'!G324</f>
        <v>0</v>
      </c>
      <c r="I630" s="21">
        <f>'Базовые концовки'!H324</f>
        <v>0</v>
      </c>
      <c r="L630" s="21">
        <f>'Текущие концовки'!F324</f>
        <v>0</v>
      </c>
      <c r="M630" s="21">
        <f>'Текущие концовки'!G324</f>
        <v>0</v>
      </c>
      <c r="N630" s="21">
        <f>'Текущие концовки'!H324</f>
        <v>0</v>
      </c>
      <c r="T630" s="23">
        <f>'Текущие концовки'!G324</f>
        <v>0</v>
      </c>
      <c r="U630" s="23">
        <f>'Текущие концовки'!H324</f>
        <v>0</v>
      </c>
      <c r="V630" s="23">
        <f>'Текущие концовки'!I324</f>
        <v>0</v>
      </c>
      <c r="W630" s="7">
        <f>'Текущие концовки'!J324</f>
        <v>0</v>
      </c>
      <c r="X630" s="7">
        <f>'Текущие концовки'!K324</f>
        <v>0</v>
      </c>
      <c r="Y630" s="23">
        <f>'Текущие концовки'!L324</f>
        <v>0</v>
      </c>
      <c r="Z630" s="23">
        <f>'Текущие концовки'!M324</f>
        <v>0</v>
      </c>
    </row>
    <row r="631" spans="2:26" hidden="1">
      <c r="B631" s="42" t="s">
        <v>74</v>
      </c>
      <c r="C631" s="43"/>
      <c r="D631" s="43"/>
      <c r="E631" s="44"/>
      <c r="G631" s="21">
        <f>'Базовые концовки'!F325</f>
        <v>0</v>
      </c>
      <c r="H631" s="21"/>
      <c r="I631" s="21"/>
      <c r="L631" s="21">
        <f>'Текущие концовки'!F325</f>
        <v>0</v>
      </c>
      <c r="M631" s="21"/>
      <c r="N631" s="21"/>
      <c r="T631" s="23"/>
      <c r="U631" s="23"/>
      <c r="V631" s="23"/>
      <c r="W631" s="7"/>
      <c r="X631" s="7"/>
      <c r="Y631" s="23"/>
      <c r="Z631" s="23"/>
    </row>
    <row r="632" spans="2:26" hidden="1">
      <c r="B632" s="42" t="s">
        <v>75</v>
      </c>
      <c r="C632" s="43"/>
      <c r="D632" s="43"/>
      <c r="E632" s="44"/>
      <c r="G632" s="21">
        <f>'Базовые концовки'!F326</f>
        <v>0</v>
      </c>
      <c r="H632" s="21"/>
      <c r="I632" s="21"/>
      <c r="L632" s="21">
        <f>'Текущие концовки'!F326</f>
        <v>0</v>
      </c>
      <c r="M632" s="21"/>
      <c r="N632" s="21"/>
      <c r="T632" s="23"/>
      <c r="U632" s="23"/>
      <c r="V632" s="23"/>
      <c r="W632" s="7"/>
      <c r="X632" s="7"/>
      <c r="Y632" s="23"/>
      <c r="Z632" s="23"/>
    </row>
    <row r="633" spans="2:26" hidden="1">
      <c r="B633" s="42" t="s">
        <v>76</v>
      </c>
      <c r="C633" s="43"/>
      <c r="D633" s="43"/>
      <c r="E633" s="44"/>
      <c r="G633" s="21">
        <f>'Базовые концовки'!F327</f>
        <v>0</v>
      </c>
      <c r="H633" s="21"/>
      <c r="I633" s="21"/>
      <c r="L633" s="21">
        <f>'Текущие концовки'!F327</f>
        <v>0</v>
      </c>
      <c r="M633" s="21"/>
      <c r="N633" s="21"/>
      <c r="T633" s="23"/>
      <c r="U633" s="23"/>
      <c r="V633" s="23"/>
      <c r="W633" s="7"/>
      <c r="X633" s="7"/>
      <c r="Y633" s="23"/>
      <c r="Z633" s="23"/>
    </row>
    <row r="634" spans="2:26" hidden="1">
      <c r="B634" s="42" t="s">
        <v>89</v>
      </c>
      <c r="C634" s="43"/>
      <c r="D634" s="43"/>
      <c r="E634" s="44"/>
      <c r="G634" s="21">
        <f>'Базовые концовки'!F328</f>
        <v>0</v>
      </c>
      <c r="H634" s="21"/>
      <c r="I634" s="21"/>
      <c r="L634" s="21">
        <f>'Текущие концовки'!F328</f>
        <v>0</v>
      </c>
      <c r="M634" s="21"/>
      <c r="N634" s="21"/>
      <c r="T634" s="23"/>
      <c r="U634" s="23"/>
      <c r="V634" s="23"/>
      <c r="W634" s="7"/>
      <c r="X634" s="7"/>
      <c r="Y634" s="23"/>
      <c r="Z634" s="23"/>
    </row>
    <row r="635" spans="2:26" hidden="1">
      <c r="B635" s="42" t="s">
        <v>90</v>
      </c>
      <c r="C635" s="43"/>
      <c r="D635" s="43"/>
      <c r="E635" s="44"/>
      <c r="G635" s="21">
        <f>'Базовые концовки'!F329</f>
        <v>0</v>
      </c>
      <c r="H635" s="21">
        <f>'Базовые концовки'!G329</f>
        <v>0</v>
      </c>
      <c r="I635" s="21">
        <f>'Базовые концовки'!H329</f>
        <v>0</v>
      </c>
      <c r="L635" s="21">
        <f>'Текущие концовки'!F329</f>
        <v>0</v>
      </c>
      <c r="M635" s="21">
        <f>'Текущие концовки'!G329</f>
        <v>0</v>
      </c>
      <c r="N635" s="21">
        <f>'Текущие концовки'!H329</f>
        <v>0</v>
      </c>
      <c r="T635" s="23">
        <f>'Текущие концовки'!G329</f>
        <v>0</v>
      </c>
      <c r="U635" s="23">
        <f>'Текущие концовки'!H329</f>
        <v>0</v>
      </c>
      <c r="V635" s="23">
        <f>'Текущие концовки'!I329</f>
        <v>0</v>
      </c>
      <c r="W635" s="7">
        <f>'Текущие концовки'!J329</f>
        <v>0</v>
      </c>
      <c r="X635" s="7">
        <f>'Текущие концовки'!K329</f>
        <v>0</v>
      </c>
      <c r="Y635" s="23">
        <f>'Текущие концовки'!L329</f>
        <v>0</v>
      </c>
      <c r="Z635" s="23">
        <f>'Текущие концовки'!M329</f>
        <v>0</v>
      </c>
    </row>
    <row r="636" spans="2:26" hidden="1">
      <c r="B636" s="42" t="s">
        <v>74</v>
      </c>
      <c r="C636" s="43"/>
      <c r="D636" s="43"/>
      <c r="E636" s="44"/>
      <c r="G636" s="21">
        <f>'Базовые концовки'!F330</f>
        <v>0</v>
      </c>
      <c r="H636" s="21"/>
      <c r="I636" s="21"/>
      <c r="L636" s="21">
        <f>'Текущие концовки'!F330</f>
        <v>0</v>
      </c>
      <c r="M636" s="21"/>
      <c r="N636" s="21"/>
      <c r="T636" s="23"/>
      <c r="U636" s="23"/>
      <c r="V636" s="23"/>
      <c r="W636" s="7"/>
      <c r="X636" s="7"/>
      <c r="Y636" s="23"/>
      <c r="Z636" s="23"/>
    </row>
    <row r="637" spans="2:26" hidden="1">
      <c r="B637" s="42" t="s">
        <v>75</v>
      </c>
      <c r="C637" s="43"/>
      <c r="D637" s="43"/>
      <c r="E637" s="44"/>
      <c r="G637" s="21">
        <f>'Базовые концовки'!F331</f>
        <v>0</v>
      </c>
      <c r="H637" s="21"/>
      <c r="I637" s="21"/>
      <c r="L637" s="21">
        <f>'Текущие концовки'!F331</f>
        <v>0</v>
      </c>
      <c r="M637" s="21"/>
      <c r="N637" s="21"/>
      <c r="T637" s="23"/>
      <c r="U637" s="23"/>
      <c r="V637" s="23"/>
      <c r="W637" s="7"/>
      <c r="X637" s="7"/>
      <c r="Y637" s="23"/>
      <c r="Z637" s="23"/>
    </row>
    <row r="638" spans="2:26" hidden="1">
      <c r="B638" s="42" t="s">
        <v>76</v>
      </c>
      <c r="C638" s="43"/>
      <c r="D638" s="43"/>
      <c r="E638" s="44"/>
      <c r="G638" s="21">
        <f>'Базовые концовки'!F332</f>
        <v>0</v>
      </c>
      <c r="H638" s="21"/>
      <c r="I638" s="21"/>
      <c r="L638" s="21">
        <f>'Текущие концовки'!F332</f>
        <v>0</v>
      </c>
      <c r="M638" s="21"/>
      <c r="N638" s="21"/>
      <c r="T638" s="23"/>
      <c r="U638" s="23"/>
      <c r="V638" s="23"/>
      <c r="W638" s="7"/>
      <c r="X638" s="7"/>
      <c r="Y638" s="23"/>
      <c r="Z638" s="23"/>
    </row>
    <row r="639" spans="2:26" hidden="1">
      <c r="B639" s="42" t="s">
        <v>91</v>
      </c>
      <c r="C639" s="43"/>
      <c r="D639" s="43"/>
      <c r="E639" s="44"/>
      <c r="G639" s="21">
        <f>'Базовые концовки'!F333</f>
        <v>0</v>
      </c>
      <c r="H639" s="21"/>
      <c r="I639" s="21"/>
      <c r="L639" s="21">
        <f>'Текущие концовки'!F333</f>
        <v>0</v>
      </c>
      <c r="M639" s="21"/>
      <c r="N639" s="21"/>
      <c r="T639" s="23"/>
      <c r="U639" s="23"/>
      <c r="V639" s="23"/>
      <c r="W639" s="7"/>
      <c r="X639" s="7"/>
      <c r="Y639" s="23"/>
      <c r="Z639" s="23"/>
    </row>
    <row r="640" spans="2:26" hidden="1">
      <c r="B640" s="42" t="s">
        <v>92</v>
      </c>
      <c r="C640" s="43"/>
      <c r="D640" s="43"/>
      <c r="E640" s="44"/>
      <c r="G640" s="21">
        <f>'Базовые концовки'!F334</f>
        <v>0</v>
      </c>
      <c r="H640" s="21">
        <f>'Базовые концовки'!G334</f>
        <v>0</v>
      </c>
      <c r="I640" s="21">
        <f>'Базовые концовки'!H334</f>
        <v>0</v>
      </c>
      <c r="L640" s="21">
        <f>'Текущие концовки'!F334</f>
        <v>0</v>
      </c>
      <c r="M640" s="21">
        <f>'Текущие концовки'!G334</f>
        <v>0</v>
      </c>
      <c r="N640" s="21">
        <f>'Текущие концовки'!H334</f>
        <v>0</v>
      </c>
      <c r="T640" s="23">
        <f>'Текущие концовки'!G334</f>
        <v>0</v>
      </c>
      <c r="U640" s="23">
        <f>'Текущие концовки'!H334</f>
        <v>0</v>
      </c>
      <c r="V640" s="23">
        <f>'Текущие концовки'!I334</f>
        <v>0</v>
      </c>
      <c r="W640" s="7">
        <f>'Текущие концовки'!J334</f>
        <v>0</v>
      </c>
      <c r="X640" s="7">
        <f>'Текущие концовки'!K334</f>
        <v>0</v>
      </c>
      <c r="Y640" s="23">
        <f>'Текущие концовки'!L334</f>
        <v>0</v>
      </c>
      <c r="Z640" s="23">
        <f>'Текущие концовки'!M334</f>
        <v>0</v>
      </c>
    </row>
    <row r="641" spans="2:26" hidden="1">
      <c r="B641" s="42" t="s">
        <v>70</v>
      </c>
      <c r="C641" s="43"/>
      <c r="D641" s="43"/>
      <c r="E641" s="44"/>
      <c r="G641" s="21"/>
      <c r="H641" s="21"/>
      <c r="I641" s="21"/>
      <c r="L641" s="21"/>
      <c r="M641" s="21"/>
      <c r="N641" s="21"/>
      <c r="T641" s="23"/>
      <c r="U641" s="23"/>
      <c r="V641" s="23"/>
      <c r="W641" s="7"/>
      <c r="X641" s="7"/>
      <c r="Y641" s="23"/>
      <c r="Z641" s="23"/>
    </row>
    <row r="642" spans="2:26" hidden="1">
      <c r="B642" s="42" t="s">
        <v>79</v>
      </c>
      <c r="C642" s="43"/>
      <c r="D642" s="43"/>
      <c r="E642" s="44"/>
      <c r="G642" s="21" t="e">
        <f ca="1">'Базовые концовки'!F336</f>
        <v>#NAME?</v>
      </c>
      <c r="H642" s="21"/>
      <c r="I642" s="21"/>
      <c r="L642" s="21" t="e">
        <f ca="1">'Текущие концовки'!F336</f>
        <v>#NAME?</v>
      </c>
      <c r="M642" s="21"/>
      <c r="N642" s="21"/>
      <c r="T642" s="23"/>
      <c r="U642" s="23"/>
      <c r="V642" s="23"/>
      <c r="W642" s="7"/>
      <c r="X642" s="7"/>
      <c r="Y642" s="23"/>
      <c r="Z642" s="23"/>
    </row>
    <row r="643" spans="2:26" hidden="1">
      <c r="B643" s="42" t="s">
        <v>74</v>
      </c>
      <c r="C643" s="43"/>
      <c r="D643" s="43"/>
      <c r="E643" s="44"/>
      <c r="G643" s="21">
        <f>'Базовые концовки'!F337</f>
        <v>0</v>
      </c>
      <c r="H643" s="21"/>
      <c r="I643" s="21"/>
      <c r="L643" s="21">
        <f>'Текущие концовки'!F337</f>
        <v>0</v>
      </c>
      <c r="M643" s="21"/>
      <c r="N643" s="21"/>
      <c r="T643" s="23"/>
      <c r="U643" s="23"/>
      <c r="V643" s="23"/>
      <c r="W643" s="7"/>
      <c r="X643" s="7"/>
      <c r="Y643" s="23"/>
      <c r="Z643" s="23"/>
    </row>
    <row r="644" spans="2:26" hidden="1">
      <c r="B644" s="42" t="s">
        <v>75</v>
      </c>
      <c r="C644" s="43"/>
      <c r="D644" s="43"/>
      <c r="E644" s="44"/>
      <c r="G644" s="21">
        <f>'Базовые концовки'!F338</f>
        <v>0</v>
      </c>
      <c r="H644" s="21"/>
      <c r="I644" s="21"/>
      <c r="L644" s="21">
        <f>'Текущие концовки'!F338</f>
        <v>0</v>
      </c>
      <c r="M644" s="21"/>
      <c r="N644" s="21"/>
      <c r="T644" s="23"/>
      <c r="U644" s="23"/>
      <c r="V644" s="23"/>
      <c r="W644" s="7"/>
      <c r="X644" s="7"/>
      <c r="Y644" s="23"/>
      <c r="Z644" s="23"/>
    </row>
    <row r="645" spans="2:26" hidden="1">
      <c r="B645" s="42" t="s">
        <v>76</v>
      </c>
      <c r="C645" s="43"/>
      <c r="D645" s="43"/>
      <c r="E645" s="44"/>
      <c r="G645" s="21">
        <f>'Базовые концовки'!F339</f>
        <v>0</v>
      </c>
      <c r="H645" s="21"/>
      <c r="I645" s="21"/>
      <c r="L645" s="21">
        <f>'Текущие концовки'!F339</f>
        <v>0</v>
      </c>
      <c r="M645" s="21"/>
      <c r="N645" s="21"/>
      <c r="T645" s="23"/>
      <c r="U645" s="23"/>
      <c r="V645" s="23"/>
      <c r="W645" s="7"/>
      <c r="X645" s="7"/>
      <c r="Y645" s="23"/>
      <c r="Z645" s="23"/>
    </row>
    <row r="646" spans="2:26" hidden="1">
      <c r="B646" s="42" t="s">
        <v>93</v>
      </c>
      <c r="C646" s="43"/>
      <c r="D646" s="43"/>
      <c r="E646" s="44"/>
      <c r="G646" s="21">
        <f>'Базовые концовки'!F340</f>
        <v>0</v>
      </c>
      <c r="H646" s="21"/>
      <c r="I646" s="21"/>
      <c r="L646" s="21">
        <f>'Текущие концовки'!F340</f>
        <v>0</v>
      </c>
      <c r="M646" s="21"/>
      <c r="N646" s="21"/>
      <c r="T646" s="23"/>
      <c r="U646" s="23"/>
      <c r="V646" s="23"/>
      <c r="W646" s="7"/>
      <c r="X646" s="7"/>
      <c r="Y646" s="23"/>
      <c r="Z646" s="23"/>
    </row>
    <row r="647" spans="2:26" hidden="1">
      <c r="B647" s="42" t="s">
        <v>94</v>
      </c>
      <c r="C647" s="43"/>
      <c r="D647" s="43"/>
      <c r="E647" s="44"/>
      <c r="G647" s="21">
        <f>'Базовые концовки'!F341</f>
        <v>0</v>
      </c>
      <c r="H647" s="21">
        <f>'Базовые концовки'!G341</f>
        <v>0</v>
      </c>
      <c r="I647" s="21">
        <f>'Базовые концовки'!H341</f>
        <v>0</v>
      </c>
      <c r="L647" s="21">
        <f>'Текущие концовки'!F341</f>
        <v>0</v>
      </c>
      <c r="M647" s="21">
        <f>'Текущие концовки'!G341</f>
        <v>0</v>
      </c>
      <c r="N647" s="21">
        <f>'Текущие концовки'!H341</f>
        <v>0</v>
      </c>
      <c r="T647" s="23">
        <f>'Текущие концовки'!G341</f>
        <v>0</v>
      </c>
      <c r="U647" s="23">
        <f>'Текущие концовки'!H341</f>
        <v>0</v>
      </c>
      <c r="V647" s="23">
        <f>'Текущие концовки'!I341</f>
        <v>0</v>
      </c>
      <c r="W647" s="7">
        <f>'Текущие концовки'!J341</f>
        <v>0</v>
      </c>
      <c r="X647" s="7">
        <f>'Текущие концовки'!K341</f>
        <v>0</v>
      </c>
      <c r="Y647" s="23">
        <f>'Текущие концовки'!L341</f>
        <v>0</v>
      </c>
      <c r="Z647" s="23">
        <f>'Текущие концовки'!M341</f>
        <v>0</v>
      </c>
    </row>
    <row r="648" spans="2:26" hidden="1">
      <c r="B648" s="42" t="s">
        <v>95</v>
      </c>
      <c r="C648" s="43"/>
      <c r="D648" s="43"/>
      <c r="E648" s="44"/>
      <c r="G648" s="21">
        <f>'Базовые концовки'!F342</f>
        <v>0</v>
      </c>
      <c r="H648" s="21"/>
      <c r="I648" s="21"/>
      <c r="L648" s="21">
        <f>'Текущие концовки'!F342</f>
        <v>0</v>
      </c>
      <c r="M648" s="21"/>
      <c r="N648" s="21"/>
      <c r="T648" s="23"/>
      <c r="U648" s="23"/>
      <c r="V648" s="23"/>
      <c r="W648" s="7"/>
      <c r="X648" s="7"/>
      <c r="Y648" s="23"/>
      <c r="Z648" s="23"/>
    </row>
    <row r="649" spans="2:26" hidden="1">
      <c r="B649" s="42" t="s">
        <v>96</v>
      </c>
      <c r="C649" s="43"/>
      <c r="D649" s="43"/>
      <c r="E649" s="44"/>
      <c r="G649" s="21">
        <f>'Базовые концовки'!F343</f>
        <v>0</v>
      </c>
      <c r="H649" s="21"/>
      <c r="I649" s="21"/>
      <c r="L649" s="21">
        <f>'Текущие концовки'!F343</f>
        <v>0</v>
      </c>
      <c r="M649" s="21"/>
      <c r="N649" s="21"/>
      <c r="T649" s="23"/>
      <c r="U649" s="23"/>
      <c r="V649" s="23"/>
      <c r="W649" s="7"/>
      <c r="X649" s="7"/>
      <c r="Y649" s="23"/>
      <c r="Z649" s="23"/>
    </row>
    <row r="650" spans="2:26" hidden="1">
      <c r="B650" s="42" t="s">
        <v>75</v>
      </c>
      <c r="C650" s="43"/>
      <c r="D650" s="43"/>
      <c r="E650" s="44"/>
      <c r="G650" s="21">
        <f>'Базовые концовки'!F344</f>
        <v>0</v>
      </c>
      <c r="H650" s="21"/>
      <c r="I650" s="21"/>
      <c r="L650" s="21">
        <f>'Текущие концовки'!F344</f>
        <v>0</v>
      </c>
      <c r="M650" s="21"/>
      <c r="N650" s="21"/>
      <c r="T650" s="23"/>
      <c r="U650" s="23"/>
      <c r="V650" s="23"/>
      <c r="W650" s="7"/>
      <c r="X650" s="7"/>
      <c r="Y650" s="23"/>
      <c r="Z650" s="23"/>
    </row>
    <row r="651" spans="2:26" hidden="1">
      <c r="B651" s="42" t="s">
        <v>76</v>
      </c>
      <c r="C651" s="43"/>
      <c r="D651" s="43"/>
      <c r="E651" s="44"/>
      <c r="G651" s="21">
        <f>'Базовые концовки'!F345</f>
        <v>0</v>
      </c>
      <c r="H651" s="21"/>
      <c r="I651" s="21"/>
      <c r="L651" s="21">
        <f>'Текущие концовки'!F345</f>
        <v>0</v>
      </c>
      <c r="M651" s="21"/>
      <c r="N651" s="21"/>
      <c r="T651" s="23"/>
      <c r="U651" s="23"/>
      <c r="V651" s="23"/>
      <c r="W651" s="7"/>
      <c r="X651" s="7"/>
      <c r="Y651" s="23"/>
      <c r="Z651" s="23"/>
    </row>
    <row r="652" spans="2:26" hidden="1">
      <c r="B652" s="42" t="s">
        <v>97</v>
      </c>
      <c r="C652" s="43"/>
      <c r="D652" s="43"/>
      <c r="E652" s="44"/>
      <c r="G652" s="21">
        <f>'Базовые концовки'!F346</f>
        <v>0</v>
      </c>
      <c r="H652" s="21"/>
      <c r="I652" s="21"/>
      <c r="L652" s="21">
        <f>'Текущие концовки'!F346</f>
        <v>0</v>
      </c>
      <c r="M652" s="21"/>
      <c r="N652" s="21"/>
      <c r="T652" s="23"/>
      <c r="U652" s="23"/>
      <c r="V652" s="23"/>
      <c r="W652" s="7"/>
      <c r="X652" s="7"/>
      <c r="Y652" s="23"/>
      <c r="Z652" s="23"/>
    </row>
    <row r="653" spans="2:26" hidden="1">
      <c r="B653" s="42" t="s">
        <v>98</v>
      </c>
      <c r="C653" s="43"/>
      <c r="D653" s="43"/>
      <c r="E653" s="44"/>
      <c r="G653" s="21">
        <f>'Базовые концовки'!F347</f>
        <v>0</v>
      </c>
      <c r="H653" s="21">
        <f>'Базовые концовки'!G347</f>
        <v>0</v>
      </c>
      <c r="I653" s="21">
        <f>'Базовые концовки'!H347</f>
        <v>0</v>
      </c>
      <c r="L653" s="21">
        <f>'Текущие концовки'!F347</f>
        <v>0</v>
      </c>
      <c r="M653" s="21">
        <f>'Текущие концовки'!G347</f>
        <v>0</v>
      </c>
      <c r="N653" s="21">
        <f>'Текущие концовки'!H347</f>
        <v>0</v>
      </c>
      <c r="T653" s="23">
        <f>'Текущие концовки'!G347</f>
        <v>0</v>
      </c>
      <c r="U653" s="23">
        <f>'Текущие концовки'!H347</f>
        <v>0</v>
      </c>
      <c r="V653" s="23">
        <f>'Текущие концовки'!I347</f>
        <v>0</v>
      </c>
      <c r="W653" s="7">
        <f>'Текущие концовки'!J347</f>
        <v>0</v>
      </c>
      <c r="X653" s="7">
        <f>'Текущие концовки'!K347</f>
        <v>0</v>
      </c>
      <c r="Y653" s="23">
        <f>'Текущие концовки'!L347</f>
        <v>0</v>
      </c>
      <c r="Z653" s="23">
        <f>'Текущие концовки'!M347</f>
        <v>0</v>
      </c>
    </row>
    <row r="654" spans="2:26" hidden="1">
      <c r="B654" s="42" t="s">
        <v>75</v>
      </c>
      <c r="C654" s="43"/>
      <c r="D654" s="43"/>
      <c r="E654" s="44"/>
      <c r="G654" s="21">
        <f>'Базовые концовки'!F348</f>
        <v>0</v>
      </c>
      <c r="H654" s="21"/>
      <c r="I654" s="21"/>
      <c r="L654" s="21">
        <f>'Текущие концовки'!F348</f>
        <v>0</v>
      </c>
      <c r="M654" s="21"/>
      <c r="N654" s="21"/>
      <c r="T654" s="23"/>
      <c r="U654" s="23"/>
      <c r="V654" s="23"/>
      <c r="W654" s="7"/>
      <c r="X654" s="7"/>
      <c r="Y654" s="23"/>
      <c r="Z654" s="23"/>
    </row>
    <row r="655" spans="2:26" hidden="1">
      <c r="B655" s="42" t="s">
        <v>76</v>
      </c>
      <c r="C655" s="43"/>
      <c r="D655" s="43"/>
      <c r="E655" s="44"/>
      <c r="G655" s="21">
        <f>'Базовые концовки'!F349</f>
        <v>0</v>
      </c>
      <c r="H655" s="21"/>
      <c r="I655" s="21"/>
      <c r="L655" s="21">
        <f>'Текущие концовки'!F349</f>
        <v>0</v>
      </c>
      <c r="M655" s="21"/>
      <c r="N655" s="21"/>
      <c r="T655" s="23"/>
      <c r="U655" s="23"/>
      <c r="V655" s="23"/>
      <c r="W655" s="7"/>
      <c r="X655" s="7"/>
      <c r="Y655" s="23"/>
      <c r="Z655" s="23"/>
    </row>
    <row r="656" spans="2:26" hidden="1">
      <c r="B656" s="42" t="s">
        <v>99</v>
      </c>
      <c r="C656" s="43"/>
      <c r="D656" s="43"/>
      <c r="E656" s="44"/>
      <c r="G656" s="21">
        <f>'Базовые концовки'!F350</f>
        <v>0</v>
      </c>
      <c r="H656" s="21"/>
      <c r="I656" s="21"/>
      <c r="L656" s="21">
        <f>'Текущие концовки'!F350</f>
        <v>0</v>
      </c>
      <c r="M656" s="21"/>
      <c r="N656" s="21"/>
      <c r="T656" s="23"/>
      <c r="U656" s="23"/>
      <c r="V656" s="23"/>
      <c r="W656" s="7"/>
      <c r="X656" s="7"/>
      <c r="Y656" s="23"/>
      <c r="Z656" s="23"/>
    </row>
    <row r="657" spans="2:26" hidden="1">
      <c r="B657" s="42" t="s">
        <v>100</v>
      </c>
      <c r="C657" s="43"/>
      <c r="D657" s="43"/>
      <c r="E657" s="44"/>
      <c r="G657" s="21">
        <f>'Базовые концовки'!F351</f>
        <v>0</v>
      </c>
      <c r="H657" s="21">
        <f>'Базовые концовки'!G351</f>
        <v>0</v>
      </c>
      <c r="I657" s="21">
        <f>'Базовые концовки'!H351</f>
        <v>0</v>
      </c>
      <c r="L657" s="21">
        <f>'Текущие концовки'!F351</f>
        <v>0</v>
      </c>
      <c r="M657" s="21">
        <f>'Текущие концовки'!G351</f>
        <v>0</v>
      </c>
      <c r="N657" s="21">
        <f>'Текущие концовки'!H351</f>
        <v>0</v>
      </c>
      <c r="T657" s="23">
        <f>'Текущие концовки'!G351</f>
        <v>0</v>
      </c>
      <c r="U657" s="23">
        <f>'Текущие концовки'!H351</f>
        <v>0</v>
      </c>
      <c r="V657" s="23">
        <f>'Текущие концовки'!I351</f>
        <v>0</v>
      </c>
      <c r="W657" s="7">
        <f>'Текущие концовки'!J351</f>
        <v>0</v>
      </c>
      <c r="X657" s="7">
        <f>'Текущие концовки'!K351</f>
        <v>0</v>
      </c>
      <c r="Y657" s="23">
        <f>'Текущие концовки'!L351</f>
        <v>0</v>
      </c>
      <c r="Z657" s="23">
        <f>'Текущие концовки'!M351</f>
        <v>0</v>
      </c>
    </row>
    <row r="658" spans="2:26" hidden="1">
      <c r="B658" s="42" t="s">
        <v>74</v>
      </c>
      <c r="C658" s="43"/>
      <c r="D658" s="43"/>
      <c r="E658" s="44"/>
      <c r="G658" s="21">
        <f>'Базовые концовки'!F352</f>
        <v>0</v>
      </c>
      <c r="H658" s="21"/>
      <c r="I658" s="21"/>
      <c r="L658" s="21">
        <f>'Текущие концовки'!F352</f>
        <v>0</v>
      </c>
      <c r="M658" s="21"/>
      <c r="N658" s="21"/>
      <c r="T658" s="23"/>
      <c r="U658" s="23"/>
      <c r="V658" s="23"/>
      <c r="W658" s="7"/>
      <c r="X658" s="7"/>
      <c r="Y658" s="23"/>
      <c r="Z658" s="23"/>
    </row>
    <row r="659" spans="2:26" hidden="1">
      <c r="B659" s="42" t="s">
        <v>75</v>
      </c>
      <c r="C659" s="43"/>
      <c r="D659" s="43"/>
      <c r="E659" s="44"/>
      <c r="G659" s="21">
        <f>'Базовые концовки'!F353</f>
        <v>0</v>
      </c>
      <c r="H659" s="21"/>
      <c r="I659" s="21"/>
      <c r="L659" s="21">
        <f>'Текущие концовки'!F353</f>
        <v>0</v>
      </c>
      <c r="M659" s="21"/>
      <c r="N659" s="21"/>
      <c r="T659" s="23"/>
      <c r="U659" s="23"/>
      <c r="V659" s="23"/>
      <c r="W659" s="7"/>
      <c r="X659" s="7"/>
      <c r="Y659" s="23"/>
      <c r="Z659" s="23"/>
    </row>
    <row r="660" spans="2:26" hidden="1">
      <c r="B660" s="42" t="s">
        <v>76</v>
      </c>
      <c r="C660" s="43"/>
      <c r="D660" s="43"/>
      <c r="E660" s="44"/>
      <c r="G660" s="21">
        <f>'Базовые концовки'!F354</f>
        <v>0</v>
      </c>
      <c r="H660" s="21"/>
      <c r="I660" s="21"/>
      <c r="L660" s="21">
        <f>'Текущие концовки'!F354</f>
        <v>0</v>
      </c>
      <c r="M660" s="21"/>
      <c r="N660" s="21"/>
      <c r="T660" s="23"/>
      <c r="U660" s="23"/>
      <c r="V660" s="23"/>
      <c r="W660" s="7"/>
      <c r="X660" s="7"/>
      <c r="Y660" s="23"/>
      <c r="Z660" s="23"/>
    </row>
    <row r="661" spans="2:26" hidden="1">
      <c r="B661" s="42" t="s">
        <v>101</v>
      </c>
      <c r="C661" s="43"/>
      <c r="D661" s="43"/>
      <c r="E661" s="44"/>
      <c r="G661" s="21">
        <f>'Базовые концовки'!F355</f>
        <v>0</v>
      </c>
      <c r="H661" s="21"/>
      <c r="I661" s="21"/>
      <c r="L661" s="21">
        <f>'Текущие концовки'!F355</f>
        <v>0</v>
      </c>
      <c r="M661" s="21"/>
      <c r="N661" s="21"/>
      <c r="T661" s="23"/>
      <c r="U661" s="23"/>
      <c r="V661" s="23"/>
      <c r="W661" s="7"/>
      <c r="X661" s="7"/>
      <c r="Y661" s="23"/>
      <c r="Z661" s="23"/>
    </row>
    <row r="662" spans="2:26" hidden="1">
      <c r="B662" s="42" t="s">
        <v>102</v>
      </c>
      <c r="C662" s="43"/>
      <c r="D662" s="43"/>
      <c r="E662" s="44"/>
      <c r="G662" s="21">
        <f>'Базовые концовки'!F356</f>
        <v>0</v>
      </c>
      <c r="H662" s="21">
        <f>'Базовые концовки'!G356</f>
        <v>0</v>
      </c>
      <c r="I662" s="21">
        <f>'Базовые концовки'!H356</f>
        <v>0</v>
      </c>
      <c r="L662" s="21">
        <f>'Текущие концовки'!F356</f>
        <v>0</v>
      </c>
      <c r="M662" s="21">
        <f>'Текущие концовки'!G356</f>
        <v>0</v>
      </c>
      <c r="N662" s="21">
        <f>'Текущие концовки'!H356</f>
        <v>0</v>
      </c>
      <c r="T662" s="23">
        <f>'Текущие концовки'!G356</f>
        <v>0</v>
      </c>
      <c r="U662" s="23">
        <f>'Текущие концовки'!H356</f>
        <v>0</v>
      </c>
      <c r="V662" s="23">
        <f>'Текущие концовки'!I356</f>
        <v>0</v>
      </c>
      <c r="W662" s="7">
        <f>'Текущие концовки'!J356</f>
        <v>0</v>
      </c>
      <c r="X662" s="7">
        <f>'Текущие концовки'!K356</f>
        <v>0</v>
      </c>
      <c r="Y662" s="23">
        <f>'Текущие концовки'!L356</f>
        <v>0</v>
      </c>
      <c r="Z662" s="23">
        <f>'Текущие концовки'!M356</f>
        <v>0</v>
      </c>
    </row>
    <row r="663" spans="2:26" hidden="1">
      <c r="B663" s="42" t="s">
        <v>74</v>
      </c>
      <c r="C663" s="43"/>
      <c r="D663" s="43"/>
      <c r="E663" s="44"/>
      <c r="G663" s="21">
        <f>'Базовые концовки'!F357</f>
        <v>0</v>
      </c>
      <c r="H663" s="21"/>
      <c r="I663" s="21"/>
      <c r="L663" s="21">
        <f>'Текущие концовки'!F357</f>
        <v>0</v>
      </c>
      <c r="M663" s="21"/>
      <c r="N663" s="21"/>
      <c r="T663" s="23"/>
      <c r="U663" s="23"/>
      <c r="V663" s="23"/>
      <c r="W663" s="7"/>
      <c r="X663" s="7"/>
      <c r="Y663" s="23"/>
      <c r="Z663" s="23"/>
    </row>
    <row r="664" spans="2:26">
      <c r="B664" s="42" t="s">
        <v>152</v>
      </c>
      <c r="C664" s="43"/>
      <c r="D664" s="43"/>
      <c r="E664" s="43"/>
      <c r="F664" s="44"/>
      <c r="G664" s="21" t="e">
        <f ca="1">'Базовые концовки'!F358</f>
        <v>#NAME?</v>
      </c>
      <c r="H664" s="21">
        <f>'Базовые концовки'!G358</f>
        <v>0</v>
      </c>
      <c r="I664" s="21">
        <f>'Базовые концовки'!H358</f>
        <v>0</v>
      </c>
      <c r="L664" s="21" t="e">
        <f ca="1">'Текущие концовки'!F358</f>
        <v>#NAME?</v>
      </c>
      <c r="M664" s="21">
        <f>'Текущие концовки'!G358</f>
        <v>0</v>
      </c>
      <c r="N664" s="21">
        <f>'Текущие концовки'!H358</f>
        <v>0</v>
      </c>
      <c r="T664" s="23">
        <f>'Текущие концовки'!G358</f>
        <v>0</v>
      </c>
      <c r="U664" s="23">
        <f>'Текущие концовки'!H358</f>
        <v>0</v>
      </c>
      <c r="V664" s="23">
        <f>'Текущие концовки'!I358</f>
        <v>0</v>
      </c>
      <c r="W664" s="7">
        <f>'Текущие концовки'!J358</f>
        <v>0</v>
      </c>
      <c r="X664" s="7">
        <f>'Текущие концовки'!K358</f>
        <v>0</v>
      </c>
      <c r="Y664" s="23">
        <f>'Текущие концовки'!L358</f>
        <v>0</v>
      </c>
      <c r="Z664" s="23">
        <f>'Текущие концовки'!M358</f>
        <v>0</v>
      </c>
    </row>
    <row r="665" spans="2:26" hidden="1">
      <c r="B665" s="42" t="s">
        <v>104</v>
      </c>
      <c r="C665" s="43"/>
      <c r="D665" s="43"/>
      <c r="E665" s="44"/>
      <c r="G665" s="21">
        <f>'Базовые концовки'!F359</f>
        <v>0</v>
      </c>
      <c r="H665" s="21"/>
      <c r="I665" s="21"/>
      <c r="L665" s="21">
        <f>'Текущие концовки'!F359</f>
        <v>0</v>
      </c>
      <c r="M665" s="21"/>
      <c r="N665" s="21"/>
      <c r="T665" s="23"/>
      <c r="U665" s="23"/>
      <c r="V665" s="23"/>
      <c r="W665" s="7"/>
      <c r="X665" s="7"/>
      <c r="Y665" s="23"/>
      <c r="Z665" s="23"/>
    </row>
    <row r="666" spans="2:26">
      <c r="B666" s="42" t="s">
        <v>105</v>
      </c>
      <c r="C666" s="43"/>
      <c r="D666" s="43"/>
      <c r="E666" s="43"/>
      <c r="F666" s="44"/>
      <c r="G666" s="21">
        <f>'Базовые концовки'!F360</f>
        <v>196</v>
      </c>
      <c r="H666" s="21"/>
      <c r="I666" s="21"/>
      <c r="L666" s="21">
        <f>'Текущие концовки'!F360</f>
        <v>4062</v>
      </c>
      <c r="M666" s="21"/>
      <c r="N666" s="21"/>
      <c r="T666" s="23"/>
      <c r="U666" s="23"/>
      <c r="V666" s="23"/>
      <c r="W666" s="7"/>
      <c r="X666" s="7"/>
      <c r="Y666" s="23"/>
      <c r="Z666" s="23"/>
    </row>
    <row r="667" spans="2:26">
      <c r="B667" s="42" t="s">
        <v>106</v>
      </c>
      <c r="C667" s="43"/>
      <c r="D667" s="43"/>
      <c r="E667" s="43"/>
      <c r="F667" s="44"/>
      <c r="G667" s="21">
        <f>'Базовые концовки'!F361</f>
        <v>144</v>
      </c>
      <c r="H667" s="21"/>
      <c r="I667" s="21"/>
      <c r="L667" s="21">
        <f>'Текущие концовки'!F361</f>
        <v>2994</v>
      </c>
      <c r="M667" s="21"/>
      <c r="N667" s="21"/>
      <c r="T667" s="23"/>
      <c r="U667" s="23"/>
      <c r="V667" s="23"/>
      <c r="W667" s="7"/>
      <c r="X667" s="7"/>
      <c r="Y667" s="23"/>
      <c r="Z667" s="23"/>
    </row>
    <row r="668" spans="2:26" hidden="1">
      <c r="B668" s="42" t="s">
        <v>33</v>
      </c>
      <c r="C668" s="43"/>
      <c r="D668" s="43"/>
      <c r="E668" s="44"/>
      <c r="G668" s="21">
        <f>'Базовые концовки'!F362</f>
        <v>0</v>
      </c>
      <c r="H668" s="21"/>
      <c r="I668" s="21"/>
      <c r="L668" s="21">
        <f>'Текущие концовки'!F362</f>
        <v>0</v>
      </c>
      <c r="M668" s="21"/>
      <c r="N668" s="21"/>
      <c r="T668" s="23"/>
      <c r="U668" s="23"/>
      <c r="V668" s="23"/>
      <c r="W668" s="7"/>
      <c r="X668" s="7"/>
      <c r="Y668" s="23">
        <f>'Текущие концовки'!L362</f>
        <v>0</v>
      </c>
      <c r="Z668" s="23"/>
    </row>
    <row r="669" spans="2:26" hidden="1">
      <c r="B669" s="42" t="s">
        <v>107</v>
      </c>
      <c r="C669" s="43"/>
      <c r="D669" s="43"/>
      <c r="E669" s="44"/>
      <c r="G669" s="21">
        <f>'Базовые концовки'!F363</f>
        <v>0</v>
      </c>
      <c r="H669" s="21"/>
      <c r="I669" s="21"/>
      <c r="L669" s="21">
        <f>'Текущие концовки'!F363</f>
        <v>0</v>
      </c>
      <c r="M669" s="21"/>
      <c r="N669" s="21"/>
      <c r="T669" s="23"/>
      <c r="U669" s="23"/>
      <c r="V669" s="23"/>
      <c r="W669" s="7"/>
      <c r="X669" s="7"/>
      <c r="Y669" s="23">
        <f>'Текущие концовки'!L363</f>
        <v>0</v>
      </c>
      <c r="Z669" s="23"/>
    </row>
    <row r="670" spans="2:26" hidden="1">
      <c r="B670" s="42" t="s">
        <v>108</v>
      </c>
      <c r="C670" s="43"/>
      <c r="D670" s="43"/>
      <c r="E670" s="43"/>
      <c r="F670" s="44"/>
      <c r="G670" s="21">
        <f>'Базовые концовки'!F364</f>
        <v>228</v>
      </c>
      <c r="H670" s="21"/>
      <c r="I670" s="21"/>
      <c r="L670" s="21">
        <f>'Текущие концовки'!F364</f>
        <v>4706</v>
      </c>
      <c r="M670" s="21"/>
      <c r="N670" s="21"/>
      <c r="T670" s="23"/>
      <c r="U670" s="23"/>
      <c r="V670" s="23"/>
      <c r="W670" s="7"/>
      <c r="X670" s="7"/>
      <c r="Y670" s="23"/>
      <c r="Z670" s="23"/>
    </row>
    <row r="671" spans="2:26" hidden="1">
      <c r="B671" s="42" t="s">
        <v>109</v>
      </c>
      <c r="C671" s="43"/>
      <c r="D671" s="43"/>
      <c r="E671" s="43"/>
      <c r="F671" s="44"/>
      <c r="G671" s="21">
        <f>'Базовые концовки'!F365</f>
        <v>4</v>
      </c>
      <c r="H671" s="21"/>
      <c r="I671" s="21"/>
      <c r="L671" s="21">
        <f>'Текущие концовки'!F365</f>
        <v>89</v>
      </c>
      <c r="M671" s="21"/>
      <c r="N671" s="21"/>
      <c r="T671" s="23"/>
      <c r="U671" s="23"/>
      <c r="V671" s="23"/>
      <c r="W671" s="7"/>
      <c r="X671" s="7"/>
      <c r="Y671" s="23"/>
      <c r="Z671" s="23"/>
    </row>
    <row r="672" spans="2:26" hidden="1">
      <c r="B672" s="42" t="s">
        <v>110</v>
      </c>
      <c r="C672" s="43"/>
      <c r="D672" s="43"/>
      <c r="E672" s="43"/>
      <c r="F672" s="44"/>
      <c r="G672" s="21">
        <f>'Базовые концовки'!F366</f>
        <v>232</v>
      </c>
      <c r="H672" s="21"/>
      <c r="I672" s="21"/>
      <c r="L672" s="21">
        <f>'Текущие концовки'!F366</f>
        <v>4795</v>
      </c>
      <c r="M672" s="21"/>
      <c r="N672" s="21"/>
      <c r="T672" s="23"/>
      <c r="U672" s="23"/>
      <c r="V672" s="23"/>
      <c r="W672" s="7"/>
      <c r="X672" s="7"/>
      <c r="Y672" s="23"/>
      <c r="Z672" s="23"/>
    </row>
    <row r="673" spans="2:26" hidden="1">
      <c r="B673" s="42" t="s">
        <v>111</v>
      </c>
      <c r="C673" s="43"/>
      <c r="D673" s="43"/>
      <c r="E673" s="43"/>
      <c r="F673" s="44"/>
      <c r="G673" s="7" t="e">
        <f ca="1">'Базовые концовки'!J367</f>
        <v>#NAME?</v>
      </c>
      <c r="H673" s="21"/>
      <c r="I673" s="21"/>
      <c r="L673" s="7" t="e">
        <f ca="1">'Текущие концовки'!J367</f>
        <v>#NAME?</v>
      </c>
      <c r="M673" s="21"/>
      <c r="N673" s="21"/>
      <c r="T673" s="23"/>
      <c r="U673" s="23"/>
      <c r="V673" s="23"/>
      <c r="W673" s="7" t="e">
        <f ca="1">'Текущие концовки'!J367</f>
        <v>#NAME?</v>
      </c>
      <c r="X673" s="7"/>
      <c r="Y673" s="23"/>
      <c r="Z673" s="23"/>
    </row>
    <row r="674" spans="2:26" hidden="1">
      <c r="B674" s="42" t="s">
        <v>112</v>
      </c>
      <c r="C674" s="43"/>
      <c r="D674" s="43"/>
      <c r="E674" s="43"/>
      <c r="F674" s="44"/>
      <c r="G674" s="7" t="e">
        <f ca="1">'Базовые концовки'!J368</f>
        <v>#NAME?</v>
      </c>
      <c r="H674" s="21"/>
      <c r="I674" s="21"/>
      <c r="L674" s="7" t="e">
        <f ca="1">'Текущие концовки'!J368</f>
        <v>#NAME?</v>
      </c>
      <c r="M674" s="21"/>
      <c r="N674" s="21"/>
      <c r="T674" s="23"/>
      <c r="U674" s="23"/>
      <c r="V674" s="23"/>
      <c r="W674" s="7" t="e">
        <f ca="1">'Текущие концовки'!J368</f>
        <v>#NAME?</v>
      </c>
      <c r="X674" s="7"/>
      <c r="Y674" s="23"/>
      <c r="Z674" s="23"/>
    </row>
    <row r="675" spans="2:26" hidden="1">
      <c r="B675" s="42" t="s">
        <v>113</v>
      </c>
      <c r="C675" s="43"/>
      <c r="D675" s="43"/>
      <c r="E675" s="43"/>
      <c r="F675" s="44"/>
      <c r="G675" s="7" t="e">
        <f ca="1">'Базовые концовки'!J369</f>
        <v>#NAME?</v>
      </c>
      <c r="H675" s="21"/>
      <c r="I675" s="21"/>
      <c r="L675" s="7" t="e">
        <f ca="1">'Текущие концовки'!J369</f>
        <v>#NAME?</v>
      </c>
      <c r="M675" s="21"/>
      <c r="N675" s="21"/>
      <c r="T675" s="23"/>
      <c r="U675" s="23"/>
      <c r="V675" s="23"/>
      <c r="W675" s="7" t="e">
        <f ca="1">'Текущие концовки'!J369</f>
        <v>#NAME?</v>
      </c>
      <c r="X675" s="7"/>
      <c r="Y675" s="23"/>
      <c r="Z675" s="23"/>
    </row>
    <row r="677" spans="2:26">
      <c r="B677" s="42" t="s">
        <v>153</v>
      </c>
      <c r="C677" s="43"/>
      <c r="D677" s="43"/>
      <c r="E677" s="43"/>
      <c r="F677" s="44"/>
      <c r="G677" s="47">
        <f>'Базовые концовки'!F371</f>
        <v>20303</v>
      </c>
      <c r="H677" s="22">
        <f>'Базовые концовки'!G371</f>
        <v>1476</v>
      </c>
      <c r="I677" s="22">
        <f>'Базовые концовки'!H371</f>
        <v>789</v>
      </c>
      <c r="L677" s="47">
        <f>'Текущие концовки'!F371</f>
        <v>126488</v>
      </c>
      <c r="M677" s="22">
        <f>'Текущие концовки'!G371</f>
        <v>30477</v>
      </c>
      <c r="N677" s="22">
        <f>'Текущие концовки'!H371</f>
        <v>4734</v>
      </c>
      <c r="T677" s="46">
        <f>'Текущие концовки'!G371</f>
        <v>30477</v>
      </c>
      <c r="U677" s="46">
        <f>'Текущие концовки'!H371</f>
        <v>4734</v>
      </c>
      <c r="V677" s="46">
        <f>'Текущие концовки'!I371</f>
        <v>1283</v>
      </c>
      <c r="W677" s="45" t="e">
        <f ca="1">'Текущие концовки'!J371</f>
        <v>#NAME?</v>
      </c>
      <c r="X677" s="45" t="e">
        <f ca="1">'Текущие концовки'!K371</f>
        <v>#NAME?</v>
      </c>
      <c r="Y677" s="46">
        <f>'Текущие концовки'!L371</f>
        <v>91277</v>
      </c>
      <c r="Z677" s="46">
        <f>'Текущие концовки'!M371</f>
        <v>0</v>
      </c>
    </row>
    <row r="678" spans="2:26">
      <c r="B678" s="43"/>
      <c r="C678" s="43"/>
      <c r="D678" s="43"/>
      <c r="E678" s="43"/>
      <c r="F678" s="43"/>
      <c r="G678" s="47"/>
      <c r="H678" s="21">
        <f>'Базовые концовки'!L371</f>
        <v>18038</v>
      </c>
      <c r="I678" s="21">
        <f>'Базовые концовки'!I371</f>
        <v>61</v>
      </c>
      <c r="L678" s="47"/>
      <c r="M678" s="21">
        <f>'Текущие концовки'!L371</f>
        <v>91277</v>
      </c>
      <c r="N678" s="21">
        <f>'Текущие концовки'!I371</f>
        <v>1283</v>
      </c>
      <c r="T678" s="46"/>
      <c r="U678" s="46"/>
      <c r="V678" s="46"/>
      <c r="W678" s="45"/>
      <c r="X678" s="45"/>
      <c r="Y678" s="46"/>
      <c r="Z678" s="46"/>
    </row>
    <row r="679" spans="2:26" hidden="1">
      <c r="B679" s="42" t="s">
        <v>59</v>
      </c>
      <c r="C679" s="43"/>
      <c r="D679" s="43"/>
      <c r="E679" s="44"/>
      <c r="G679" s="21">
        <f>'Базовые концовки'!F372</f>
        <v>0</v>
      </c>
      <c r="H679" s="21">
        <f>'Базовые концовки'!G372</f>
        <v>0</v>
      </c>
      <c r="I679" s="21">
        <f>'Базовые концовки'!H372</f>
        <v>0</v>
      </c>
      <c r="L679" s="21">
        <f>'Текущие концовки'!F372</f>
        <v>0</v>
      </c>
      <c r="M679" s="21">
        <f>'Текущие концовки'!G372</f>
        <v>0</v>
      </c>
      <c r="N679" s="21">
        <f>'Текущие концовки'!H372</f>
        <v>0</v>
      </c>
      <c r="T679" s="23">
        <f>'Текущие концовки'!G372</f>
        <v>0</v>
      </c>
      <c r="U679" s="23">
        <f>'Текущие концовки'!H372</f>
        <v>0</v>
      </c>
      <c r="V679" s="23">
        <f>'Текущие концовки'!I372</f>
        <v>0</v>
      </c>
      <c r="W679" s="7">
        <f>'Текущие концовки'!J372</f>
        <v>0</v>
      </c>
      <c r="X679" s="7">
        <f>'Текущие концовки'!K372</f>
        <v>0</v>
      </c>
      <c r="Y679" s="23">
        <f>'Текущие концовки'!L372</f>
        <v>0</v>
      </c>
      <c r="Z679" s="23">
        <f>'Текущие концовки'!M372</f>
        <v>0</v>
      </c>
    </row>
    <row r="680" spans="2:26" hidden="1">
      <c r="B680" s="42" t="s">
        <v>60</v>
      </c>
      <c r="C680" s="43"/>
      <c r="D680" s="43"/>
      <c r="E680" s="44"/>
      <c r="G680" s="21" t="e">
        <f ca="1">'Базовые концовки'!F373</f>
        <v>#NAME?</v>
      </c>
      <c r="H680" s="21"/>
      <c r="I680" s="21"/>
      <c r="L680" s="21" t="e">
        <f ca="1">'Текущие концовки'!F373</f>
        <v>#NAME?</v>
      </c>
      <c r="M680" s="21"/>
      <c r="N680" s="21"/>
      <c r="T680" s="23"/>
      <c r="U680" s="23"/>
      <c r="V680" s="23"/>
      <c r="W680" s="7"/>
      <c r="X680" s="7"/>
      <c r="Y680" s="23"/>
      <c r="Z680" s="23"/>
    </row>
    <row r="681" spans="2:26" hidden="1">
      <c r="B681" s="42" t="s">
        <v>61</v>
      </c>
      <c r="C681" s="43"/>
      <c r="D681" s="43"/>
      <c r="E681" s="44"/>
      <c r="G681" s="21" t="e">
        <f ca="1">'Базовые концовки'!F374</f>
        <v>#NAME?</v>
      </c>
      <c r="H681" s="21"/>
      <c r="I681" s="21"/>
      <c r="L681" s="21" t="e">
        <f ca="1">'Текущие концовки'!F374</f>
        <v>#NAME?</v>
      </c>
      <c r="M681" s="21"/>
      <c r="N681" s="21"/>
      <c r="T681" s="23"/>
      <c r="U681" s="23"/>
      <c r="V681" s="23"/>
      <c r="W681" s="7"/>
      <c r="X681" s="7"/>
      <c r="Y681" s="23"/>
      <c r="Z681" s="23"/>
    </row>
    <row r="682" spans="2:26" hidden="1">
      <c r="B682" s="42" t="s">
        <v>62</v>
      </c>
      <c r="C682" s="43"/>
      <c r="D682" s="43"/>
      <c r="E682" s="44"/>
      <c r="G682" s="21" t="e">
        <f ca="1">'Базовые концовки'!F375</f>
        <v>#NAME?</v>
      </c>
      <c r="H682" s="21"/>
      <c r="I682" s="21"/>
      <c r="L682" s="21" t="e">
        <f ca="1">'Текущие концовки'!F375</f>
        <v>#NAME?</v>
      </c>
      <c r="M682" s="21"/>
      <c r="N682" s="21"/>
      <c r="T682" s="23"/>
      <c r="U682" s="23"/>
      <c r="V682" s="23"/>
      <c r="W682" s="7"/>
      <c r="X682" s="7"/>
      <c r="Y682" s="23"/>
      <c r="Z682" s="23"/>
    </row>
    <row r="683" spans="2:26" hidden="1">
      <c r="B683" s="42" t="s">
        <v>63</v>
      </c>
      <c r="C683" s="43"/>
      <c r="D683" s="43"/>
      <c r="E683" s="44"/>
      <c r="G683" s="21" t="e">
        <f ca="1">'Базовые концовки'!F376</f>
        <v>#NAME?</v>
      </c>
      <c r="H683" s="21"/>
      <c r="I683" s="21"/>
      <c r="L683" s="21" t="e">
        <f ca="1">'Текущие концовки'!F376</f>
        <v>#NAME?</v>
      </c>
      <c r="M683" s="21"/>
      <c r="N683" s="21"/>
      <c r="T683" s="23"/>
      <c r="U683" s="23"/>
      <c r="V683" s="23"/>
      <c r="W683" s="7"/>
      <c r="X683" s="7"/>
      <c r="Y683" s="23"/>
      <c r="Z683" s="23"/>
    </row>
    <row r="684" spans="2:26" hidden="1">
      <c r="B684" s="42" t="s">
        <v>64</v>
      </c>
      <c r="C684" s="43"/>
      <c r="D684" s="43"/>
      <c r="E684" s="44"/>
      <c r="G684" s="21" t="e">
        <f ca="1">'Базовые концовки'!F377</f>
        <v>#NAME?</v>
      </c>
      <c r="H684" s="21"/>
      <c r="I684" s="21"/>
      <c r="L684" s="21" t="e">
        <f ca="1">'Текущие концовки'!F377</f>
        <v>#NAME?</v>
      </c>
      <c r="M684" s="21"/>
      <c r="N684" s="21"/>
      <c r="T684" s="23"/>
      <c r="U684" s="23"/>
      <c r="V684" s="23"/>
      <c r="W684" s="7"/>
      <c r="X684" s="7"/>
      <c r="Y684" s="23"/>
      <c r="Z684" s="23"/>
    </row>
    <row r="685" spans="2:26" hidden="1">
      <c r="B685" s="42" t="s">
        <v>65</v>
      </c>
      <c r="C685" s="43"/>
      <c r="D685" s="43"/>
      <c r="E685" s="44"/>
      <c r="G685" s="21" t="e">
        <f ca="1">'Базовые концовки'!F378</f>
        <v>#NAME?</v>
      </c>
      <c r="H685" s="21"/>
      <c r="I685" s="21"/>
      <c r="L685" s="21" t="e">
        <f ca="1">'Текущие концовки'!F378</f>
        <v>#NAME?</v>
      </c>
      <c r="M685" s="21"/>
      <c r="N685" s="21"/>
      <c r="T685" s="23"/>
      <c r="U685" s="23"/>
      <c r="V685" s="23"/>
      <c r="W685" s="7"/>
      <c r="X685" s="7"/>
      <c r="Y685" s="23"/>
      <c r="Z685" s="23"/>
    </row>
    <row r="686" spans="2:26" hidden="1">
      <c r="B686" s="42" t="s">
        <v>66</v>
      </c>
      <c r="C686" s="43"/>
      <c r="D686" s="43"/>
      <c r="E686" s="44"/>
      <c r="G686" s="21" t="e">
        <f ca="1">'Базовые концовки'!F379</f>
        <v>#NAME?</v>
      </c>
      <c r="H686" s="21"/>
      <c r="I686" s="21"/>
      <c r="L686" s="21" t="e">
        <f ca="1">'Текущие концовки'!F379</f>
        <v>#NAME?</v>
      </c>
      <c r="M686" s="21"/>
      <c r="N686" s="21"/>
      <c r="T686" s="23"/>
      <c r="U686" s="23"/>
      <c r="V686" s="23"/>
      <c r="W686" s="7"/>
      <c r="X686" s="7"/>
      <c r="Y686" s="23"/>
      <c r="Z686" s="23"/>
    </row>
    <row r="687" spans="2:26" hidden="1">
      <c r="B687" s="42" t="s">
        <v>67</v>
      </c>
      <c r="C687" s="43"/>
      <c r="D687" s="43"/>
      <c r="E687" s="44"/>
      <c r="G687" s="21" t="e">
        <f ca="1">'Базовые концовки'!F380</f>
        <v>#NAME?</v>
      </c>
      <c r="H687" s="21"/>
      <c r="I687" s="21"/>
      <c r="L687" s="21" t="e">
        <f ca="1">'Текущие концовки'!F380</f>
        <v>#NAME?</v>
      </c>
      <c r="M687" s="21"/>
      <c r="N687" s="21"/>
      <c r="T687" s="23"/>
      <c r="U687" s="23"/>
      <c r="V687" s="23"/>
      <c r="W687" s="7"/>
      <c r="X687" s="7"/>
      <c r="Y687" s="23"/>
      <c r="Z687" s="23"/>
    </row>
    <row r="688" spans="2:26" hidden="1">
      <c r="B688" s="42" t="s">
        <v>68</v>
      </c>
      <c r="C688" s="43"/>
      <c r="D688" s="43"/>
      <c r="E688" s="44"/>
      <c r="G688" s="21" t="e">
        <f ca="1">'Базовые концовки'!F381</f>
        <v>#NAME?</v>
      </c>
      <c r="H688" s="21"/>
      <c r="I688" s="21"/>
      <c r="L688" s="21" t="e">
        <f ca="1">'Текущие концовки'!F381</f>
        <v>#NAME?</v>
      </c>
      <c r="M688" s="21"/>
      <c r="N688" s="21"/>
      <c r="T688" s="23"/>
      <c r="U688" s="23"/>
      <c r="V688" s="23"/>
      <c r="W688" s="7"/>
      <c r="X688" s="7"/>
      <c r="Y688" s="23"/>
      <c r="Z688" s="23"/>
    </row>
    <row r="689" spans="2:26" hidden="1">
      <c r="B689" s="42" t="s">
        <v>69</v>
      </c>
      <c r="C689" s="43"/>
      <c r="D689" s="43"/>
      <c r="E689" s="44"/>
      <c r="G689" s="21">
        <f>'Базовые концовки'!F382</f>
        <v>0</v>
      </c>
      <c r="H689" s="21">
        <f>'Базовые концовки'!G382</f>
        <v>0</v>
      </c>
      <c r="I689" s="21">
        <f>'Базовые концовки'!H382</f>
        <v>0</v>
      </c>
      <c r="L689" s="21">
        <f>'Текущие концовки'!F382</f>
        <v>0</v>
      </c>
      <c r="M689" s="21">
        <f>'Текущие концовки'!G382</f>
        <v>0</v>
      </c>
      <c r="N689" s="21">
        <f>'Текущие концовки'!H382</f>
        <v>0</v>
      </c>
      <c r="T689" s="23">
        <f>'Текущие концовки'!G382</f>
        <v>0</v>
      </c>
      <c r="U689" s="23">
        <f>'Текущие концовки'!H382</f>
        <v>0</v>
      </c>
      <c r="V689" s="23">
        <f>'Текущие концовки'!I382</f>
        <v>0</v>
      </c>
      <c r="W689" s="7">
        <f>'Текущие концовки'!J382</f>
        <v>0</v>
      </c>
      <c r="X689" s="7">
        <f>'Текущие концовки'!K382</f>
        <v>0</v>
      </c>
      <c r="Y689" s="23">
        <f>'Текущие концовки'!L382</f>
        <v>0</v>
      </c>
      <c r="Z689" s="23">
        <f>'Текущие концовки'!M382</f>
        <v>0</v>
      </c>
    </row>
    <row r="690" spans="2:26" hidden="1">
      <c r="B690" s="42" t="s">
        <v>70</v>
      </c>
      <c r="C690" s="43"/>
      <c r="D690" s="43"/>
      <c r="E690" s="44"/>
      <c r="G690" s="21"/>
      <c r="H690" s="21"/>
      <c r="I690" s="21"/>
      <c r="L690" s="21"/>
      <c r="M690" s="21"/>
      <c r="N690" s="21"/>
      <c r="T690" s="23"/>
      <c r="U690" s="23"/>
      <c r="V690" s="23"/>
      <c r="W690" s="7"/>
      <c r="X690" s="7"/>
      <c r="Y690" s="23"/>
      <c r="Z690" s="23"/>
    </row>
    <row r="691" spans="2:26" hidden="1">
      <c r="B691" s="42" t="s">
        <v>71</v>
      </c>
      <c r="C691" s="43"/>
      <c r="D691" s="43"/>
      <c r="E691" s="44"/>
      <c r="G691" s="21">
        <f>'Базовые концовки'!G384</f>
        <v>0</v>
      </c>
      <c r="H691" s="21">
        <f>'Базовые концовки'!G384</f>
        <v>0</v>
      </c>
      <c r="I691" s="21"/>
      <c r="L691" s="21">
        <f>'Текущие концовки'!G384</f>
        <v>0</v>
      </c>
      <c r="M691" s="21">
        <f>'Текущие концовки'!G384</f>
        <v>0</v>
      </c>
      <c r="N691" s="21"/>
      <c r="T691" s="23">
        <f>'Текущие концовки'!G384</f>
        <v>0</v>
      </c>
      <c r="U691" s="23"/>
      <c r="V691" s="23"/>
      <c r="W691" s="7"/>
      <c r="X691" s="7"/>
      <c r="Y691" s="23"/>
      <c r="Z691" s="23"/>
    </row>
    <row r="692" spans="2:26" hidden="1">
      <c r="B692" s="42" t="s">
        <v>72</v>
      </c>
      <c r="C692" s="43"/>
      <c r="D692" s="43"/>
      <c r="E692" s="44"/>
      <c r="G692" s="21">
        <f>'Базовые концовки'!F385</f>
        <v>0</v>
      </c>
      <c r="H692" s="21"/>
      <c r="I692" s="21"/>
      <c r="L692" s="21">
        <f>'Текущие концовки'!F385</f>
        <v>0</v>
      </c>
      <c r="M692" s="21"/>
      <c r="N692" s="21"/>
      <c r="T692" s="23"/>
      <c r="U692" s="23"/>
      <c r="V692" s="23"/>
      <c r="W692" s="7"/>
      <c r="X692" s="7"/>
      <c r="Y692" s="23"/>
      <c r="Z692" s="23"/>
    </row>
    <row r="693" spans="2:26" hidden="1">
      <c r="B693" s="42" t="s">
        <v>73</v>
      </c>
      <c r="C693" s="43"/>
      <c r="D693" s="43"/>
      <c r="E693" s="44"/>
      <c r="G693" s="21" t="e">
        <f ca="1">'Базовые концовки'!F386</f>
        <v>#NAME?</v>
      </c>
      <c r="H693" s="21"/>
      <c r="I693" s="21"/>
      <c r="L693" s="21" t="e">
        <f ca="1">'Текущие концовки'!F386</f>
        <v>#NAME?</v>
      </c>
      <c r="M693" s="21"/>
      <c r="N693" s="21"/>
      <c r="T693" s="23"/>
      <c r="U693" s="23"/>
      <c r="V693" s="23"/>
      <c r="W693" s="7"/>
      <c r="X693" s="7"/>
      <c r="Y693" s="23"/>
      <c r="Z693" s="23"/>
    </row>
    <row r="694" spans="2:26" hidden="1">
      <c r="B694" s="42" t="s">
        <v>74</v>
      </c>
      <c r="C694" s="43"/>
      <c r="D694" s="43"/>
      <c r="E694" s="44"/>
      <c r="G694" s="21">
        <f>'Базовые концовки'!F387</f>
        <v>0</v>
      </c>
      <c r="H694" s="21"/>
      <c r="I694" s="21"/>
      <c r="L694" s="21">
        <f>'Текущие концовки'!F387</f>
        <v>0</v>
      </c>
      <c r="M694" s="21"/>
      <c r="N694" s="21"/>
      <c r="T694" s="23"/>
      <c r="U694" s="23"/>
      <c r="V694" s="23"/>
      <c r="W694" s="7"/>
      <c r="X694" s="7"/>
      <c r="Y694" s="23"/>
      <c r="Z694" s="23"/>
    </row>
    <row r="695" spans="2:26" hidden="1">
      <c r="B695" s="42" t="s">
        <v>75</v>
      </c>
      <c r="C695" s="43"/>
      <c r="D695" s="43"/>
      <c r="E695" s="44"/>
      <c r="G695" s="21">
        <f>'Базовые концовки'!F388</f>
        <v>0</v>
      </c>
      <c r="H695" s="21"/>
      <c r="I695" s="21"/>
      <c r="L695" s="21">
        <f>'Текущие концовки'!F388</f>
        <v>0</v>
      </c>
      <c r="M695" s="21"/>
      <c r="N695" s="21"/>
      <c r="T695" s="23"/>
      <c r="U695" s="23"/>
      <c r="V695" s="23"/>
      <c r="W695" s="7"/>
      <c r="X695" s="7"/>
      <c r="Y695" s="23"/>
      <c r="Z695" s="23"/>
    </row>
    <row r="696" spans="2:26" hidden="1">
      <c r="B696" s="42" t="s">
        <v>76</v>
      </c>
      <c r="C696" s="43"/>
      <c r="D696" s="43"/>
      <c r="E696" s="44"/>
      <c r="G696" s="21">
        <f>'Базовые концовки'!F389</f>
        <v>0</v>
      </c>
      <c r="H696" s="21"/>
      <c r="I696" s="21"/>
      <c r="L696" s="21">
        <f>'Текущие концовки'!F389</f>
        <v>0</v>
      </c>
      <c r="M696" s="21"/>
      <c r="N696" s="21"/>
      <c r="T696" s="23"/>
      <c r="U696" s="23"/>
      <c r="V696" s="23"/>
      <c r="W696" s="7"/>
      <c r="X696" s="7"/>
      <c r="Y696" s="23"/>
      <c r="Z696" s="23"/>
    </row>
    <row r="697" spans="2:26" hidden="1">
      <c r="B697" s="42" t="s">
        <v>67</v>
      </c>
      <c r="C697" s="43"/>
      <c r="D697" s="43"/>
      <c r="E697" s="44"/>
      <c r="G697" s="21" t="e">
        <f ca="1">'Базовые концовки'!F390</f>
        <v>#NAME?</v>
      </c>
      <c r="H697" s="21"/>
      <c r="I697" s="21"/>
      <c r="L697" s="21" t="e">
        <f ca="1">'Текущие концовки'!F390</f>
        <v>#NAME?</v>
      </c>
      <c r="M697" s="21"/>
      <c r="N697" s="21"/>
      <c r="T697" s="23"/>
      <c r="U697" s="23"/>
      <c r="V697" s="23"/>
      <c r="W697" s="7"/>
      <c r="X697" s="7"/>
      <c r="Y697" s="23"/>
      <c r="Z697" s="23"/>
    </row>
    <row r="698" spans="2:26" hidden="1">
      <c r="B698" s="42" t="s">
        <v>77</v>
      </c>
      <c r="C698" s="43"/>
      <c r="D698" s="43"/>
      <c r="E698" s="44"/>
      <c r="G698" s="21">
        <f>'Базовые концовки'!F391</f>
        <v>0</v>
      </c>
      <c r="H698" s="21"/>
      <c r="I698" s="21"/>
      <c r="L698" s="21">
        <f>'Текущие концовки'!F391</f>
        <v>0</v>
      </c>
      <c r="M698" s="21"/>
      <c r="N698" s="21"/>
      <c r="T698" s="23"/>
      <c r="U698" s="23"/>
      <c r="V698" s="23"/>
      <c r="W698" s="7"/>
      <c r="X698" s="7"/>
      <c r="Y698" s="23"/>
      <c r="Z698" s="23"/>
    </row>
    <row r="699" spans="2:26">
      <c r="B699" s="42" t="s">
        <v>78</v>
      </c>
      <c r="C699" s="43"/>
      <c r="D699" s="43"/>
      <c r="E699" s="43"/>
      <c r="F699" s="44"/>
      <c r="G699" s="47">
        <f>'Базовые концовки'!F392</f>
        <v>19000</v>
      </c>
      <c r="H699" s="22">
        <f>'Базовые концовки'!G392</f>
        <v>1066</v>
      </c>
      <c r="I699" s="22">
        <f>'Базовые концовки'!H392</f>
        <v>84</v>
      </c>
      <c r="L699" s="47">
        <f>'Текущие концовки'!F392</f>
        <v>112602</v>
      </c>
      <c r="M699" s="22">
        <f>'Текущие концовки'!G392</f>
        <v>22018</v>
      </c>
      <c r="N699" s="22">
        <f>'Текущие концовки'!H392</f>
        <v>574</v>
      </c>
      <c r="T699" s="46">
        <f>'Текущие концовки'!G392</f>
        <v>22018</v>
      </c>
      <c r="U699" s="46">
        <f>'Текущие концовки'!H392</f>
        <v>574</v>
      </c>
      <c r="V699" s="46">
        <f>'Текущие концовки'!I392</f>
        <v>174</v>
      </c>
      <c r="W699" s="45" t="e">
        <f ca="1">'Текущие концовки'!J392</f>
        <v>#NAME?</v>
      </c>
      <c r="X699" s="45" t="e">
        <f ca="1">'Текущие концовки'!K392</f>
        <v>#NAME?</v>
      </c>
      <c r="Y699" s="46">
        <f>'Текущие концовки'!L392</f>
        <v>90010</v>
      </c>
      <c r="Z699" s="46">
        <f>'Текущие концовки'!M392</f>
        <v>0</v>
      </c>
    </row>
    <row r="700" spans="2:26">
      <c r="B700" s="43"/>
      <c r="C700" s="43"/>
      <c r="D700" s="43"/>
      <c r="E700" s="43"/>
      <c r="F700" s="43"/>
      <c r="G700" s="47"/>
      <c r="H700" s="21">
        <f>'Базовые концовки'!L392</f>
        <v>17850</v>
      </c>
      <c r="I700" s="21">
        <f>'Базовые концовки'!I392</f>
        <v>7</v>
      </c>
      <c r="L700" s="47"/>
      <c r="M700" s="21">
        <f>'Текущие концовки'!L392</f>
        <v>90010</v>
      </c>
      <c r="N700" s="21">
        <f>'Текущие концовки'!I392</f>
        <v>174</v>
      </c>
      <c r="T700" s="46"/>
      <c r="U700" s="46"/>
      <c r="V700" s="46"/>
      <c r="W700" s="45"/>
      <c r="X700" s="45"/>
      <c r="Y700" s="46"/>
      <c r="Z700" s="46"/>
    </row>
    <row r="701" spans="2:26" hidden="1">
      <c r="B701" s="42" t="s">
        <v>70</v>
      </c>
      <c r="C701" s="43"/>
      <c r="D701" s="43"/>
      <c r="E701" s="44"/>
      <c r="G701" s="21"/>
      <c r="H701" s="21"/>
      <c r="I701" s="21"/>
      <c r="L701" s="21"/>
      <c r="M701" s="21"/>
      <c r="N701" s="21"/>
      <c r="T701" s="23"/>
      <c r="U701" s="23"/>
      <c r="V701" s="23"/>
      <c r="W701" s="7"/>
      <c r="X701" s="7"/>
      <c r="Y701" s="23"/>
      <c r="Z701" s="23"/>
    </row>
    <row r="702" spans="2:26">
      <c r="B702" s="42" t="s">
        <v>79</v>
      </c>
      <c r="C702" s="43"/>
      <c r="D702" s="43"/>
      <c r="E702" s="43"/>
      <c r="F702" s="44"/>
      <c r="G702" s="21" t="e">
        <f ca="1">'Базовые концовки'!F394</f>
        <v>#NAME?</v>
      </c>
      <c r="H702" s="21"/>
      <c r="I702" s="21"/>
      <c r="L702" s="21" t="e">
        <f ca="1">'Текущие концовки'!F394</f>
        <v>#NAME?</v>
      </c>
      <c r="M702" s="21"/>
      <c r="N702" s="21"/>
      <c r="T702" s="23"/>
      <c r="U702" s="23"/>
      <c r="V702" s="23"/>
      <c r="W702" s="7"/>
      <c r="X702" s="7"/>
      <c r="Y702" s="23"/>
      <c r="Z702" s="23"/>
    </row>
    <row r="703" spans="2:26" hidden="1">
      <c r="B703" s="42" t="s">
        <v>74</v>
      </c>
      <c r="C703" s="43"/>
      <c r="D703" s="43"/>
      <c r="E703" s="44"/>
      <c r="G703" s="21">
        <f>'Базовые концовки'!F395</f>
        <v>0</v>
      </c>
      <c r="H703" s="21"/>
      <c r="I703" s="21"/>
      <c r="L703" s="21">
        <f>'Текущие концовки'!F395</f>
        <v>0</v>
      </c>
      <c r="M703" s="21"/>
      <c r="N703" s="21"/>
      <c r="T703" s="23"/>
      <c r="U703" s="23"/>
      <c r="V703" s="23"/>
      <c r="W703" s="7"/>
      <c r="X703" s="7"/>
      <c r="Y703" s="23"/>
      <c r="Z703" s="23"/>
    </row>
    <row r="704" spans="2:26">
      <c r="B704" s="42" t="s">
        <v>154</v>
      </c>
      <c r="C704" s="43"/>
      <c r="D704" s="43"/>
      <c r="E704" s="43"/>
      <c r="F704" s="44"/>
      <c r="G704" s="21">
        <f>'Базовые концовки'!F396</f>
        <v>936</v>
      </c>
      <c r="H704" s="21"/>
      <c r="I704" s="21"/>
      <c r="L704" s="21">
        <f>'Текущие концовки'!F396</f>
        <v>19372</v>
      </c>
      <c r="M704" s="21"/>
      <c r="N704" s="21"/>
      <c r="T704" s="23"/>
      <c r="U704" s="23"/>
      <c r="V704" s="23"/>
      <c r="W704" s="7"/>
      <c r="X704" s="7"/>
      <c r="Y704" s="23"/>
      <c r="Z704" s="23"/>
    </row>
    <row r="705" spans="2:26">
      <c r="B705" s="42" t="s">
        <v>155</v>
      </c>
      <c r="C705" s="43"/>
      <c r="D705" s="43"/>
      <c r="E705" s="43"/>
      <c r="F705" s="44"/>
      <c r="G705" s="21">
        <f>'Базовые концовки'!F397</f>
        <v>654</v>
      </c>
      <c r="H705" s="21"/>
      <c r="I705" s="21"/>
      <c r="L705" s="21">
        <f>'Текущие концовки'!F397</f>
        <v>13530</v>
      </c>
      <c r="M705" s="21"/>
      <c r="N705" s="21"/>
      <c r="T705" s="23"/>
      <c r="U705" s="23"/>
      <c r="V705" s="23"/>
      <c r="W705" s="7"/>
      <c r="X705" s="7"/>
      <c r="Y705" s="23"/>
      <c r="Z705" s="23"/>
    </row>
    <row r="706" spans="2:26">
      <c r="B706" s="42" t="s">
        <v>82</v>
      </c>
      <c r="C706" s="43"/>
      <c r="D706" s="43"/>
      <c r="E706" s="43"/>
      <c r="F706" s="44"/>
      <c r="G706" s="21">
        <f>'Базовые концовки'!F398</f>
        <v>20590</v>
      </c>
      <c r="H706" s="21"/>
      <c r="I706" s="21"/>
      <c r="L706" s="21">
        <f>'Текущие концовки'!F398</f>
        <v>145504</v>
      </c>
      <c r="M706" s="21"/>
      <c r="N706" s="21"/>
      <c r="T706" s="23"/>
      <c r="U706" s="23"/>
      <c r="V706" s="23"/>
      <c r="W706" s="7"/>
      <c r="X706" s="7"/>
      <c r="Y706" s="23"/>
      <c r="Z706" s="23"/>
    </row>
    <row r="707" spans="2:26">
      <c r="B707" s="42" t="s">
        <v>83</v>
      </c>
      <c r="C707" s="43"/>
      <c r="D707" s="43"/>
      <c r="E707" s="43"/>
      <c r="F707" s="44"/>
      <c r="G707" s="47">
        <f>'Базовые концовки'!F399</f>
        <v>1303</v>
      </c>
      <c r="H707" s="22">
        <f>'Базовые концовки'!G399</f>
        <v>410</v>
      </c>
      <c r="I707" s="22">
        <f>'Базовые концовки'!H399</f>
        <v>705</v>
      </c>
      <c r="L707" s="47">
        <f>'Текущие концовки'!F399</f>
        <v>13886</v>
      </c>
      <c r="M707" s="22">
        <f>'Текущие концовки'!G399</f>
        <v>8459</v>
      </c>
      <c r="N707" s="22">
        <f>'Текущие концовки'!H399</f>
        <v>4160</v>
      </c>
      <c r="T707" s="46">
        <f>'Текущие концовки'!G399</f>
        <v>8459</v>
      </c>
      <c r="U707" s="46">
        <f>'Текущие концовки'!H399</f>
        <v>4160</v>
      </c>
      <c r="V707" s="46">
        <f>'Текущие концовки'!I399</f>
        <v>1109</v>
      </c>
      <c r="W707" s="45" t="e">
        <f ca="1">'Текущие концовки'!J399</f>
        <v>#NAME?</v>
      </c>
      <c r="X707" s="45" t="e">
        <f ca="1">'Текущие концовки'!K399</f>
        <v>#NAME?</v>
      </c>
      <c r="Y707" s="46">
        <f>'Текущие концовки'!L399</f>
        <v>1267</v>
      </c>
      <c r="Z707" s="46">
        <f>'Текущие концовки'!M399</f>
        <v>0</v>
      </c>
    </row>
    <row r="708" spans="2:26">
      <c r="B708" s="43"/>
      <c r="C708" s="43"/>
      <c r="D708" s="43"/>
      <c r="E708" s="43"/>
      <c r="F708" s="43"/>
      <c r="G708" s="47"/>
      <c r="H708" s="21">
        <f>'Базовые концовки'!L399</f>
        <v>188</v>
      </c>
      <c r="I708" s="21">
        <f>'Базовые концовки'!I399</f>
        <v>54</v>
      </c>
      <c r="L708" s="47"/>
      <c r="M708" s="21">
        <f>'Текущие концовки'!L399</f>
        <v>1267</v>
      </c>
      <c r="N708" s="21">
        <f>'Текущие концовки'!I399</f>
        <v>1109</v>
      </c>
      <c r="T708" s="46"/>
      <c r="U708" s="46"/>
      <c r="V708" s="46"/>
      <c r="W708" s="45"/>
      <c r="X708" s="45"/>
      <c r="Y708" s="46"/>
      <c r="Z708" s="46"/>
    </row>
    <row r="709" spans="2:26" hidden="1">
      <c r="B709" s="42" t="s">
        <v>74</v>
      </c>
      <c r="C709" s="43"/>
      <c r="D709" s="43"/>
      <c r="E709" s="44"/>
      <c r="G709" s="21">
        <f>'Базовые концовки'!F400</f>
        <v>0</v>
      </c>
      <c r="H709" s="21"/>
      <c r="I709" s="21"/>
      <c r="L709" s="21">
        <f>'Текущие концовки'!F400</f>
        <v>0</v>
      </c>
      <c r="M709" s="21"/>
      <c r="N709" s="21"/>
      <c r="T709" s="23"/>
      <c r="U709" s="23"/>
      <c r="V709" s="23"/>
      <c r="W709" s="7"/>
      <c r="X709" s="7"/>
      <c r="Y709" s="23"/>
      <c r="Z709" s="23"/>
    </row>
    <row r="710" spans="2:26">
      <c r="B710" s="42" t="s">
        <v>156</v>
      </c>
      <c r="C710" s="43"/>
      <c r="D710" s="43"/>
      <c r="E710" s="43"/>
      <c r="F710" s="44"/>
      <c r="G710" s="21">
        <f>'Базовые концовки'!F401</f>
        <v>375</v>
      </c>
      <c r="H710" s="21"/>
      <c r="I710" s="21"/>
      <c r="L710" s="21">
        <f>'Текущие концовки'!F401</f>
        <v>7750</v>
      </c>
      <c r="M710" s="21"/>
      <c r="N710" s="21"/>
      <c r="T710" s="23"/>
      <c r="U710" s="23"/>
      <c r="V710" s="23"/>
      <c r="W710" s="7"/>
      <c r="X710" s="7"/>
      <c r="Y710" s="23"/>
      <c r="Z710" s="23"/>
    </row>
    <row r="711" spans="2:26">
      <c r="B711" s="42" t="s">
        <v>157</v>
      </c>
      <c r="C711" s="43"/>
      <c r="D711" s="43"/>
      <c r="E711" s="43"/>
      <c r="F711" s="44"/>
      <c r="G711" s="21">
        <f>'Базовые концовки'!F402</f>
        <v>334</v>
      </c>
      <c r="H711" s="21"/>
      <c r="I711" s="21"/>
      <c r="L711" s="21">
        <f>'Текущие концовки'!F402</f>
        <v>6889</v>
      </c>
      <c r="M711" s="21"/>
      <c r="N711" s="21"/>
      <c r="T711" s="23"/>
      <c r="U711" s="23"/>
      <c r="V711" s="23"/>
      <c r="W711" s="7"/>
      <c r="X711" s="7"/>
      <c r="Y711" s="23"/>
      <c r="Z711" s="23"/>
    </row>
    <row r="712" spans="2:26">
      <c r="B712" s="42" t="s">
        <v>84</v>
      </c>
      <c r="C712" s="43"/>
      <c r="D712" s="43"/>
      <c r="E712" s="43"/>
      <c r="F712" s="44"/>
      <c r="G712" s="21">
        <f>'Базовые концовки'!F403</f>
        <v>2012</v>
      </c>
      <c r="H712" s="21"/>
      <c r="I712" s="21"/>
      <c r="L712" s="21">
        <f>'Текущие концовки'!F403</f>
        <v>28525</v>
      </c>
      <c r="M712" s="21"/>
      <c r="N712" s="21"/>
      <c r="T712" s="23"/>
      <c r="U712" s="23"/>
      <c r="V712" s="23"/>
      <c r="W712" s="7"/>
      <c r="X712" s="7"/>
      <c r="Y712" s="23"/>
      <c r="Z712" s="23"/>
    </row>
    <row r="713" spans="2:26" hidden="1">
      <c r="B713" s="42" t="s">
        <v>85</v>
      </c>
      <c r="C713" s="43"/>
      <c r="D713" s="43"/>
      <c r="E713" s="44"/>
      <c r="G713" s="21">
        <f>'Базовые концовки'!F404</f>
        <v>0</v>
      </c>
      <c r="H713" s="21">
        <f>'Базовые концовки'!G404</f>
        <v>0</v>
      </c>
      <c r="I713" s="21">
        <f>'Базовые концовки'!H404</f>
        <v>0</v>
      </c>
      <c r="L713" s="21">
        <f>'Текущие концовки'!F404</f>
        <v>0</v>
      </c>
      <c r="M713" s="21">
        <f>'Текущие концовки'!G404</f>
        <v>0</v>
      </c>
      <c r="N713" s="21">
        <f>'Текущие концовки'!H404</f>
        <v>0</v>
      </c>
      <c r="T713" s="23">
        <f>'Текущие концовки'!G404</f>
        <v>0</v>
      </c>
      <c r="U713" s="23">
        <f>'Текущие концовки'!H404</f>
        <v>0</v>
      </c>
      <c r="V713" s="23">
        <f>'Текущие концовки'!I404</f>
        <v>0</v>
      </c>
      <c r="W713" s="7">
        <f>'Текущие концовки'!J404</f>
        <v>0</v>
      </c>
      <c r="X713" s="7">
        <f>'Текущие концовки'!K404</f>
        <v>0</v>
      </c>
      <c r="Y713" s="23">
        <f>'Текущие концовки'!L404</f>
        <v>0</v>
      </c>
      <c r="Z713" s="23">
        <f>'Текущие концовки'!M404</f>
        <v>0</v>
      </c>
    </row>
    <row r="714" spans="2:26" hidden="1">
      <c r="B714" s="42" t="s">
        <v>70</v>
      </c>
      <c r="C714" s="43"/>
      <c r="D714" s="43"/>
      <c r="E714" s="44"/>
      <c r="G714" s="21"/>
      <c r="H714" s="21"/>
      <c r="I714" s="21"/>
      <c r="L714" s="21"/>
      <c r="M714" s="21"/>
      <c r="N714" s="21"/>
      <c r="T714" s="23"/>
      <c r="U714" s="23"/>
      <c r="V714" s="23"/>
      <c r="W714" s="7"/>
      <c r="X714" s="7"/>
      <c r="Y714" s="23"/>
      <c r="Z714" s="23"/>
    </row>
    <row r="715" spans="2:26" hidden="1">
      <c r="B715" s="42" t="s">
        <v>86</v>
      </c>
      <c r="C715" s="43"/>
      <c r="D715" s="43"/>
      <c r="E715" s="44"/>
      <c r="G715" s="21">
        <f>'Базовые концовки'!F406</f>
        <v>0</v>
      </c>
      <c r="H715" s="21">
        <f>'Базовые концовки'!G406</f>
        <v>0</v>
      </c>
      <c r="I715" s="21">
        <f>'Базовые концовки'!H406</f>
        <v>0</v>
      </c>
      <c r="L715" s="21">
        <f>'Текущие концовки'!F406</f>
        <v>0</v>
      </c>
      <c r="M715" s="21">
        <f>'Текущие концовки'!G406</f>
        <v>0</v>
      </c>
      <c r="N715" s="21">
        <f>'Текущие концовки'!H406</f>
        <v>0</v>
      </c>
      <c r="T715" s="23">
        <f>'Текущие концовки'!G406</f>
        <v>0</v>
      </c>
      <c r="U715" s="23">
        <f>'Текущие концовки'!H406</f>
        <v>0</v>
      </c>
      <c r="V715" s="23">
        <f>'Текущие концовки'!I406</f>
        <v>0</v>
      </c>
      <c r="W715" s="7">
        <f>'Текущие концовки'!J406</f>
        <v>0</v>
      </c>
      <c r="X715" s="7">
        <f>'Текущие концовки'!K406</f>
        <v>0</v>
      </c>
      <c r="Y715" s="23">
        <f>'Текущие концовки'!L406</f>
        <v>0</v>
      </c>
      <c r="Z715" s="23">
        <f>'Текущие концовки'!M406</f>
        <v>0</v>
      </c>
    </row>
    <row r="716" spans="2:26" hidden="1">
      <c r="B716" s="42" t="s">
        <v>74</v>
      </c>
      <c r="C716" s="43"/>
      <c r="D716" s="43"/>
      <c r="E716" s="44"/>
      <c r="G716" s="21">
        <f>'Базовые концовки'!F407</f>
        <v>0</v>
      </c>
      <c r="H716" s="21"/>
      <c r="I716" s="21"/>
      <c r="L716" s="21">
        <f>'Текущие концовки'!F407</f>
        <v>0</v>
      </c>
      <c r="M716" s="21"/>
      <c r="N716" s="21"/>
      <c r="T716" s="23"/>
      <c r="U716" s="23"/>
      <c r="V716" s="23"/>
      <c r="W716" s="7"/>
      <c r="X716" s="7"/>
      <c r="Y716" s="23"/>
      <c r="Z716" s="23"/>
    </row>
    <row r="717" spans="2:26" hidden="1">
      <c r="B717" s="42" t="s">
        <v>75</v>
      </c>
      <c r="C717" s="43"/>
      <c r="D717" s="43"/>
      <c r="E717" s="44"/>
      <c r="G717" s="21">
        <f>'Базовые концовки'!F408</f>
        <v>0</v>
      </c>
      <c r="H717" s="21"/>
      <c r="I717" s="21"/>
      <c r="L717" s="21">
        <f>'Текущие концовки'!F408</f>
        <v>0</v>
      </c>
      <c r="M717" s="21"/>
      <c r="N717" s="21"/>
      <c r="T717" s="23"/>
      <c r="U717" s="23"/>
      <c r="V717" s="23"/>
      <c r="W717" s="7"/>
      <c r="X717" s="7"/>
      <c r="Y717" s="23"/>
      <c r="Z717" s="23"/>
    </row>
    <row r="718" spans="2:26" hidden="1">
      <c r="B718" s="42" t="s">
        <v>76</v>
      </c>
      <c r="C718" s="43"/>
      <c r="D718" s="43"/>
      <c r="E718" s="44"/>
      <c r="G718" s="21">
        <f>'Базовые концовки'!F409</f>
        <v>0</v>
      </c>
      <c r="H718" s="21"/>
      <c r="I718" s="21"/>
      <c r="L718" s="21">
        <f>'Текущие концовки'!F409</f>
        <v>0</v>
      </c>
      <c r="M718" s="21"/>
      <c r="N718" s="21"/>
      <c r="T718" s="23"/>
      <c r="U718" s="23"/>
      <c r="V718" s="23"/>
      <c r="W718" s="7"/>
      <c r="X718" s="7"/>
      <c r="Y718" s="23"/>
      <c r="Z718" s="23"/>
    </row>
    <row r="719" spans="2:26" hidden="1">
      <c r="B719" s="42" t="s">
        <v>67</v>
      </c>
      <c r="C719" s="43"/>
      <c r="D719" s="43"/>
      <c r="E719" s="44"/>
      <c r="G719" s="21" t="e">
        <f ca="1">'Базовые концовки'!F410</f>
        <v>#NAME?</v>
      </c>
      <c r="H719" s="21"/>
      <c r="I719" s="21"/>
      <c r="L719" s="21" t="e">
        <f ca="1">'Текущие концовки'!F410</f>
        <v>#NAME?</v>
      </c>
      <c r="M719" s="21"/>
      <c r="N719" s="21"/>
      <c r="T719" s="23"/>
      <c r="U719" s="23"/>
      <c r="V719" s="23"/>
      <c r="W719" s="7"/>
      <c r="X719" s="7"/>
      <c r="Y719" s="23"/>
      <c r="Z719" s="23"/>
    </row>
    <row r="720" spans="2:26" hidden="1">
      <c r="B720" s="42" t="s">
        <v>87</v>
      </c>
      <c r="C720" s="43"/>
      <c r="D720" s="43"/>
      <c r="E720" s="44"/>
      <c r="G720" s="21">
        <f>'Базовые концовки'!F411</f>
        <v>0</v>
      </c>
      <c r="H720" s="21"/>
      <c r="I720" s="21"/>
      <c r="L720" s="21">
        <f>'Текущие концовки'!F411</f>
        <v>0</v>
      </c>
      <c r="M720" s="21"/>
      <c r="N720" s="21"/>
      <c r="T720" s="23"/>
      <c r="U720" s="23"/>
      <c r="V720" s="23"/>
      <c r="W720" s="7"/>
      <c r="X720" s="7"/>
      <c r="Y720" s="23"/>
      <c r="Z720" s="23"/>
    </row>
    <row r="721" spans="2:26" hidden="1">
      <c r="B721" s="42" t="s">
        <v>88</v>
      </c>
      <c r="C721" s="43"/>
      <c r="D721" s="43"/>
      <c r="E721" s="44"/>
      <c r="G721" s="21">
        <f>'Базовые концовки'!F412</f>
        <v>0</v>
      </c>
      <c r="H721" s="21">
        <f>'Базовые концовки'!G412</f>
        <v>0</v>
      </c>
      <c r="I721" s="21">
        <f>'Базовые концовки'!H412</f>
        <v>0</v>
      </c>
      <c r="L721" s="21">
        <f>'Текущие концовки'!F412</f>
        <v>0</v>
      </c>
      <c r="M721" s="21">
        <f>'Текущие концовки'!G412</f>
        <v>0</v>
      </c>
      <c r="N721" s="21">
        <f>'Текущие концовки'!H412</f>
        <v>0</v>
      </c>
      <c r="T721" s="23">
        <f>'Текущие концовки'!G412</f>
        <v>0</v>
      </c>
      <c r="U721" s="23">
        <f>'Текущие концовки'!H412</f>
        <v>0</v>
      </c>
      <c r="V721" s="23">
        <f>'Текущие концовки'!I412</f>
        <v>0</v>
      </c>
      <c r="W721" s="7">
        <f>'Текущие концовки'!J412</f>
        <v>0</v>
      </c>
      <c r="X721" s="7">
        <f>'Текущие концовки'!K412</f>
        <v>0</v>
      </c>
      <c r="Y721" s="23">
        <f>'Текущие концовки'!L412</f>
        <v>0</v>
      </c>
      <c r="Z721" s="23">
        <f>'Текущие концовки'!M412</f>
        <v>0</v>
      </c>
    </row>
    <row r="722" spans="2:26" hidden="1">
      <c r="B722" s="42" t="s">
        <v>74</v>
      </c>
      <c r="C722" s="43"/>
      <c r="D722" s="43"/>
      <c r="E722" s="44"/>
      <c r="G722" s="21">
        <f>'Базовые концовки'!F413</f>
        <v>0</v>
      </c>
      <c r="H722" s="21"/>
      <c r="I722" s="21"/>
      <c r="L722" s="21">
        <f>'Текущие концовки'!F413</f>
        <v>0</v>
      </c>
      <c r="M722" s="21"/>
      <c r="N722" s="21"/>
      <c r="T722" s="23"/>
      <c r="U722" s="23"/>
      <c r="V722" s="23"/>
      <c r="W722" s="7"/>
      <c r="X722" s="7"/>
      <c r="Y722" s="23"/>
      <c r="Z722" s="23"/>
    </row>
    <row r="723" spans="2:26" hidden="1">
      <c r="B723" s="42" t="s">
        <v>75</v>
      </c>
      <c r="C723" s="43"/>
      <c r="D723" s="43"/>
      <c r="E723" s="44"/>
      <c r="G723" s="21">
        <f>'Базовые концовки'!F414</f>
        <v>0</v>
      </c>
      <c r="H723" s="21"/>
      <c r="I723" s="21"/>
      <c r="L723" s="21">
        <f>'Текущие концовки'!F414</f>
        <v>0</v>
      </c>
      <c r="M723" s="21"/>
      <c r="N723" s="21"/>
      <c r="T723" s="23"/>
      <c r="U723" s="23"/>
      <c r="V723" s="23"/>
      <c r="W723" s="7"/>
      <c r="X723" s="7"/>
      <c r="Y723" s="23"/>
      <c r="Z723" s="23"/>
    </row>
    <row r="724" spans="2:26" hidden="1">
      <c r="B724" s="42" t="s">
        <v>76</v>
      </c>
      <c r="C724" s="43"/>
      <c r="D724" s="43"/>
      <c r="E724" s="44"/>
      <c r="G724" s="21">
        <f>'Базовые концовки'!F415</f>
        <v>0</v>
      </c>
      <c r="H724" s="21"/>
      <c r="I724" s="21"/>
      <c r="L724" s="21">
        <f>'Текущие концовки'!F415</f>
        <v>0</v>
      </c>
      <c r="M724" s="21"/>
      <c r="N724" s="21"/>
      <c r="T724" s="23"/>
      <c r="U724" s="23"/>
      <c r="V724" s="23"/>
      <c r="W724" s="7"/>
      <c r="X724" s="7"/>
      <c r="Y724" s="23"/>
      <c r="Z724" s="23"/>
    </row>
    <row r="725" spans="2:26" hidden="1">
      <c r="B725" s="42" t="s">
        <v>89</v>
      </c>
      <c r="C725" s="43"/>
      <c r="D725" s="43"/>
      <c r="E725" s="44"/>
      <c r="G725" s="21">
        <f>'Базовые концовки'!F416</f>
        <v>0</v>
      </c>
      <c r="H725" s="21"/>
      <c r="I725" s="21"/>
      <c r="L725" s="21">
        <f>'Текущие концовки'!F416</f>
        <v>0</v>
      </c>
      <c r="M725" s="21"/>
      <c r="N725" s="21"/>
      <c r="T725" s="23"/>
      <c r="U725" s="23"/>
      <c r="V725" s="23"/>
      <c r="W725" s="7"/>
      <c r="X725" s="7"/>
      <c r="Y725" s="23"/>
      <c r="Z725" s="23"/>
    </row>
    <row r="726" spans="2:26" hidden="1">
      <c r="B726" s="42" t="s">
        <v>90</v>
      </c>
      <c r="C726" s="43"/>
      <c r="D726" s="43"/>
      <c r="E726" s="44"/>
      <c r="G726" s="21">
        <f>'Базовые концовки'!F417</f>
        <v>0</v>
      </c>
      <c r="H726" s="21">
        <f>'Базовые концовки'!G417</f>
        <v>0</v>
      </c>
      <c r="I726" s="21">
        <f>'Базовые концовки'!H417</f>
        <v>0</v>
      </c>
      <c r="L726" s="21">
        <f>'Текущие концовки'!F417</f>
        <v>0</v>
      </c>
      <c r="M726" s="21">
        <f>'Текущие концовки'!G417</f>
        <v>0</v>
      </c>
      <c r="N726" s="21">
        <f>'Текущие концовки'!H417</f>
        <v>0</v>
      </c>
      <c r="T726" s="23">
        <f>'Текущие концовки'!G417</f>
        <v>0</v>
      </c>
      <c r="U726" s="23">
        <f>'Текущие концовки'!H417</f>
        <v>0</v>
      </c>
      <c r="V726" s="23">
        <f>'Текущие концовки'!I417</f>
        <v>0</v>
      </c>
      <c r="W726" s="7">
        <f>'Текущие концовки'!J417</f>
        <v>0</v>
      </c>
      <c r="X726" s="7">
        <f>'Текущие концовки'!K417</f>
        <v>0</v>
      </c>
      <c r="Y726" s="23">
        <f>'Текущие концовки'!L417</f>
        <v>0</v>
      </c>
      <c r="Z726" s="23">
        <f>'Текущие концовки'!M417</f>
        <v>0</v>
      </c>
    </row>
    <row r="727" spans="2:26" hidden="1">
      <c r="B727" s="42" t="s">
        <v>74</v>
      </c>
      <c r="C727" s="43"/>
      <c r="D727" s="43"/>
      <c r="E727" s="44"/>
      <c r="G727" s="21">
        <f>'Базовые концовки'!F418</f>
        <v>0</v>
      </c>
      <c r="H727" s="21"/>
      <c r="I727" s="21"/>
      <c r="L727" s="21">
        <f>'Текущие концовки'!F418</f>
        <v>0</v>
      </c>
      <c r="M727" s="21"/>
      <c r="N727" s="21"/>
      <c r="T727" s="23"/>
      <c r="U727" s="23"/>
      <c r="V727" s="23"/>
      <c r="W727" s="7"/>
      <c r="X727" s="7"/>
      <c r="Y727" s="23"/>
      <c r="Z727" s="23"/>
    </row>
    <row r="728" spans="2:26" hidden="1">
      <c r="B728" s="42" t="s">
        <v>75</v>
      </c>
      <c r="C728" s="43"/>
      <c r="D728" s="43"/>
      <c r="E728" s="44"/>
      <c r="G728" s="21">
        <f>'Базовые концовки'!F419</f>
        <v>0</v>
      </c>
      <c r="H728" s="21"/>
      <c r="I728" s="21"/>
      <c r="L728" s="21">
        <f>'Текущие концовки'!F419</f>
        <v>0</v>
      </c>
      <c r="M728" s="21"/>
      <c r="N728" s="21"/>
      <c r="T728" s="23"/>
      <c r="U728" s="23"/>
      <c r="V728" s="23"/>
      <c r="W728" s="7"/>
      <c r="X728" s="7"/>
      <c r="Y728" s="23"/>
      <c r="Z728" s="23"/>
    </row>
    <row r="729" spans="2:26" hidden="1">
      <c r="B729" s="42" t="s">
        <v>76</v>
      </c>
      <c r="C729" s="43"/>
      <c r="D729" s="43"/>
      <c r="E729" s="44"/>
      <c r="G729" s="21">
        <f>'Базовые концовки'!F420</f>
        <v>0</v>
      </c>
      <c r="H729" s="21"/>
      <c r="I729" s="21"/>
      <c r="L729" s="21">
        <f>'Текущие концовки'!F420</f>
        <v>0</v>
      </c>
      <c r="M729" s="21"/>
      <c r="N729" s="21"/>
      <c r="T729" s="23"/>
      <c r="U729" s="23"/>
      <c r="V729" s="23"/>
      <c r="W729" s="7"/>
      <c r="X729" s="7"/>
      <c r="Y729" s="23"/>
      <c r="Z729" s="23"/>
    </row>
    <row r="730" spans="2:26" hidden="1">
      <c r="B730" s="42" t="s">
        <v>91</v>
      </c>
      <c r="C730" s="43"/>
      <c r="D730" s="43"/>
      <c r="E730" s="44"/>
      <c r="G730" s="21">
        <f>'Базовые концовки'!F421</f>
        <v>0</v>
      </c>
      <c r="H730" s="21"/>
      <c r="I730" s="21"/>
      <c r="L730" s="21">
        <f>'Текущие концовки'!F421</f>
        <v>0</v>
      </c>
      <c r="M730" s="21"/>
      <c r="N730" s="21"/>
      <c r="T730" s="23"/>
      <c r="U730" s="23"/>
      <c r="V730" s="23"/>
      <c r="W730" s="7"/>
      <c r="X730" s="7"/>
      <c r="Y730" s="23"/>
      <c r="Z730" s="23"/>
    </row>
    <row r="731" spans="2:26" hidden="1">
      <c r="B731" s="42" t="s">
        <v>92</v>
      </c>
      <c r="C731" s="43"/>
      <c r="D731" s="43"/>
      <c r="E731" s="44"/>
      <c r="G731" s="21">
        <f>'Базовые концовки'!F422</f>
        <v>0</v>
      </c>
      <c r="H731" s="21">
        <f>'Базовые концовки'!G422</f>
        <v>0</v>
      </c>
      <c r="I731" s="21">
        <f>'Базовые концовки'!H422</f>
        <v>0</v>
      </c>
      <c r="L731" s="21">
        <f>'Текущие концовки'!F422</f>
        <v>0</v>
      </c>
      <c r="M731" s="21">
        <f>'Текущие концовки'!G422</f>
        <v>0</v>
      </c>
      <c r="N731" s="21">
        <f>'Текущие концовки'!H422</f>
        <v>0</v>
      </c>
      <c r="T731" s="23">
        <f>'Текущие концовки'!G422</f>
        <v>0</v>
      </c>
      <c r="U731" s="23">
        <f>'Текущие концовки'!H422</f>
        <v>0</v>
      </c>
      <c r="V731" s="23">
        <f>'Текущие концовки'!I422</f>
        <v>0</v>
      </c>
      <c r="W731" s="7">
        <f>'Текущие концовки'!J422</f>
        <v>0</v>
      </c>
      <c r="X731" s="7">
        <f>'Текущие концовки'!K422</f>
        <v>0</v>
      </c>
      <c r="Y731" s="23">
        <f>'Текущие концовки'!L422</f>
        <v>0</v>
      </c>
      <c r="Z731" s="23">
        <f>'Текущие концовки'!M422</f>
        <v>0</v>
      </c>
    </row>
    <row r="732" spans="2:26" hidden="1">
      <c r="B732" s="42" t="s">
        <v>70</v>
      </c>
      <c r="C732" s="43"/>
      <c r="D732" s="43"/>
      <c r="E732" s="44"/>
      <c r="G732" s="21"/>
      <c r="H732" s="21"/>
      <c r="I732" s="21"/>
      <c r="L732" s="21"/>
      <c r="M732" s="21"/>
      <c r="N732" s="21"/>
      <c r="T732" s="23"/>
      <c r="U732" s="23"/>
      <c r="V732" s="23"/>
      <c r="W732" s="7"/>
      <c r="X732" s="7"/>
      <c r="Y732" s="23"/>
      <c r="Z732" s="23"/>
    </row>
    <row r="733" spans="2:26" hidden="1">
      <c r="B733" s="42" t="s">
        <v>79</v>
      </c>
      <c r="C733" s="43"/>
      <c r="D733" s="43"/>
      <c r="E733" s="44"/>
      <c r="G733" s="21" t="e">
        <f ca="1">'Базовые концовки'!F424</f>
        <v>#NAME?</v>
      </c>
      <c r="H733" s="21"/>
      <c r="I733" s="21"/>
      <c r="L733" s="21" t="e">
        <f ca="1">'Текущие концовки'!F424</f>
        <v>#NAME?</v>
      </c>
      <c r="M733" s="21"/>
      <c r="N733" s="21"/>
      <c r="T733" s="23"/>
      <c r="U733" s="23"/>
      <c r="V733" s="23"/>
      <c r="W733" s="7"/>
      <c r="X733" s="7"/>
      <c r="Y733" s="23"/>
      <c r="Z733" s="23"/>
    </row>
    <row r="734" spans="2:26" hidden="1">
      <c r="B734" s="42" t="s">
        <v>74</v>
      </c>
      <c r="C734" s="43"/>
      <c r="D734" s="43"/>
      <c r="E734" s="44"/>
      <c r="G734" s="21">
        <f>'Базовые концовки'!F425</f>
        <v>0</v>
      </c>
      <c r="H734" s="21"/>
      <c r="I734" s="21"/>
      <c r="L734" s="21">
        <f>'Текущие концовки'!F425</f>
        <v>0</v>
      </c>
      <c r="M734" s="21"/>
      <c r="N734" s="21"/>
      <c r="T734" s="23"/>
      <c r="U734" s="23"/>
      <c r="V734" s="23"/>
      <c r="W734" s="7"/>
      <c r="X734" s="7"/>
      <c r="Y734" s="23"/>
      <c r="Z734" s="23"/>
    </row>
    <row r="735" spans="2:26" hidden="1">
      <c r="B735" s="42" t="s">
        <v>75</v>
      </c>
      <c r="C735" s="43"/>
      <c r="D735" s="43"/>
      <c r="E735" s="44"/>
      <c r="G735" s="21">
        <f>'Базовые концовки'!F426</f>
        <v>0</v>
      </c>
      <c r="H735" s="21"/>
      <c r="I735" s="21"/>
      <c r="L735" s="21">
        <f>'Текущие концовки'!F426</f>
        <v>0</v>
      </c>
      <c r="M735" s="21"/>
      <c r="N735" s="21"/>
      <c r="T735" s="23"/>
      <c r="U735" s="23"/>
      <c r="V735" s="23"/>
      <c r="W735" s="7"/>
      <c r="X735" s="7"/>
      <c r="Y735" s="23"/>
      <c r="Z735" s="23"/>
    </row>
    <row r="736" spans="2:26" hidden="1">
      <c r="B736" s="42" t="s">
        <v>76</v>
      </c>
      <c r="C736" s="43"/>
      <c r="D736" s="43"/>
      <c r="E736" s="44"/>
      <c r="G736" s="21">
        <f>'Базовые концовки'!F427</f>
        <v>0</v>
      </c>
      <c r="H736" s="21"/>
      <c r="I736" s="21"/>
      <c r="L736" s="21">
        <f>'Текущие концовки'!F427</f>
        <v>0</v>
      </c>
      <c r="M736" s="21"/>
      <c r="N736" s="21"/>
      <c r="T736" s="23"/>
      <c r="U736" s="23"/>
      <c r="V736" s="23"/>
      <c r="W736" s="7"/>
      <c r="X736" s="7"/>
      <c r="Y736" s="23"/>
      <c r="Z736" s="23"/>
    </row>
    <row r="737" spans="2:26" hidden="1">
      <c r="B737" s="42" t="s">
        <v>93</v>
      </c>
      <c r="C737" s="43"/>
      <c r="D737" s="43"/>
      <c r="E737" s="44"/>
      <c r="G737" s="21">
        <f>'Базовые концовки'!F428</f>
        <v>0</v>
      </c>
      <c r="H737" s="21"/>
      <c r="I737" s="21"/>
      <c r="L737" s="21">
        <f>'Текущие концовки'!F428</f>
        <v>0</v>
      </c>
      <c r="M737" s="21"/>
      <c r="N737" s="21"/>
      <c r="T737" s="23"/>
      <c r="U737" s="23"/>
      <c r="V737" s="23"/>
      <c r="W737" s="7"/>
      <c r="X737" s="7"/>
      <c r="Y737" s="23"/>
      <c r="Z737" s="23"/>
    </row>
    <row r="738" spans="2:26" hidden="1">
      <c r="B738" s="42" t="s">
        <v>94</v>
      </c>
      <c r="C738" s="43"/>
      <c r="D738" s="43"/>
      <c r="E738" s="44"/>
      <c r="G738" s="21">
        <f>'Базовые концовки'!F429</f>
        <v>0</v>
      </c>
      <c r="H738" s="21">
        <f>'Базовые концовки'!G429</f>
        <v>0</v>
      </c>
      <c r="I738" s="21">
        <f>'Базовые концовки'!H429</f>
        <v>0</v>
      </c>
      <c r="L738" s="21">
        <f>'Текущие концовки'!F429</f>
        <v>0</v>
      </c>
      <c r="M738" s="21">
        <f>'Текущие концовки'!G429</f>
        <v>0</v>
      </c>
      <c r="N738" s="21">
        <f>'Текущие концовки'!H429</f>
        <v>0</v>
      </c>
      <c r="T738" s="23">
        <f>'Текущие концовки'!G429</f>
        <v>0</v>
      </c>
      <c r="U738" s="23">
        <f>'Текущие концовки'!H429</f>
        <v>0</v>
      </c>
      <c r="V738" s="23">
        <f>'Текущие концовки'!I429</f>
        <v>0</v>
      </c>
      <c r="W738" s="7">
        <f>'Текущие концовки'!J429</f>
        <v>0</v>
      </c>
      <c r="X738" s="7">
        <f>'Текущие концовки'!K429</f>
        <v>0</v>
      </c>
      <c r="Y738" s="23">
        <f>'Текущие концовки'!L429</f>
        <v>0</v>
      </c>
      <c r="Z738" s="23">
        <f>'Текущие концовки'!M429</f>
        <v>0</v>
      </c>
    </row>
    <row r="739" spans="2:26" hidden="1">
      <c r="B739" s="42" t="s">
        <v>95</v>
      </c>
      <c r="C739" s="43"/>
      <c r="D739" s="43"/>
      <c r="E739" s="44"/>
      <c r="G739" s="21">
        <f>'Базовые концовки'!F430</f>
        <v>0</v>
      </c>
      <c r="H739" s="21"/>
      <c r="I739" s="21"/>
      <c r="L739" s="21">
        <f>'Текущие концовки'!F430</f>
        <v>0</v>
      </c>
      <c r="M739" s="21"/>
      <c r="N739" s="21"/>
      <c r="T739" s="23"/>
      <c r="U739" s="23"/>
      <c r="V739" s="23"/>
      <c r="W739" s="7"/>
      <c r="X739" s="7"/>
      <c r="Y739" s="23"/>
      <c r="Z739" s="23"/>
    </row>
    <row r="740" spans="2:26" hidden="1">
      <c r="B740" s="42" t="s">
        <v>96</v>
      </c>
      <c r="C740" s="43"/>
      <c r="D740" s="43"/>
      <c r="E740" s="44"/>
      <c r="G740" s="21">
        <f>'Базовые концовки'!F431</f>
        <v>0</v>
      </c>
      <c r="H740" s="21"/>
      <c r="I740" s="21"/>
      <c r="L740" s="21">
        <f>'Текущие концовки'!F431</f>
        <v>0</v>
      </c>
      <c r="M740" s="21"/>
      <c r="N740" s="21"/>
      <c r="T740" s="23"/>
      <c r="U740" s="23"/>
      <c r="V740" s="23"/>
      <c r="W740" s="7"/>
      <c r="X740" s="7"/>
      <c r="Y740" s="23"/>
      <c r="Z740" s="23"/>
    </row>
    <row r="741" spans="2:26" hidden="1">
      <c r="B741" s="42" t="s">
        <v>75</v>
      </c>
      <c r="C741" s="43"/>
      <c r="D741" s="43"/>
      <c r="E741" s="44"/>
      <c r="G741" s="21">
        <f>'Базовые концовки'!F432</f>
        <v>0</v>
      </c>
      <c r="H741" s="21"/>
      <c r="I741" s="21"/>
      <c r="L741" s="21">
        <f>'Текущие концовки'!F432</f>
        <v>0</v>
      </c>
      <c r="M741" s="21"/>
      <c r="N741" s="21"/>
      <c r="T741" s="23"/>
      <c r="U741" s="23"/>
      <c r="V741" s="23"/>
      <c r="W741" s="7"/>
      <c r="X741" s="7"/>
      <c r="Y741" s="23"/>
      <c r="Z741" s="23"/>
    </row>
    <row r="742" spans="2:26" hidden="1">
      <c r="B742" s="42" t="s">
        <v>76</v>
      </c>
      <c r="C742" s="43"/>
      <c r="D742" s="43"/>
      <c r="E742" s="44"/>
      <c r="G742" s="21">
        <f>'Базовые концовки'!F433</f>
        <v>0</v>
      </c>
      <c r="H742" s="21"/>
      <c r="I742" s="21"/>
      <c r="L742" s="21">
        <f>'Текущие концовки'!F433</f>
        <v>0</v>
      </c>
      <c r="M742" s="21"/>
      <c r="N742" s="21"/>
      <c r="T742" s="23"/>
      <c r="U742" s="23"/>
      <c r="V742" s="23"/>
      <c r="W742" s="7"/>
      <c r="X742" s="7"/>
      <c r="Y742" s="23"/>
      <c r="Z742" s="23"/>
    </row>
    <row r="743" spans="2:26" hidden="1">
      <c r="B743" s="42" t="s">
        <v>97</v>
      </c>
      <c r="C743" s="43"/>
      <c r="D743" s="43"/>
      <c r="E743" s="44"/>
      <c r="G743" s="21">
        <f>'Базовые концовки'!F434</f>
        <v>0</v>
      </c>
      <c r="H743" s="21"/>
      <c r="I743" s="21"/>
      <c r="L743" s="21">
        <f>'Текущие концовки'!F434</f>
        <v>0</v>
      </c>
      <c r="M743" s="21"/>
      <c r="N743" s="21"/>
      <c r="T743" s="23"/>
      <c r="U743" s="23"/>
      <c r="V743" s="23"/>
      <c r="W743" s="7"/>
      <c r="X743" s="7"/>
      <c r="Y743" s="23"/>
      <c r="Z743" s="23"/>
    </row>
    <row r="744" spans="2:26" hidden="1">
      <c r="B744" s="42" t="s">
        <v>98</v>
      </c>
      <c r="C744" s="43"/>
      <c r="D744" s="43"/>
      <c r="E744" s="44"/>
      <c r="G744" s="21">
        <f>'Базовые концовки'!F435</f>
        <v>0</v>
      </c>
      <c r="H744" s="21">
        <f>'Базовые концовки'!G435</f>
        <v>0</v>
      </c>
      <c r="I744" s="21">
        <f>'Базовые концовки'!H435</f>
        <v>0</v>
      </c>
      <c r="L744" s="21">
        <f>'Текущие концовки'!F435</f>
        <v>0</v>
      </c>
      <c r="M744" s="21">
        <f>'Текущие концовки'!G435</f>
        <v>0</v>
      </c>
      <c r="N744" s="21">
        <f>'Текущие концовки'!H435</f>
        <v>0</v>
      </c>
      <c r="T744" s="23">
        <f>'Текущие концовки'!G435</f>
        <v>0</v>
      </c>
      <c r="U744" s="23">
        <f>'Текущие концовки'!H435</f>
        <v>0</v>
      </c>
      <c r="V744" s="23">
        <f>'Текущие концовки'!I435</f>
        <v>0</v>
      </c>
      <c r="W744" s="7">
        <f>'Текущие концовки'!J435</f>
        <v>0</v>
      </c>
      <c r="X744" s="7">
        <f>'Текущие концовки'!K435</f>
        <v>0</v>
      </c>
      <c r="Y744" s="23">
        <f>'Текущие концовки'!L435</f>
        <v>0</v>
      </c>
      <c r="Z744" s="23">
        <f>'Текущие концовки'!M435</f>
        <v>0</v>
      </c>
    </row>
    <row r="745" spans="2:26" hidden="1">
      <c r="B745" s="42" t="s">
        <v>75</v>
      </c>
      <c r="C745" s="43"/>
      <c r="D745" s="43"/>
      <c r="E745" s="44"/>
      <c r="G745" s="21">
        <f>'Базовые концовки'!F436</f>
        <v>0</v>
      </c>
      <c r="H745" s="21"/>
      <c r="I745" s="21"/>
      <c r="L745" s="21">
        <f>'Текущие концовки'!F436</f>
        <v>0</v>
      </c>
      <c r="M745" s="21"/>
      <c r="N745" s="21"/>
      <c r="T745" s="23"/>
      <c r="U745" s="23"/>
      <c r="V745" s="23"/>
      <c r="W745" s="7"/>
      <c r="X745" s="7"/>
      <c r="Y745" s="23"/>
      <c r="Z745" s="23"/>
    </row>
    <row r="746" spans="2:26" hidden="1">
      <c r="B746" s="42" t="s">
        <v>76</v>
      </c>
      <c r="C746" s="43"/>
      <c r="D746" s="43"/>
      <c r="E746" s="44"/>
      <c r="G746" s="21">
        <f>'Базовые концовки'!F437</f>
        <v>0</v>
      </c>
      <c r="H746" s="21"/>
      <c r="I746" s="21"/>
      <c r="L746" s="21">
        <f>'Текущие концовки'!F437</f>
        <v>0</v>
      </c>
      <c r="M746" s="21"/>
      <c r="N746" s="21"/>
      <c r="T746" s="23"/>
      <c r="U746" s="23"/>
      <c r="V746" s="23"/>
      <c r="W746" s="7"/>
      <c r="X746" s="7"/>
      <c r="Y746" s="23"/>
      <c r="Z746" s="23"/>
    </row>
    <row r="747" spans="2:26" hidden="1">
      <c r="B747" s="42" t="s">
        <v>99</v>
      </c>
      <c r="C747" s="43"/>
      <c r="D747" s="43"/>
      <c r="E747" s="44"/>
      <c r="G747" s="21">
        <f>'Базовые концовки'!F438</f>
        <v>0</v>
      </c>
      <c r="H747" s="21"/>
      <c r="I747" s="21"/>
      <c r="L747" s="21">
        <f>'Текущие концовки'!F438</f>
        <v>0</v>
      </c>
      <c r="M747" s="21"/>
      <c r="N747" s="21"/>
      <c r="T747" s="23"/>
      <c r="U747" s="23"/>
      <c r="V747" s="23"/>
      <c r="W747" s="7"/>
      <c r="X747" s="7"/>
      <c r="Y747" s="23"/>
      <c r="Z747" s="23"/>
    </row>
    <row r="748" spans="2:26" hidden="1">
      <c r="B748" s="42" t="s">
        <v>100</v>
      </c>
      <c r="C748" s="43"/>
      <c r="D748" s="43"/>
      <c r="E748" s="44"/>
      <c r="G748" s="21">
        <f>'Базовые концовки'!F439</f>
        <v>0</v>
      </c>
      <c r="H748" s="21">
        <f>'Базовые концовки'!G439</f>
        <v>0</v>
      </c>
      <c r="I748" s="21">
        <f>'Базовые концовки'!H439</f>
        <v>0</v>
      </c>
      <c r="L748" s="21">
        <f>'Текущие концовки'!F439</f>
        <v>0</v>
      </c>
      <c r="M748" s="21">
        <f>'Текущие концовки'!G439</f>
        <v>0</v>
      </c>
      <c r="N748" s="21">
        <f>'Текущие концовки'!H439</f>
        <v>0</v>
      </c>
      <c r="T748" s="23">
        <f>'Текущие концовки'!G439</f>
        <v>0</v>
      </c>
      <c r="U748" s="23">
        <f>'Текущие концовки'!H439</f>
        <v>0</v>
      </c>
      <c r="V748" s="23">
        <f>'Текущие концовки'!I439</f>
        <v>0</v>
      </c>
      <c r="W748" s="7">
        <f>'Текущие концовки'!J439</f>
        <v>0</v>
      </c>
      <c r="X748" s="7">
        <f>'Текущие концовки'!K439</f>
        <v>0</v>
      </c>
      <c r="Y748" s="23">
        <f>'Текущие концовки'!L439</f>
        <v>0</v>
      </c>
      <c r="Z748" s="23">
        <f>'Текущие концовки'!M439</f>
        <v>0</v>
      </c>
    </row>
    <row r="749" spans="2:26" hidden="1">
      <c r="B749" s="42" t="s">
        <v>74</v>
      </c>
      <c r="C749" s="43"/>
      <c r="D749" s="43"/>
      <c r="E749" s="44"/>
      <c r="G749" s="21">
        <f>'Базовые концовки'!F440</f>
        <v>0</v>
      </c>
      <c r="H749" s="21"/>
      <c r="I749" s="21"/>
      <c r="L749" s="21">
        <f>'Текущие концовки'!F440</f>
        <v>0</v>
      </c>
      <c r="M749" s="21"/>
      <c r="N749" s="21"/>
      <c r="T749" s="23"/>
      <c r="U749" s="23"/>
      <c r="V749" s="23"/>
      <c r="W749" s="7"/>
      <c r="X749" s="7"/>
      <c r="Y749" s="23"/>
      <c r="Z749" s="23"/>
    </row>
    <row r="750" spans="2:26" hidden="1">
      <c r="B750" s="42" t="s">
        <v>75</v>
      </c>
      <c r="C750" s="43"/>
      <c r="D750" s="43"/>
      <c r="E750" s="44"/>
      <c r="G750" s="21">
        <f>'Базовые концовки'!F441</f>
        <v>0</v>
      </c>
      <c r="H750" s="21"/>
      <c r="I750" s="21"/>
      <c r="L750" s="21">
        <f>'Текущие концовки'!F441</f>
        <v>0</v>
      </c>
      <c r="M750" s="21"/>
      <c r="N750" s="21"/>
      <c r="T750" s="23"/>
      <c r="U750" s="23"/>
      <c r="V750" s="23"/>
      <c r="W750" s="7"/>
      <c r="X750" s="7"/>
      <c r="Y750" s="23"/>
      <c r="Z750" s="23"/>
    </row>
    <row r="751" spans="2:26" hidden="1">
      <c r="B751" s="42" t="s">
        <v>76</v>
      </c>
      <c r="C751" s="43"/>
      <c r="D751" s="43"/>
      <c r="E751" s="44"/>
      <c r="G751" s="21">
        <f>'Базовые концовки'!F442</f>
        <v>0</v>
      </c>
      <c r="H751" s="21"/>
      <c r="I751" s="21"/>
      <c r="L751" s="21">
        <f>'Текущие концовки'!F442</f>
        <v>0</v>
      </c>
      <c r="M751" s="21"/>
      <c r="N751" s="21"/>
      <c r="T751" s="23"/>
      <c r="U751" s="23"/>
      <c r="V751" s="23"/>
      <c r="W751" s="7"/>
      <c r="X751" s="7"/>
      <c r="Y751" s="23"/>
      <c r="Z751" s="23"/>
    </row>
    <row r="752" spans="2:26" hidden="1">
      <c r="B752" s="42" t="s">
        <v>101</v>
      </c>
      <c r="C752" s="43"/>
      <c r="D752" s="43"/>
      <c r="E752" s="44"/>
      <c r="G752" s="21">
        <f>'Базовые концовки'!F443</f>
        <v>0</v>
      </c>
      <c r="H752" s="21"/>
      <c r="I752" s="21"/>
      <c r="L752" s="21">
        <f>'Текущие концовки'!F443</f>
        <v>0</v>
      </c>
      <c r="M752" s="21"/>
      <c r="N752" s="21"/>
      <c r="T752" s="23"/>
      <c r="U752" s="23"/>
      <c r="V752" s="23"/>
      <c r="W752" s="7"/>
      <c r="X752" s="7"/>
      <c r="Y752" s="23"/>
      <c r="Z752" s="23"/>
    </row>
    <row r="753" spans="2:26" hidden="1">
      <c r="B753" s="42" t="s">
        <v>102</v>
      </c>
      <c r="C753" s="43"/>
      <c r="D753" s="43"/>
      <c r="E753" s="44"/>
      <c r="G753" s="21">
        <f>'Базовые концовки'!F444</f>
        <v>0</v>
      </c>
      <c r="H753" s="21">
        <f>'Базовые концовки'!G444</f>
        <v>0</v>
      </c>
      <c r="I753" s="21">
        <f>'Базовые концовки'!H444</f>
        <v>0</v>
      </c>
      <c r="L753" s="21">
        <f>'Текущие концовки'!F444</f>
        <v>0</v>
      </c>
      <c r="M753" s="21">
        <f>'Текущие концовки'!G444</f>
        <v>0</v>
      </c>
      <c r="N753" s="21">
        <f>'Текущие концовки'!H444</f>
        <v>0</v>
      </c>
      <c r="T753" s="23">
        <f>'Текущие концовки'!G444</f>
        <v>0</v>
      </c>
      <c r="U753" s="23">
        <f>'Текущие концовки'!H444</f>
        <v>0</v>
      </c>
      <c r="V753" s="23">
        <f>'Текущие концовки'!I444</f>
        <v>0</v>
      </c>
      <c r="W753" s="7">
        <f>'Текущие концовки'!J444</f>
        <v>0</v>
      </c>
      <c r="X753" s="7">
        <f>'Текущие концовки'!K444</f>
        <v>0</v>
      </c>
      <c r="Y753" s="23">
        <f>'Текущие концовки'!L444</f>
        <v>0</v>
      </c>
      <c r="Z753" s="23">
        <f>'Текущие концовки'!M444</f>
        <v>0</v>
      </c>
    </row>
    <row r="754" spans="2:26" hidden="1">
      <c r="B754" s="42" t="s">
        <v>74</v>
      </c>
      <c r="C754" s="43"/>
      <c r="D754" s="43"/>
      <c r="E754" s="44"/>
      <c r="G754" s="21">
        <f>'Базовые концовки'!F445</f>
        <v>0</v>
      </c>
      <c r="H754" s="21"/>
      <c r="I754" s="21"/>
      <c r="L754" s="21">
        <f>'Текущие концовки'!F445</f>
        <v>0</v>
      </c>
      <c r="M754" s="21"/>
      <c r="N754" s="21"/>
      <c r="T754" s="23"/>
      <c r="U754" s="23"/>
      <c r="V754" s="23"/>
      <c r="W754" s="7"/>
      <c r="X754" s="7"/>
      <c r="Y754" s="23"/>
      <c r="Z754" s="23"/>
    </row>
    <row r="755" spans="2:26">
      <c r="B755" s="42" t="s">
        <v>158</v>
      </c>
      <c r="C755" s="43"/>
      <c r="D755" s="43"/>
      <c r="E755" s="43"/>
      <c r="F755" s="44"/>
      <c r="G755" s="21" t="e">
        <f ca="1">'Базовые концовки'!F446</f>
        <v>#NAME?</v>
      </c>
      <c r="H755" s="21">
        <f>'Базовые концовки'!G446</f>
        <v>0</v>
      </c>
      <c r="I755" s="21">
        <f>'Базовые концовки'!H446</f>
        <v>0</v>
      </c>
      <c r="L755" s="21" t="e">
        <f ca="1">'Текущие концовки'!F446</f>
        <v>#NAME?</v>
      </c>
      <c r="M755" s="21">
        <f>'Текущие концовки'!G446</f>
        <v>0</v>
      </c>
      <c r="N755" s="21">
        <f>'Текущие концовки'!H446</f>
        <v>0</v>
      </c>
      <c r="T755" s="23">
        <f>'Текущие концовки'!G446</f>
        <v>0</v>
      </c>
      <c r="U755" s="23">
        <f>'Текущие концовки'!H446</f>
        <v>0</v>
      </c>
      <c r="V755" s="23">
        <f>'Текущие концовки'!I446</f>
        <v>0</v>
      </c>
      <c r="W755" s="7">
        <f>'Текущие концовки'!J446</f>
        <v>0</v>
      </c>
      <c r="X755" s="7">
        <f>'Текущие концовки'!K446</f>
        <v>0</v>
      </c>
      <c r="Y755" s="23">
        <f>'Текущие концовки'!L446</f>
        <v>0</v>
      </c>
      <c r="Z755" s="23">
        <f>'Текущие концовки'!M446</f>
        <v>0</v>
      </c>
    </row>
    <row r="756" spans="2:26" hidden="1">
      <c r="B756" s="42" t="s">
        <v>104</v>
      </c>
      <c r="C756" s="43"/>
      <c r="D756" s="43"/>
      <c r="E756" s="44"/>
      <c r="G756" s="21">
        <f>'Базовые концовки'!F447</f>
        <v>0</v>
      </c>
      <c r="H756" s="21"/>
      <c r="I756" s="21"/>
      <c r="L756" s="21">
        <f>'Текущие концовки'!F447</f>
        <v>0</v>
      </c>
      <c r="M756" s="21"/>
      <c r="N756" s="21"/>
      <c r="T756" s="23"/>
      <c r="U756" s="23"/>
      <c r="V756" s="23"/>
      <c r="W756" s="7"/>
      <c r="X756" s="7"/>
      <c r="Y756" s="23"/>
      <c r="Z756" s="23"/>
    </row>
    <row r="757" spans="2:26">
      <c r="B757" s="42" t="s">
        <v>105</v>
      </c>
      <c r="C757" s="43"/>
      <c r="D757" s="43"/>
      <c r="E757" s="43"/>
      <c r="F757" s="44"/>
      <c r="G757" s="21">
        <f>'Базовые концовки'!F448</f>
        <v>1311</v>
      </c>
      <c r="H757" s="21"/>
      <c r="I757" s="21"/>
      <c r="L757" s="21">
        <f>'Текущие концовки'!F448</f>
        <v>27122</v>
      </c>
      <c r="M757" s="21"/>
      <c r="N757" s="21"/>
      <c r="T757" s="23"/>
      <c r="U757" s="23"/>
      <c r="V757" s="23"/>
      <c r="W757" s="7"/>
      <c r="X757" s="7"/>
      <c r="Y757" s="23"/>
      <c r="Z757" s="23"/>
    </row>
    <row r="758" spans="2:26">
      <c r="B758" s="42" t="s">
        <v>106</v>
      </c>
      <c r="C758" s="43"/>
      <c r="D758" s="43"/>
      <c r="E758" s="43"/>
      <c r="F758" s="44"/>
      <c r="G758" s="21">
        <f>'Базовые концовки'!F449</f>
        <v>988</v>
      </c>
      <c r="H758" s="21"/>
      <c r="I758" s="21"/>
      <c r="L758" s="21">
        <f>'Текущие концовки'!F449</f>
        <v>20419</v>
      </c>
      <c r="M758" s="21"/>
      <c r="N758" s="21"/>
      <c r="T758" s="23"/>
      <c r="U758" s="23"/>
      <c r="V758" s="23"/>
      <c r="W758" s="7"/>
      <c r="X758" s="7"/>
      <c r="Y758" s="23"/>
      <c r="Z758" s="23"/>
    </row>
    <row r="759" spans="2:26" hidden="1">
      <c r="B759" s="42" t="s">
        <v>33</v>
      </c>
      <c r="C759" s="43"/>
      <c r="D759" s="43"/>
      <c r="E759" s="44"/>
      <c r="G759" s="21">
        <f>'Базовые концовки'!F450</f>
        <v>0</v>
      </c>
      <c r="H759" s="21"/>
      <c r="I759" s="21"/>
      <c r="L759" s="21">
        <f>'Текущие концовки'!F450</f>
        <v>0</v>
      </c>
      <c r="M759" s="21"/>
      <c r="N759" s="21"/>
      <c r="T759" s="23"/>
      <c r="U759" s="23"/>
      <c r="V759" s="23"/>
      <c r="W759" s="7"/>
      <c r="X759" s="7"/>
      <c r="Y759" s="23">
        <f>'Текущие концовки'!L450</f>
        <v>0</v>
      </c>
      <c r="Z759" s="23"/>
    </row>
    <row r="760" spans="2:26" hidden="1">
      <c r="B760" s="42" t="s">
        <v>107</v>
      </c>
      <c r="C760" s="43"/>
      <c r="D760" s="43"/>
      <c r="E760" s="44"/>
      <c r="G760" s="21">
        <f>'Базовые концовки'!F451</f>
        <v>0</v>
      </c>
      <c r="H760" s="21"/>
      <c r="I760" s="21"/>
      <c r="L760" s="21">
        <f>'Текущие концовки'!F451</f>
        <v>0</v>
      </c>
      <c r="M760" s="21"/>
      <c r="N760" s="21"/>
      <c r="T760" s="23"/>
      <c r="U760" s="23"/>
      <c r="V760" s="23"/>
      <c r="W760" s="7"/>
      <c r="X760" s="7"/>
      <c r="Y760" s="23">
        <f>'Текущие концовки'!L451</f>
        <v>0</v>
      </c>
      <c r="Z760" s="23"/>
    </row>
    <row r="761" spans="2:26" hidden="1">
      <c r="B761" s="42" t="s">
        <v>108</v>
      </c>
      <c r="C761" s="43"/>
      <c r="D761" s="43"/>
      <c r="E761" s="43"/>
      <c r="F761" s="44"/>
      <c r="G761" s="21">
        <f>'Базовые концовки'!F452</f>
        <v>1476</v>
      </c>
      <c r="H761" s="21"/>
      <c r="I761" s="21"/>
      <c r="L761" s="21">
        <f>'Текущие концовки'!F452</f>
        <v>30477</v>
      </c>
      <c r="M761" s="21"/>
      <c r="N761" s="21"/>
      <c r="T761" s="23"/>
      <c r="U761" s="23"/>
      <c r="V761" s="23"/>
      <c r="W761" s="7"/>
      <c r="X761" s="7"/>
      <c r="Y761" s="23"/>
      <c r="Z761" s="23"/>
    </row>
    <row r="762" spans="2:26" hidden="1">
      <c r="B762" s="42" t="s">
        <v>109</v>
      </c>
      <c r="C762" s="43"/>
      <c r="D762" s="43"/>
      <c r="E762" s="43"/>
      <c r="F762" s="44"/>
      <c r="G762" s="21">
        <f>'Базовые концовки'!F453</f>
        <v>61</v>
      </c>
      <c r="H762" s="21"/>
      <c r="I762" s="21"/>
      <c r="L762" s="21">
        <f>'Текущие концовки'!F453</f>
        <v>1283</v>
      </c>
      <c r="M762" s="21"/>
      <c r="N762" s="21"/>
      <c r="T762" s="23"/>
      <c r="U762" s="23"/>
      <c r="V762" s="23"/>
      <c r="W762" s="7"/>
      <c r="X762" s="7"/>
      <c r="Y762" s="23"/>
      <c r="Z762" s="23"/>
    </row>
    <row r="763" spans="2:26" hidden="1">
      <c r="B763" s="42" t="s">
        <v>110</v>
      </c>
      <c r="C763" s="43"/>
      <c r="D763" s="43"/>
      <c r="E763" s="43"/>
      <c r="F763" s="44"/>
      <c r="G763" s="21">
        <f>'Базовые концовки'!F454</f>
        <v>1537</v>
      </c>
      <c r="H763" s="21"/>
      <c r="I763" s="21"/>
      <c r="L763" s="21">
        <f>'Текущие концовки'!F454</f>
        <v>31760</v>
      </c>
      <c r="M763" s="21"/>
      <c r="N763" s="21"/>
      <c r="T763" s="23"/>
      <c r="U763" s="23"/>
      <c r="V763" s="23"/>
      <c r="W763" s="7"/>
      <c r="X763" s="7"/>
      <c r="Y763" s="23"/>
      <c r="Z763" s="23"/>
    </row>
    <row r="764" spans="2:26" hidden="1">
      <c r="B764" s="42" t="s">
        <v>111</v>
      </c>
      <c r="C764" s="43"/>
      <c r="D764" s="43"/>
      <c r="E764" s="43"/>
      <c r="F764" s="44"/>
      <c r="G764" s="7" t="e">
        <f ca="1">'Базовые концовки'!J455</f>
        <v>#NAME?</v>
      </c>
      <c r="H764" s="21"/>
      <c r="I764" s="21"/>
      <c r="L764" s="7" t="e">
        <f ca="1">'Текущие концовки'!J455</f>
        <v>#NAME?</v>
      </c>
      <c r="M764" s="21"/>
      <c r="N764" s="21"/>
      <c r="T764" s="23"/>
      <c r="U764" s="23"/>
      <c r="V764" s="23"/>
      <c r="W764" s="7" t="e">
        <f ca="1">'Текущие концовки'!J455</f>
        <v>#NAME?</v>
      </c>
      <c r="X764" s="7"/>
      <c r="Y764" s="23"/>
      <c r="Z764" s="23"/>
    </row>
    <row r="765" spans="2:26" hidden="1">
      <c r="B765" s="42" t="s">
        <v>112</v>
      </c>
      <c r="C765" s="43"/>
      <c r="D765" s="43"/>
      <c r="E765" s="43"/>
      <c r="F765" s="44"/>
      <c r="G765" s="7" t="e">
        <f ca="1">'Базовые концовки'!J456</f>
        <v>#NAME?</v>
      </c>
      <c r="H765" s="21"/>
      <c r="I765" s="21"/>
      <c r="L765" s="7" t="e">
        <f ca="1">'Текущие концовки'!J456</f>
        <v>#NAME?</v>
      </c>
      <c r="M765" s="21"/>
      <c r="N765" s="21"/>
      <c r="T765" s="23"/>
      <c r="U765" s="23"/>
      <c r="V765" s="23"/>
      <c r="W765" s="7" t="e">
        <f ca="1">'Текущие концовки'!J456</f>
        <v>#NAME?</v>
      </c>
      <c r="X765" s="7"/>
      <c r="Y765" s="23"/>
      <c r="Z765" s="23"/>
    </row>
    <row r="766" spans="2:26" hidden="1">
      <c r="B766" s="42" t="s">
        <v>113</v>
      </c>
      <c r="C766" s="43"/>
      <c r="D766" s="43"/>
      <c r="E766" s="43"/>
      <c r="F766" s="44"/>
      <c r="G766" s="7" t="e">
        <f ca="1">'Базовые концовки'!J457</f>
        <v>#NAME?</v>
      </c>
      <c r="H766" s="21"/>
      <c r="I766" s="21"/>
      <c r="L766" s="7" t="e">
        <f ca="1">'Текущие концовки'!J457</f>
        <v>#NAME?</v>
      </c>
      <c r="M766" s="21"/>
      <c r="N766" s="21"/>
      <c r="T766" s="23"/>
      <c r="U766" s="23"/>
      <c r="V766" s="23"/>
      <c r="W766" s="7" t="e">
        <f ca="1">'Текущие концовки'!J457</f>
        <v>#NAME?</v>
      </c>
      <c r="X766" s="7"/>
      <c r="Y766" s="23"/>
      <c r="Z766" s="23"/>
    </row>
    <row r="767" spans="2:26">
      <c r="B767" s="39" t="s">
        <v>363</v>
      </c>
      <c r="C767" s="37"/>
      <c r="K767" s="36">
        <v>20</v>
      </c>
      <c r="L767" s="38" t="e">
        <f ca="1">L755*20%</f>
        <v>#NAME?</v>
      </c>
    </row>
    <row r="768" spans="2:26">
      <c r="B768" s="39" t="s">
        <v>364</v>
      </c>
      <c r="L768" s="38" t="e">
        <f ca="1">L767+L755</f>
        <v>#NAME?</v>
      </c>
    </row>
    <row r="770" spans="1:16">
      <c r="B770" s="4" t="s">
        <v>159</v>
      </c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</row>
    <row r="771" spans="1:16">
      <c r="C771" s="41" t="s">
        <v>160</v>
      </c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  <c r="O771" s="41"/>
      <c r="P771" s="41"/>
    </row>
    <row r="773" spans="1:16">
      <c r="B773" s="4" t="s">
        <v>161</v>
      </c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</row>
    <row r="774" spans="1:16">
      <c r="C774" s="41" t="s">
        <v>160</v>
      </c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  <c r="O774" s="41"/>
      <c r="P774" s="41"/>
    </row>
    <row r="775" spans="1:16">
      <c r="A775" s="24"/>
    </row>
  </sheetData>
  <mergeCells count="593">
    <mergeCell ref="C3:N3"/>
    <mergeCell ref="A4:N4"/>
    <mergeCell ref="A5:N5"/>
    <mergeCell ref="A6:N6"/>
    <mergeCell ref="A10:N10"/>
    <mergeCell ref="A12:A14"/>
    <mergeCell ref="B12:B14"/>
    <mergeCell ref="C12:C14"/>
    <mergeCell ref="D13:D14"/>
    <mergeCell ref="D12:F12"/>
    <mergeCell ref="G13:G14"/>
    <mergeCell ref="G12:I12"/>
    <mergeCell ref="J12:K12"/>
    <mergeCell ref="L13:L14"/>
    <mergeCell ref="L12:N12"/>
    <mergeCell ref="B17:N18"/>
    <mergeCell ref="X77:X78"/>
    <mergeCell ref="Y77:Y78"/>
    <mergeCell ref="B19:B20"/>
    <mergeCell ref="B38:B39"/>
    <mergeCell ref="B58:B59"/>
    <mergeCell ref="B77:F78"/>
    <mergeCell ref="G77:G78"/>
    <mergeCell ref="L77:L78"/>
    <mergeCell ref="Z77:Z78"/>
    <mergeCell ref="B79:E79"/>
    <mergeCell ref="B80:E80"/>
    <mergeCell ref="B81:E81"/>
    <mergeCell ref="B82:E82"/>
    <mergeCell ref="B83:E83"/>
    <mergeCell ref="T77:T78"/>
    <mergeCell ref="U77:U78"/>
    <mergeCell ref="V77:V78"/>
    <mergeCell ref="W77:W78"/>
    <mergeCell ref="B84:E84"/>
    <mergeCell ref="B85:E85"/>
    <mergeCell ref="B86:E86"/>
    <mergeCell ref="B87:E87"/>
    <mergeCell ref="B88:E88"/>
    <mergeCell ref="B89:E89"/>
    <mergeCell ref="B90:E90"/>
    <mergeCell ref="B91:E91"/>
    <mergeCell ref="B92:E92"/>
    <mergeCell ref="B93:E93"/>
    <mergeCell ref="B94:E94"/>
    <mergeCell ref="B95:E95"/>
    <mergeCell ref="X99:X100"/>
    <mergeCell ref="Y99:Y100"/>
    <mergeCell ref="B96:E96"/>
    <mergeCell ref="B97:E97"/>
    <mergeCell ref="B98:E98"/>
    <mergeCell ref="B99:F100"/>
    <mergeCell ref="G99:G100"/>
    <mergeCell ref="L99:L100"/>
    <mergeCell ref="Z99:Z100"/>
    <mergeCell ref="B101:E101"/>
    <mergeCell ref="B102:E102"/>
    <mergeCell ref="B103:E103"/>
    <mergeCell ref="B104:F104"/>
    <mergeCell ref="B105:F105"/>
    <mergeCell ref="T99:T100"/>
    <mergeCell ref="U99:U100"/>
    <mergeCell ref="V99:V100"/>
    <mergeCell ref="W99:W100"/>
    <mergeCell ref="B106:F106"/>
    <mergeCell ref="B107:E107"/>
    <mergeCell ref="B108:E108"/>
    <mergeCell ref="B109:E109"/>
    <mergeCell ref="B110:E110"/>
    <mergeCell ref="B111:E111"/>
    <mergeCell ref="B112:E112"/>
    <mergeCell ref="B113:E113"/>
    <mergeCell ref="B114:E114"/>
    <mergeCell ref="B115:E115"/>
    <mergeCell ref="B116:E116"/>
    <mergeCell ref="B117:E117"/>
    <mergeCell ref="B118:E118"/>
    <mergeCell ref="B119:E119"/>
    <mergeCell ref="B120:E120"/>
    <mergeCell ref="B121:E121"/>
    <mergeCell ref="B122:E122"/>
    <mergeCell ref="B123:E123"/>
    <mergeCell ref="B124:E124"/>
    <mergeCell ref="B125:E125"/>
    <mergeCell ref="B126:E126"/>
    <mergeCell ref="B127:E127"/>
    <mergeCell ref="B128:E128"/>
    <mergeCell ref="B129:E129"/>
    <mergeCell ref="B130:E130"/>
    <mergeCell ref="B131:E131"/>
    <mergeCell ref="B132:E132"/>
    <mergeCell ref="B133:E133"/>
    <mergeCell ref="B134:E134"/>
    <mergeCell ref="B135:E135"/>
    <mergeCell ref="B136:E136"/>
    <mergeCell ref="B137:E137"/>
    <mergeCell ref="B138:E138"/>
    <mergeCell ref="B139:E139"/>
    <mergeCell ref="B140:E140"/>
    <mergeCell ref="B141:E141"/>
    <mergeCell ref="B142:E142"/>
    <mergeCell ref="B143:E143"/>
    <mergeCell ref="B144:E144"/>
    <mergeCell ref="B145:E145"/>
    <mergeCell ref="B146:E146"/>
    <mergeCell ref="B147:E147"/>
    <mergeCell ref="B148:E148"/>
    <mergeCell ref="B149:E149"/>
    <mergeCell ref="B150:E150"/>
    <mergeCell ref="B151:E151"/>
    <mergeCell ref="B152:E152"/>
    <mergeCell ref="B153:E153"/>
    <mergeCell ref="B154:F154"/>
    <mergeCell ref="B155:E155"/>
    <mergeCell ref="B156:F156"/>
    <mergeCell ref="B157:F157"/>
    <mergeCell ref="B158:E158"/>
    <mergeCell ref="B159:E159"/>
    <mergeCell ref="B160:F160"/>
    <mergeCell ref="B161:F161"/>
    <mergeCell ref="B162:F162"/>
    <mergeCell ref="B163:F163"/>
    <mergeCell ref="B164:F164"/>
    <mergeCell ref="B165:F165"/>
    <mergeCell ref="X226:X227"/>
    <mergeCell ref="Y226:Y227"/>
    <mergeCell ref="B167:N168"/>
    <mergeCell ref="B169:B170"/>
    <mergeCell ref="B188:B189"/>
    <mergeCell ref="B208:B209"/>
    <mergeCell ref="B226:F227"/>
    <mergeCell ref="G226:G227"/>
    <mergeCell ref="L226:L227"/>
    <mergeCell ref="Z226:Z227"/>
    <mergeCell ref="B228:E228"/>
    <mergeCell ref="B229:E229"/>
    <mergeCell ref="B230:E230"/>
    <mergeCell ref="B231:E231"/>
    <mergeCell ref="B232:E232"/>
    <mergeCell ref="T226:T227"/>
    <mergeCell ref="U226:U227"/>
    <mergeCell ref="V226:V227"/>
    <mergeCell ref="W226:W227"/>
    <mergeCell ref="B233:E233"/>
    <mergeCell ref="B234:E234"/>
    <mergeCell ref="B235:E235"/>
    <mergeCell ref="B236:E236"/>
    <mergeCell ref="B237:E237"/>
    <mergeCell ref="B238:E238"/>
    <mergeCell ref="B239:E239"/>
    <mergeCell ref="B240:E240"/>
    <mergeCell ref="B241:E241"/>
    <mergeCell ref="B242:E242"/>
    <mergeCell ref="B243:E243"/>
    <mergeCell ref="B244:E244"/>
    <mergeCell ref="X248:X249"/>
    <mergeCell ref="Y248:Y249"/>
    <mergeCell ref="B245:E245"/>
    <mergeCell ref="B246:E246"/>
    <mergeCell ref="B247:E247"/>
    <mergeCell ref="B248:F249"/>
    <mergeCell ref="G248:G249"/>
    <mergeCell ref="L248:L249"/>
    <mergeCell ref="Z248:Z249"/>
    <mergeCell ref="B250:E250"/>
    <mergeCell ref="B251:F251"/>
    <mergeCell ref="B252:E252"/>
    <mergeCell ref="B253:F253"/>
    <mergeCell ref="B254:F254"/>
    <mergeCell ref="T248:T249"/>
    <mergeCell ref="U248:U249"/>
    <mergeCell ref="V248:V249"/>
    <mergeCell ref="W248:W249"/>
    <mergeCell ref="B255:F255"/>
    <mergeCell ref="B256:F257"/>
    <mergeCell ref="G256:G257"/>
    <mergeCell ref="L256:L257"/>
    <mergeCell ref="T256:T257"/>
    <mergeCell ref="U256:U257"/>
    <mergeCell ref="V256:V257"/>
    <mergeCell ref="W256:W257"/>
    <mergeCell ref="X256:X257"/>
    <mergeCell ref="Y256:Y257"/>
    <mergeCell ref="Z256:Z257"/>
    <mergeCell ref="B258:E258"/>
    <mergeCell ref="B259:F259"/>
    <mergeCell ref="B260:F260"/>
    <mergeCell ref="B261:F261"/>
    <mergeCell ref="B262:E262"/>
    <mergeCell ref="B263:E263"/>
    <mergeCell ref="B264:E264"/>
    <mergeCell ref="B265:E265"/>
    <mergeCell ref="B266:E266"/>
    <mergeCell ref="B267:E267"/>
    <mergeCell ref="B268:E268"/>
    <mergeCell ref="B269:E269"/>
    <mergeCell ref="B270:E270"/>
    <mergeCell ref="B271:E271"/>
    <mergeCell ref="B272:E272"/>
    <mergeCell ref="B273:E273"/>
    <mergeCell ref="B274:E274"/>
    <mergeCell ref="B275:E275"/>
    <mergeCell ref="B276:E276"/>
    <mergeCell ref="B277:E277"/>
    <mergeCell ref="B278:E278"/>
    <mergeCell ref="B279:E279"/>
    <mergeCell ref="B280:E280"/>
    <mergeCell ref="B281:E281"/>
    <mergeCell ref="B282:E282"/>
    <mergeCell ref="B283:E283"/>
    <mergeCell ref="B284:E284"/>
    <mergeCell ref="B285:E285"/>
    <mergeCell ref="B286:E286"/>
    <mergeCell ref="B287:E287"/>
    <mergeCell ref="B288:E288"/>
    <mergeCell ref="B289:E289"/>
    <mergeCell ref="B290:E290"/>
    <mergeCell ref="B291:E291"/>
    <mergeCell ref="B292:E292"/>
    <mergeCell ref="B293:E293"/>
    <mergeCell ref="B294:E294"/>
    <mergeCell ref="B295:E295"/>
    <mergeCell ref="B296:E296"/>
    <mergeCell ref="B297:E297"/>
    <mergeCell ref="B298:E298"/>
    <mergeCell ref="B299:E299"/>
    <mergeCell ref="B300:E300"/>
    <mergeCell ref="B301:E301"/>
    <mergeCell ref="B302:E302"/>
    <mergeCell ref="B303:E303"/>
    <mergeCell ref="B304:F304"/>
    <mergeCell ref="B305:E305"/>
    <mergeCell ref="B306:F306"/>
    <mergeCell ref="B307:F307"/>
    <mergeCell ref="B308:E308"/>
    <mergeCell ref="B309:E309"/>
    <mergeCell ref="B310:F310"/>
    <mergeCell ref="B311:F311"/>
    <mergeCell ref="B312:F312"/>
    <mergeCell ref="B313:F313"/>
    <mergeCell ref="B314:F314"/>
    <mergeCell ref="B315:F315"/>
    <mergeCell ref="B317:N318"/>
    <mergeCell ref="B319:B320"/>
    <mergeCell ref="B338:B339"/>
    <mergeCell ref="W435:W436"/>
    <mergeCell ref="X435:X436"/>
    <mergeCell ref="B358:B359"/>
    <mergeCell ref="B376:B377"/>
    <mergeCell ref="B395:B396"/>
    <mergeCell ref="B415:B416"/>
    <mergeCell ref="B435:F436"/>
    <mergeCell ref="G435:G436"/>
    <mergeCell ref="Y435:Y436"/>
    <mergeCell ref="Z435:Z436"/>
    <mergeCell ref="B437:E437"/>
    <mergeCell ref="B438:E438"/>
    <mergeCell ref="B439:E439"/>
    <mergeCell ref="B440:E440"/>
    <mergeCell ref="L435:L436"/>
    <mergeCell ref="T435:T436"/>
    <mergeCell ref="U435:U436"/>
    <mergeCell ref="V435:V436"/>
    <mergeCell ref="B441:E441"/>
    <mergeCell ref="B442:E442"/>
    <mergeCell ref="B443:E443"/>
    <mergeCell ref="B444:E444"/>
    <mergeCell ref="B445:E445"/>
    <mergeCell ref="B446:E446"/>
    <mergeCell ref="B447:E447"/>
    <mergeCell ref="B448:E448"/>
    <mergeCell ref="B449:E449"/>
    <mergeCell ref="B450:E450"/>
    <mergeCell ref="B451:E451"/>
    <mergeCell ref="B452:E452"/>
    <mergeCell ref="W457:W458"/>
    <mergeCell ref="X457:X458"/>
    <mergeCell ref="B453:E453"/>
    <mergeCell ref="B454:E454"/>
    <mergeCell ref="B455:E455"/>
    <mergeCell ref="B456:E456"/>
    <mergeCell ref="B457:F458"/>
    <mergeCell ref="G457:G458"/>
    <mergeCell ref="Y457:Y458"/>
    <mergeCell ref="Z457:Z458"/>
    <mergeCell ref="B459:E459"/>
    <mergeCell ref="B460:F460"/>
    <mergeCell ref="B461:E461"/>
    <mergeCell ref="B462:F462"/>
    <mergeCell ref="L457:L458"/>
    <mergeCell ref="T457:T458"/>
    <mergeCell ref="U457:U458"/>
    <mergeCell ref="V457:V458"/>
    <mergeCell ref="B463:F463"/>
    <mergeCell ref="B464:F464"/>
    <mergeCell ref="B465:F466"/>
    <mergeCell ref="G465:G466"/>
    <mergeCell ref="L465:L466"/>
    <mergeCell ref="T465:T466"/>
    <mergeCell ref="U465:U466"/>
    <mergeCell ref="V465:V466"/>
    <mergeCell ref="W465:W466"/>
    <mergeCell ref="X465:X466"/>
    <mergeCell ref="Y465:Y466"/>
    <mergeCell ref="Z465:Z466"/>
    <mergeCell ref="B467:E467"/>
    <mergeCell ref="B468:F468"/>
    <mergeCell ref="B469:F469"/>
    <mergeCell ref="B470:F470"/>
    <mergeCell ref="B471:E471"/>
    <mergeCell ref="B472:E472"/>
    <mergeCell ref="B473:E473"/>
    <mergeCell ref="B474:E474"/>
    <mergeCell ref="B475:E475"/>
    <mergeCell ref="B476:E476"/>
    <mergeCell ref="B477:E477"/>
    <mergeCell ref="B478:E478"/>
    <mergeCell ref="B479:E479"/>
    <mergeCell ref="B480:E480"/>
    <mergeCell ref="B481:E481"/>
    <mergeCell ref="B482:E482"/>
    <mergeCell ref="B483:E483"/>
    <mergeCell ref="B484:E484"/>
    <mergeCell ref="B485:E485"/>
    <mergeCell ref="B486:E486"/>
    <mergeCell ref="B487:E487"/>
    <mergeCell ref="B488:E488"/>
    <mergeCell ref="B489:E489"/>
    <mergeCell ref="B490:E490"/>
    <mergeCell ref="B491:E491"/>
    <mergeCell ref="B492:E492"/>
    <mergeCell ref="B493:E493"/>
    <mergeCell ref="B494:E494"/>
    <mergeCell ref="B495:E495"/>
    <mergeCell ref="B496:E496"/>
    <mergeCell ref="B497:E497"/>
    <mergeCell ref="B498:E498"/>
    <mergeCell ref="B499:E499"/>
    <mergeCell ref="B500:E500"/>
    <mergeCell ref="B501:E501"/>
    <mergeCell ref="B502:E502"/>
    <mergeCell ref="B503:E503"/>
    <mergeCell ref="B504:E504"/>
    <mergeCell ref="B505:E505"/>
    <mergeCell ref="B506:E506"/>
    <mergeCell ref="B507:E507"/>
    <mergeCell ref="B508:E508"/>
    <mergeCell ref="B509:E509"/>
    <mergeCell ref="B510:E510"/>
    <mergeCell ref="B511:E511"/>
    <mergeCell ref="B512:E512"/>
    <mergeCell ref="B513:F513"/>
    <mergeCell ref="B514:E514"/>
    <mergeCell ref="B515:F515"/>
    <mergeCell ref="B516:F516"/>
    <mergeCell ref="B517:E517"/>
    <mergeCell ref="B518:E518"/>
    <mergeCell ref="B519:F519"/>
    <mergeCell ref="B520:F520"/>
    <mergeCell ref="B521:F521"/>
    <mergeCell ref="B522:F522"/>
    <mergeCell ref="B523:F523"/>
    <mergeCell ref="B524:F524"/>
    <mergeCell ref="B526:N527"/>
    <mergeCell ref="B528:B529"/>
    <mergeCell ref="B547:B548"/>
    <mergeCell ref="B567:B568"/>
    <mergeCell ref="B587:F588"/>
    <mergeCell ref="G587:G588"/>
    <mergeCell ref="L587:L588"/>
    <mergeCell ref="T587:T588"/>
    <mergeCell ref="U587:U588"/>
    <mergeCell ref="V587:V588"/>
    <mergeCell ref="W587:W588"/>
    <mergeCell ref="X587:X588"/>
    <mergeCell ref="Y587:Y588"/>
    <mergeCell ref="Z587:Z588"/>
    <mergeCell ref="B589:E589"/>
    <mergeCell ref="B590:E590"/>
    <mergeCell ref="B591:E591"/>
    <mergeCell ref="B592:E592"/>
    <mergeCell ref="B593:E593"/>
    <mergeCell ref="B594:E594"/>
    <mergeCell ref="B595:E595"/>
    <mergeCell ref="B596:E596"/>
    <mergeCell ref="B597:E597"/>
    <mergeCell ref="B598:E598"/>
    <mergeCell ref="B599:E599"/>
    <mergeCell ref="B600:E600"/>
    <mergeCell ref="B601:E601"/>
    <mergeCell ref="B602:E602"/>
    <mergeCell ref="B603:E603"/>
    <mergeCell ref="B604:E604"/>
    <mergeCell ref="B605:E605"/>
    <mergeCell ref="B606:E606"/>
    <mergeCell ref="B607:E607"/>
    <mergeCell ref="B608:E608"/>
    <mergeCell ref="B609:F610"/>
    <mergeCell ref="G609:G610"/>
    <mergeCell ref="L609:L610"/>
    <mergeCell ref="T609:T610"/>
    <mergeCell ref="U609:U610"/>
    <mergeCell ref="V609:V610"/>
    <mergeCell ref="W609:W610"/>
    <mergeCell ref="X609:X610"/>
    <mergeCell ref="Y609:Y610"/>
    <mergeCell ref="Z609:Z610"/>
    <mergeCell ref="B611:E611"/>
    <mergeCell ref="B612:E612"/>
    <mergeCell ref="B613:E613"/>
    <mergeCell ref="B614:F614"/>
    <mergeCell ref="B615:F615"/>
    <mergeCell ref="B616:F616"/>
    <mergeCell ref="B617:E617"/>
    <mergeCell ref="B618:E618"/>
    <mergeCell ref="B619:E619"/>
    <mergeCell ref="B620:E620"/>
    <mergeCell ref="B621:E621"/>
    <mergeCell ref="B622:E622"/>
    <mergeCell ref="B623:E623"/>
    <mergeCell ref="B624:E624"/>
    <mergeCell ref="B625:E625"/>
    <mergeCell ref="B626:E626"/>
    <mergeCell ref="B627:E627"/>
    <mergeCell ref="B628:E628"/>
    <mergeCell ref="B629:E629"/>
    <mergeCell ref="B630:E630"/>
    <mergeCell ref="B631:E631"/>
    <mergeCell ref="B632:E632"/>
    <mergeCell ref="B633:E633"/>
    <mergeCell ref="B634:E634"/>
    <mergeCell ref="B635:E635"/>
    <mergeCell ref="B636:E636"/>
    <mergeCell ref="B637:E637"/>
    <mergeCell ref="B638:E638"/>
    <mergeCell ref="B639:E639"/>
    <mergeCell ref="B640:E640"/>
    <mergeCell ref="B641:E641"/>
    <mergeCell ref="B642:E642"/>
    <mergeCell ref="B643:E643"/>
    <mergeCell ref="B644:E644"/>
    <mergeCell ref="B645:E645"/>
    <mergeCell ref="B646:E646"/>
    <mergeCell ref="B647:E647"/>
    <mergeCell ref="B648:E648"/>
    <mergeCell ref="B649:E649"/>
    <mergeCell ref="B650:E650"/>
    <mergeCell ref="B651:E651"/>
    <mergeCell ref="B652:E652"/>
    <mergeCell ref="B653:E653"/>
    <mergeCell ref="B654:E654"/>
    <mergeCell ref="B655:E655"/>
    <mergeCell ref="B656:E656"/>
    <mergeCell ref="B657:E657"/>
    <mergeCell ref="B658:E658"/>
    <mergeCell ref="B659:E659"/>
    <mergeCell ref="B660:E660"/>
    <mergeCell ref="B661:E661"/>
    <mergeCell ref="B662:E662"/>
    <mergeCell ref="B663:E663"/>
    <mergeCell ref="B664:F664"/>
    <mergeCell ref="B665:E665"/>
    <mergeCell ref="B666:F666"/>
    <mergeCell ref="B667:F667"/>
    <mergeCell ref="B668:E668"/>
    <mergeCell ref="B669:E669"/>
    <mergeCell ref="B670:F670"/>
    <mergeCell ref="V677:V678"/>
    <mergeCell ref="W677:W678"/>
    <mergeCell ref="B671:F671"/>
    <mergeCell ref="B672:F672"/>
    <mergeCell ref="B673:F673"/>
    <mergeCell ref="B674:F674"/>
    <mergeCell ref="B675:F675"/>
    <mergeCell ref="B677:F678"/>
    <mergeCell ref="X677:X678"/>
    <mergeCell ref="Y677:Y678"/>
    <mergeCell ref="Z677:Z678"/>
    <mergeCell ref="B679:E679"/>
    <mergeCell ref="B680:E680"/>
    <mergeCell ref="B681:E681"/>
    <mergeCell ref="G677:G678"/>
    <mergeCell ref="L677:L678"/>
    <mergeCell ref="T677:T678"/>
    <mergeCell ref="U677:U678"/>
    <mergeCell ref="B682:E682"/>
    <mergeCell ref="B683:E683"/>
    <mergeCell ref="B684:E684"/>
    <mergeCell ref="B685:E685"/>
    <mergeCell ref="B686:E686"/>
    <mergeCell ref="B687:E687"/>
    <mergeCell ref="B688:E688"/>
    <mergeCell ref="B689:E689"/>
    <mergeCell ref="B690:E690"/>
    <mergeCell ref="B691:E691"/>
    <mergeCell ref="B692:E692"/>
    <mergeCell ref="B693:E693"/>
    <mergeCell ref="V699:V700"/>
    <mergeCell ref="W699:W700"/>
    <mergeCell ref="B694:E694"/>
    <mergeCell ref="B695:E695"/>
    <mergeCell ref="B696:E696"/>
    <mergeCell ref="B697:E697"/>
    <mergeCell ref="B698:E698"/>
    <mergeCell ref="B699:F700"/>
    <mergeCell ref="X699:X700"/>
    <mergeCell ref="Y699:Y700"/>
    <mergeCell ref="Z699:Z700"/>
    <mergeCell ref="B701:E701"/>
    <mergeCell ref="B702:F702"/>
    <mergeCell ref="B703:E703"/>
    <mergeCell ref="G699:G700"/>
    <mergeCell ref="L699:L700"/>
    <mergeCell ref="T699:T700"/>
    <mergeCell ref="U699:U700"/>
    <mergeCell ref="X707:X708"/>
    <mergeCell ref="Y707:Y708"/>
    <mergeCell ref="B704:F704"/>
    <mergeCell ref="B705:F705"/>
    <mergeCell ref="B706:F706"/>
    <mergeCell ref="B707:F708"/>
    <mergeCell ref="G707:G708"/>
    <mergeCell ref="L707:L708"/>
    <mergeCell ref="Z707:Z708"/>
    <mergeCell ref="B709:E709"/>
    <mergeCell ref="B710:F710"/>
    <mergeCell ref="B711:F711"/>
    <mergeCell ref="B712:F712"/>
    <mergeCell ref="B713:E713"/>
    <mergeCell ref="T707:T708"/>
    <mergeCell ref="U707:U708"/>
    <mergeCell ref="V707:V708"/>
    <mergeCell ref="W707:W708"/>
    <mergeCell ref="B714:E714"/>
    <mergeCell ref="B715:E715"/>
    <mergeCell ref="B716:E716"/>
    <mergeCell ref="B717:E717"/>
    <mergeCell ref="B718:E718"/>
    <mergeCell ref="B719:E719"/>
    <mergeCell ref="B720:E720"/>
    <mergeCell ref="B721:E721"/>
    <mergeCell ref="B722:E722"/>
    <mergeCell ref="B723:E723"/>
    <mergeCell ref="B724:E724"/>
    <mergeCell ref="B725:E725"/>
    <mergeCell ref="B726:E726"/>
    <mergeCell ref="B727:E727"/>
    <mergeCell ref="B728:E728"/>
    <mergeCell ref="B729:E729"/>
    <mergeCell ref="B730:E730"/>
    <mergeCell ref="B731:E731"/>
    <mergeCell ref="B732:E732"/>
    <mergeCell ref="B733:E733"/>
    <mergeCell ref="B734:E734"/>
    <mergeCell ref="B735:E735"/>
    <mergeCell ref="B736:E736"/>
    <mergeCell ref="B737:E737"/>
    <mergeCell ref="B748:E748"/>
    <mergeCell ref="B749:E749"/>
    <mergeCell ref="B738:E738"/>
    <mergeCell ref="B739:E739"/>
    <mergeCell ref="B740:E740"/>
    <mergeCell ref="B741:E741"/>
    <mergeCell ref="B742:E742"/>
    <mergeCell ref="B743:E743"/>
    <mergeCell ref="B759:E759"/>
    <mergeCell ref="B760:E760"/>
    <mergeCell ref="B761:F761"/>
    <mergeCell ref="B750:E750"/>
    <mergeCell ref="B751:E751"/>
    <mergeCell ref="B752:E752"/>
    <mergeCell ref="B753:E753"/>
    <mergeCell ref="B754:E754"/>
    <mergeCell ref="B755:F755"/>
    <mergeCell ref="L7:M7"/>
    <mergeCell ref="L8:M8"/>
    <mergeCell ref="L9:M9"/>
    <mergeCell ref="B756:E756"/>
    <mergeCell ref="B757:F757"/>
    <mergeCell ref="B758:F758"/>
    <mergeCell ref="B744:E744"/>
    <mergeCell ref="B745:E745"/>
    <mergeCell ref="B746:E746"/>
    <mergeCell ref="B747:E747"/>
    <mergeCell ref="C770:N770"/>
    <mergeCell ref="C771:P771"/>
    <mergeCell ref="C773:N773"/>
    <mergeCell ref="C774:P774"/>
    <mergeCell ref="B762:F762"/>
    <mergeCell ref="B763:F763"/>
    <mergeCell ref="B764:F764"/>
    <mergeCell ref="B765:F765"/>
    <mergeCell ref="B766:F766"/>
  </mergeCells>
  <pageMargins left="0.39370078740157477" right="0.39370078740157477" top="0.78740157480314954" bottom="0.39370078740157477" header="0.78740157480314954" footer="0.39370078740157477"/>
  <pageSetup paperSize="9" orientation="landscape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32"/>
  <sheetViews>
    <sheetView workbookViewId="0"/>
  </sheetViews>
  <sheetFormatPr defaultRowHeight="10.5"/>
  <cols>
    <col min="1" max="1" width="5.7109375" style="26" customWidth="1"/>
    <col min="2" max="16384" width="9.140625" style="25"/>
  </cols>
  <sheetData>
    <row r="1" spans="1:37" s="27" customFormat="1">
      <c r="A1" s="7"/>
      <c r="B1" s="27" t="s">
        <v>162</v>
      </c>
      <c r="C1" s="27" t="s">
        <v>163</v>
      </c>
      <c r="D1" s="27" t="s">
        <v>164</v>
      </c>
      <c r="E1" s="27" t="s">
        <v>165</v>
      </c>
      <c r="F1" s="27" t="s">
        <v>166</v>
      </c>
      <c r="G1" s="27" t="s">
        <v>167</v>
      </c>
      <c r="H1" s="27" t="s">
        <v>168</v>
      </c>
      <c r="I1" s="27" t="s">
        <v>169</v>
      </c>
      <c r="J1" s="27" t="s">
        <v>170</v>
      </c>
      <c r="K1" s="27" t="s">
        <v>171</v>
      </c>
      <c r="L1" s="27" t="s">
        <v>172</v>
      </c>
      <c r="M1" s="27" t="s">
        <v>173</v>
      </c>
      <c r="N1" s="27" t="s">
        <v>174</v>
      </c>
      <c r="O1" s="27" t="s">
        <v>175</v>
      </c>
      <c r="P1" s="27" t="s">
        <v>176</v>
      </c>
      <c r="Q1" s="27" t="s">
        <v>177</v>
      </c>
      <c r="R1" s="27" t="s">
        <v>178</v>
      </c>
      <c r="S1" s="27" t="s">
        <v>179</v>
      </c>
      <c r="T1" s="27" t="s">
        <v>180</v>
      </c>
      <c r="U1" s="27" t="s">
        <v>181</v>
      </c>
      <c r="V1" s="27" t="s">
        <v>182</v>
      </c>
      <c r="X1" s="27" t="s">
        <v>183</v>
      </c>
      <c r="Y1" s="27" t="s">
        <v>184</v>
      </c>
      <c r="Z1" s="27" t="s">
        <v>185</v>
      </c>
      <c r="AA1" s="27" t="s">
        <v>186</v>
      </c>
      <c r="AB1" s="27" t="s">
        <v>187</v>
      </c>
      <c r="AC1" s="27" t="s">
        <v>188</v>
      </c>
      <c r="AD1" s="27" t="s">
        <v>189</v>
      </c>
      <c r="AE1" s="27" t="s">
        <v>190</v>
      </c>
      <c r="AF1" s="27" t="s">
        <v>191</v>
      </c>
      <c r="AG1" s="27" t="s">
        <v>192</v>
      </c>
      <c r="AH1" s="27" t="s">
        <v>193</v>
      </c>
      <c r="AI1" s="27" t="s">
        <v>194</v>
      </c>
      <c r="AJ1" s="27" t="s">
        <v>195</v>
      </c>
      <c r="AK1" s="27" t="s">
        <v>196</v>
      </c>
    </row>
    <row r="2" spans="1:37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37">
      <c r="A3" s="28"/>
      <c r="B3" s="62" t="s">
        <v>197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1:37">
      <c r="A4" s="28"/>
      <c r="B4" s="62" t="s">
        <v>198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</row>
    <row r="5" spans="1:37">
      <c r="A5" s="60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</row>
    <row r="7" spans="1:37">
      <c r="B7" s="49" t="s">
        <v>26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37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37">
      <c r="A9" s="25" t="str">
        <f>'Форма 4т'!A19</f>
        <v>1.</v>
      </c>
      <c r="B9" s="25">
        <f>ROUND(C9+D9+F9+AF9+AG9,2)</f>
        <v>202.05</v>
      </c>
      <c r="C9" s="25">
        <v>177.13</v>
      </c>
      <c r="D9" s="25">
        <v>24.92</v>
      </c>
      <c r="E9" s="25">
        <v>3.78</v>
      </c>
      <c r="F9" s="25">
        <v>0</v>
      </c>
      <c r="G9" s="25">
        <v>0</v>
      </c>
      <c r="H9" s="25">
        <v>0</v>
      </c>
      <c r="I9" s="26">
        <v>22.68</v>
      </c>
      <c r="J9" s="26">
        <v>0</v>
      </c>
      <c r="K9" s="26">
        <v>0.28999999999999998</v>
      </c>
      <c r="L9" s="25">
        <v>0</v>
      </c>
      <c r="M9" s="25">
        <v>0</v>
      </c>
      <c r="N9" s="25">
        <v>150.15530000000001</v>
      </c>
      <c r="O9" s="25">
        <v>117.5915</v>
      </c>
      <c r="P9" s="25">
        <v>147.0179</v>
      </c>
      <c r="Q9" s="25">
        <v>3.1374</v>
      </c>
      <c r="R9" s="25">
        <v>115.1345</v>
      </c>
      <c r="S9" s="25">
        <v>2.4569999999999999</v>
      </c>
      <c r="T9" s="25">
        <v>0</v>
      </c>
      <c r="U9" s="25">
        <v>0</v>
      </c>
      <c r="V9" s="25">
        <v>0</v>
      </c>
      <c r="X9" s="25">
        <v>0</v>
      </c>
      <c r="Y9" s="25">
        <v>0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H9" s="25">
        <v>0</v>
      </c>
      <c r="AI9" s="25">
        <v>0</v>
      </c>
      <c r="AJ9" s="25">
        <v>0</v>
      </c>
      <c r="AK9" s="25">
        <v>0</v>
      </c>
    </row>
    <row r="10" spans="1:37">
      <c r="A10" s="25" t="str">
        <f>'Форма 4т'!A38</f>
        <v>2.</v>
      </c>
      <c r="B10" s="25">
        <f>ROUND(C10+D10+F10+AF10+AG10,2)</f>
        <v>3057.9</v>
      </c>
      <c r="C10" s="25">
        <v>229.39</v>
      </c>
      <c r="D10" s="25">
        <v>99.01</v>
      </c>
      <c r="E10" s="25">
        <v>7.49</v>
      </c>
      <c r="F10" s="25">
        <v>2729.5</v>
      </c>
      <c r="G10" s="25">
        <v>0</v>
      </c>
      <c r="H10" s="25">
        <v>0</v>
      </c>
      <c r="I10" s="26">
        <v>26.829499999999999</v>
      </c>
      <c r="J10" s="26">
        <v>0</v>
      </c>
      <c r="K10" s="26">
        <v>0.57499999999999996</v>
      </c>
      <c r="L10" s="25">
        <v>0</v>
      </c>
      <c r="M10" s="25">
        <v>0</v>
      </c>
      <c r="N10" s="25">
        <v>251.09280000000001</v>
      </c>
      <c r="O10" s="25">
        <v>127.9152</v>
      </c>
      <c r="P10" s="25">
        <v>243.1534</v>
      </c>
      <c r="Q10" s="25">
        <v>7.9394</v>
      </c>
      <c r="R10" s="25">
        <v>123.8706</v>
      </c>
      <c r="S10" s="25">
        <v>4.0446</v>
      </c>
      <c r="T10" s="25">
        <v>0</v>
      </c>
      <c r="U10" s="25">
        <v>0</v>
      </c>
      <c r="V10" s="25">
        <v>0</v>
      </c>
      <c r="X10" s="25">
        <v>0</v>
      </c>
      <c r="Y10" s="25">
        <v>0</v>
      </c>
      <c r="Z10" s="25">
        <v>0</v>
      </c>
      <c r="AA10" s="25">
        <v>0</v>
      </c>
      <c r="AB10" s="25">
        <v>0</v>
      </c>
      <c r="AC10" s="25">
        <v>0</v>
      </c>
      <c r="AD10" s="25">
        <v>0</v>
      </c>
      <c r="AE10" s="25">
        <v>0</v>
      </c>
      <c r="AH10" s="25">
        <v>0</v>
      </c>
      <c r="AI10" s="25">
        <v>0</v>
      </c>
      <c r="AJ10" s="25">
        <v>0</v>
      </c>
      <c r="AK10" s="25">
        <v>0</v>
      </c>
    </row>
    <row r="11" spans="1:37">
      <c r="A11" s="25" t="str">
        <f>'Форма 4т'!A58</f>
        <v>3.</v>
      </c>
      <c r="B11" s="25">
        <f>ROUND(C11+D11+F11+AF11+AG11,2)</f>
        <v>7016.26</v>
      </c>
      <c r="C11" s="25">
        <v>407.08</v>
      </c>
      <c r="D11" s="25">
        <v>29.15</v>
      </c>
      <c r="E11" s="25">
        <v>1.95</v>
      </c>
      <c r="F11" s="25">
        <v>6580.03</v>
      </c>
      <c r="G11" s="25">
        <v>0</v>
      </c>
      <c r="H11" s="25">
        <v>0</v>
      </c>
      <c r="I11" s="26">
        <v>46.47</v>
      </c>
      <c r="J11" s="26">
        <v>0</v>
      </c>
      <c r="K11" s="26">
        <v>0.15</v>
      </c>
      <c r="L11" s="25">
        <v>0</v>
      </c>
      <c r="M11" s="25">
        <v>0</v>
      </c>
      <c r="N11" s="25">
        <v>339.49489999999997</v>
      </c>
      <c r="O11" s="25">
        <v>265.86950000000002</v>
      </c>
      <c r="P11" s="25">
        <v>337.87639999999999</v>
      </c>
      <c r="Q11" s="25">
        <v>1.6185</v>
      </c>
      <c r="R11" s="25">
        <v>264.60199999999998</v>
      </c>
      <c r="S11" s="25">
        <v>1.2675000000000001</v>
      </c>
      <c r="T11" s="25">
        <v>0</v>
      </c>
      <c r="U11" s="25">
        <v>0</v>
      </c>
      <c r="V11" s="25">
        <v>0</v>
      </c>
      <c r="X11" s="25">
        <v>0</v>
      </c>
      <c r="Y11" s="25">
        <v>0</v>
      </c>
      <c r="Z11" s="25">
        <v>0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H11" s="25">
        <v>0</v>
      </c>
      <c r="AI11" s="25">
        <v>0</v>
      </c>
      <c r="AJ11" s="25">
        <v>0</v>
      </c>
      <c r="AK11" s="25">
        <v>0</v>
      </c>
    </row>
    <row r="13" spans="1:37">
      <c r="B13" s="49" t="s">
        <v>114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</row>
    <row r="14" spans="1:37"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37">
      <c r="A15" s="25" t="str">
        <f>'Форма 4т'!A169</f>
        <v>4.</v>
      </c>
      <c r="B15" s="25">
        <f>ROUND(C15+D15+F15+AF15+AG15,2)</f>
        <v>77.13</v>
      </c>
      <c r="C15" s="25">
        <v>64.61</v>
      </c>
      <c r="D15" s="25">
        <v>12.52</v>
      </c>
      <c r="E15" s="25">
        <v>0</v>
      </c>
      <c r="F15" s="25">
        <v>0</v>
      </c>
      <c r="G15" s="25">
        <v>0</v>
      </c>
      <c r="H15" s="25">
        <v>0</v>
      </c>
      <c r="I15" s="26">
        <v>8.58</v>
      </c>
      <c r="J15" s="26">
        <v>0</v>
      </c>
      <c r="K15" s="26">
        <v>0</v>
      </c>
      <c r="L15" s="25">
        <v>0</v>
      </c>
      <c r="M15" s="25">
        <v>0</v>
      </c>
      <c r="N15" s="25">
        <v>63.963900000000002</v>
      </c>
      <c r="O15" s="25">
        <v>38.765999999999998</v>
      </c>
      <c r="P15" s="25">
        <v>63.963900000000002</v>
      </c>
      <c r="Q15" s="25">
        <v>0</v>
      </c>
      <c r="R15" s="25">
        <v>38.765999999999998</v>
      </c>
      <c r="S15" s="25">
        <v>0</v>
      </c>
      <c r="T15" s="25">
        <v>0</v>
      </c>
      <c r="U15" s="25">
        <v>0</v>
      </c>
      <c r="V15" s="25">
        <v>0</v>
      </c>
      <c r="X15" s="25">
        <v>0</v>
      </c>
      <c r="Y15" s="25">
        <v>0</v>
      </c>
      <c r="Z15" s="25">
        <v>0</v>
      </c>
      <c r="AA15" s="25">
        <v>0</v>
      </c>
      <c r="AB15" s="25">
        <v>0</v>
      </c>
      <c r="AC15" s="25">
        <v>0</v>
      </c>
      <c r="AD15" s="25">
        <v>0</v>
      </c>
      <c r="AE15" s="25">
        <v>0</v>
      </c>
      <c r="AH15" s="25">
        <v>0</v>
      </c>
      <c r="AI15" s="25">
        <v>0</v>
      </c>
      <c r="AJ15" s="25">
        <v>0</v>
      </c>
      <c r="AK15" s="25">
        <v>0</v>
      </c>
    </row>
    <row r="16" spans="1:37">
      <c r="A16" s="25" t="str">
        <f>'Форма 4т'!A188</f>
        <v>5.</v>
      </c>
      <c r="B16" s="25">
        <f>ROUND(C16+D16+F16+AF16+AG16,2)</f>
        <v>1095.05</v>
      </c>
      <c r="C16" s="25">
        <v>344.56</v>
      </c>
      <c r="D16" s="25">
        <v>592.51</v>
      </c>
      <c r="E16" s="25">
        <v>45.19</v>
      </c>
      <c r="F16" s="25">
        <v>157.97999999999999</v>
      </c>
      <c r="G16" s="25">
        <v>0</v>
      </c>
      <c r="H16" s="25">
        <v>0</v>
      </c>
      <c r="I16" s="26">
        <v>40.825000000000003</v>
      </c>
      <c r="J16" s="26">
        <v>0</v>
      </c>
      <c r="K16" s="26">
        <v>3.2625000000000002</v>
      </c>
      <c r="L16" s="25">
        <v>0</v>
      </c>
      <c r="M16" s="25">
        <v>0</v>
      </c>
      <c r="N16" s="25">
        <v>315.69749999999999</v>
      </c>
      <c r="O16" s="25">
        <v>280.62</v>
      </c>
      <c r="P16" s="25">
        <v>279.09359999999998</v>
      </c>
      <c r="Q16" s="25">
        <v>36.603900000000003</v>
      </c>
      <c r="R16" s="25">
        <v>248.08320000000001</v>
      </c>
      <c r="S16" s="25">
        <v>32.536799999999999</v>
      </c>
      <c r="T16" s="25">
        <v>0</v>
      </c>
      <c r="U16" s="25">
        <v>0</v>
      </c>
      <c r="V16" s="25">
        <v>0</v>
      </c>
      <c r="X16" s="25">
        <v>0</v>
      </c>
      <c r="Y16" s="25">
        <v>0</v>
      </c>
      <c r="Z16" s="25">
        <v>0</v>
      </c>
      <c r="AA16" s="25">
        <v>0</v>
      </c>
      <c r="AB16" s="25">
        <v>0</v>
      </c>
      <c r="AC16" s="25">
        <v>0</v>
      </c>
      <c r="AD16" s="25">
        <v>0</v>
      </c>
      <c r="AE16" s="25">
        <v>0</v>
      </c>
      <c r="AH16" s="25">
        <v>0</v>
      </c>
      <c r="AI16" s="25">
        <v>0</v>
      </c>
      <c r="AJ16" s="25">
        <v>0</v>
      </c>
      <c r="AK16" s="25">
        <v>0</v>
      </c>
    </row>
    <row r="17" spans="1:37">
      <c r="A17" s="25" t="str">
        <f>'Форма 4т'!A208</f>
        <v>6.</v>
      </c>
      <c r="B17" s="25">
        <f>ROUND(C17+D17+F17+AF17+AG17,2)</f>
        <v>10945.3</v>
      </c>
      <c r="C17" s="25">
        <v>0</v>
      </c>
      <c r="D17" s="25">
        <v>0</v>
      </c>
      <c r="E17" s="25">
        <v>0</v>
      </c>
      <c r="F17" s="25">
        <v>10945.3</v>
      </c>
      <c r="G17" s="25">
        <v>9950.27</v>
      </c>
      <c r="H17" s="25">
        <v>0</v>
      </c>
      <c r="I17" s="26">
        <v>0</v>
      </c>
      <c r="J17" s="26">
        <v>0</v>
      </c>
      <c r="K17" s="26">
        <v>0</v>
      </c>
      <c r="L17" s="25">
        <v>1000</v>
      </c>
      <c r="M17" s="25">
        <v>0</v>
      </c>
      <c r="N17" s="25">
        <v>0</v>
      </c>
      <c r="O17" s="25">
        <v>0</v>
      </c>
      <c r="P17" s="25">
        <v>0</v>
      </c>
      <c r="Q17" s="25">
        <v>0</v>
      </c>
      <c r="R17" s="25">
        <v>0</v>
      </c>
      <c r="S17" s="25">
        <v>0</v>
      </c>
      <c r="T17" s="25">
        <v>0</v>
      </c>
      <c r="U17" s="25">
        <v>0</v>
      </c>
      <c r="V17" s="25">
        <v>0</v>
      </c>
      <c r="X17" s="25">
        <v>0</v>
      </c>
      <c r="Y17" s="25">
        <v>0</v>
      </c>
      <c r="Z17" s="25">
        <v>0</v>
      </c>
      <c r="AA17" s="25">
        <v>0</v>
      </c>
      <c r="AB17" s="25">
        <v>0</v>
      </c>
      <c r="AC17" s="25">
        <v>0</v>
      </c>
      <c r="AD17" s="25">
        <v>0</v>
      </c>
      <c r="AE17" s="25">
        <v>0</v>
      </c>
      <c r="AH17" s="25">
        <v>0</v>
      </c>
      <c r="AI17" s="25">
        <v>0</v>
      </c>
      <c r="AJ17" s="25">
        <v>0</v>
      </c>
      <c r="AK17" s="25">
        <v>0</v>
      </c>
    </row>
    <row r="19" spans="1:37">
      <c r="B19" s="49" t="s">
        <v>127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</row>
    <row r="20" spans="1:37"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</row>
    <row r="21" spans="1:37">
      <c r="A21" s="25" t="str">
        <f>'Форма 4т'!A319</f>
        <v>7.</v>
      </c>
      <c r="B21" s="25">
        <f t="shared" ref="B21:B26" si="0">ROUND(C21+D21+F21+AF21+AG21,2)</f>
        <v>77.13</v>
      </c>
      <c r="C21" s="25">
        <v>64.61</v>
      </c>
      <c r="D21" s="25">
        <v>12.52</v>
      </c>
      <c r="E21" s="25">
        <v>0</v>
      </c>
      <c r="F21" s="25">
        <v>0</v>
      </c>
      <c r="G21" s="25">
        <v>0</v>
      </c>
      <c r="H21" s="25">
        <v>0</v>
      </c>
      <c r="I21" s="26">
        <v>8.58</v>
      </c>
      <c r="J21" s="26">
        <v>0</v>
      </c>
      <c r="K21" s="26">
        <v>0</v>
      </c>
      <c r="L21" s="25">
        <v>0</v>
      </c>
      <c r="M21" s="25">
        <v>0</v>
      </c>
      <c r="N21" s="25">
        <v>63.963900000000002</v>
      </c>
      <c r="O21" s="25">
        <v>38.765999999999998</v>
      </c>
      <c r="P21" s="25">
        <v>63.963900000000002</v>
      </c>
      <c r="Q21" s="25">
        <v>0</v>
      </c>
      <c r="R21" s="25">
        <v>38.765999999999998</v>
      </c>
      <c r="S21" s="25">
        <v>0</v>
      </c>
      <c r="T21" s="25">
        <v>0</v>
      </c>
      <c r="U21" s="25">
        <v>0</v>
      </c>
      <c r="V21" s="25">
        <v>0</v>
      </c>
      <c r="X21" s="25">
        <v>0</v>
      </c>
      <c r="Y21" s="25">
        <v>0</v>
      </c>
      <c r="Z21" s="25">
        <v>0</v>
      </c>
      <c r="AA21" s="25">
        <v>0</v>
      </c>
      <c r="AB21" s="25">
        <v>0</v>
      </c>
      <c r="AC21" s="25">
        <v>0</v>
      </c>
      <c r="AD21" s="25">
        <v>0</v>
      </c>
      <c r="AE21" s="25">
        <v>0</v>
      </c>
      <c r="AH21" s="25">
        <v>0</v>
      </c>
      <c r="AI21" s="25">
        <v>0</v>
      </c>
      <c r="AJ21" s="25">
        <v>0</v>
      </c>
      <c r="AK21" s="25">
        <v>0</v>
      </c>
    </row>
    <row r="22" spans="1:37">
      <c r="A22" s="25" t="str">
        <f>'Форма 4т'!A338</f>
        <v>8.</v>
      </c>
      <c r="B22" s="25">
        <f t="shared" si="0"/>
        <v>1095.05</v>
      </c>
      <c r="C22" s="25">
        <v>344.56</v>
      </c>
      <c r="D22" s="25">
        <v>592.51</v>
      </c>
      <c r="E22" s="25">
        <v>45.19</v>
      </c>
      <c r="F22" s="25">
        <v>157.97999999999999</v>
      </c>
      <c r="G22" s="25">
        <v>0</v>
      </c>
      <c r="H22" s="25">
        <v>0</v>
      </c>
      <c r="I22" s="26">
        <v>40.825000000000003</v>
      </c>
      <c r="J22" s="26">
        <v>0</v>
      </c>
      <c r="K22" s="26">
        <v>3.2625000000000002</v>
      </c>
      <c r="L22" s="25">
        <v>0</v>
      </c>
      <c r="M22" s="25">
        <v>0</v>
      </c>
      <c r="N22" s="25">
        <v>315.69749999999999</v>
      </c>
      <c r="O22" s="25">
        <v>280.62</v>
      </c>
      <c r="P22" s="25">
        <v>279.09359999999998</v>
      </c>
      <c r="Q22" s="25">
        <v>36.603900000000003</v>
      </c>
      <c r="R22" s="25">
        <v>248.08320000000001</v>
      </c>
      <c r="S22" s="25">
        <v>32.536799999999999</v>
      </c>
      <c r="T22" s="25">
        <v>0</v>
      </c>
      <c r="U22" s="25">
        <v>0</v>
      </c>
      <c r="V22" s="25">
        <v>0</v>
      </c>
      <c r="X22" s="25">
        <v>0</v>
      </c>
      <c r="Y22" s="25">
        <v>0</v>
      </c>
      <c r="Z22" s="25">
        <v>0</v>
      </c>
      <c r="AA22" s="25">
        <v>0</v>
      </c>
      <c r="AB22" s="25">
        <v>0</v>
      </c>
      <c r="AC22" s="25">
        <v>0</v>
      </c>
      <c r="AD22" s="25">
        <v>0</v>
      </c>
      <c r="AE22" s="25">
        <v>0</v>
      </c>
      <c r="AH22" s="25">
        <v>0</v>
      </c>
      <c r="AI22" s="25">
        <v>0</v>
      </c>
      <c r="AJ22" s="25">
        <v>0</v>
      </c>
      <c r="AK22" s="25">
        <v>0</v>
      </c>
    </row>
    <row r="23" spans="1:37">
      <c r="A23" s="25" t="str">
        <f>'Форма 4т'!A358</f>
        <v>9.</v>
      </c>
      <c r="B23" s="25">
        <f t="shared" si="0"/>
        <v>10945.3</v>
      </c>
      <c r="C23" s="25">
        <v>0</v>
      </c>
      <c r="D23" s="25">
        <v>0</v>
      </c>
      <c r="E23" s="25">
        <v>0</v>
      </c>
      <c r="F23" s="25">
        <v>10945.3</v>
      </c>
      <c r="G23" s="25">
        <v>9950.27</v>
      </c>
      <c r="H23" s="25">
        <v>0</v>
      </c>
      <c r="I23" s="26">
        <v>0</v>
      </c>
      <c r="J23" s="26">
        <v>0</v>
      </c>
      <c r="K23" s="26">
        <v>0</v>
      </c>
      <c r="L23" s="25">
        <v>1000</v>
      </c>
      <c r="M23" s="25">
        <v>0</v>
      </c>
      <c r="N23" s="25">
        <v>0</v>
      </c>
      <c r="O23" s="25">
        <v>0</v>
      </c>
      <c r="P23" s="25">
        <v>0</v>
      </c>
      <c r="Q23" s="25">
        <v>0</v>
      </c>
      <c r="R23" s="25">
        <v>0</v>
      </c>
      <c r="S23" s="25">
        <v>0</v>
      </c>
      <c r="T23" s="25">
        <v>0</v>
      </c>
      <c r="U23" s="25">
        <v>0</v>
      </c>
      <c r="V23" s="25">
        <v>0</v>
      </c>
      <c r="X23" s="25">
        <v>0</v>
      </c>
      <c r="Y23" s="25">
        <v>0</v>
      </c>
      <c r="Z23" s="25">
        <v>0</v>
      </c>
      <c r="AA23" s="25">
        <v>0</v>
      </c>
      <c r="AB23" s="25">
        <v>0</v>
      </c>
      <c r="AC23" s="25">
        <v>0</v>
      </c>
      <c r="AD23" s="25">
        <v>0</v>
      </c>
      <c r="AE23" s="25">
        <v>0</v>
      </c>
      <c r="AH23" s="25">
        <v>0</v>
      </c>
      <c r="AI23" s="25">
        <v>0</v>
      </c>
      <c r="AJ23" s="25">
        <v>0</v>
      </c>
      <c r="AK23" s="25">
        <v>0</v>
      </c>
    </row>
    <row r="24" spans="1:37">
      <c r="A24" s="25" t="str">
        <f>'Форма 4т'!A376</f>
        <v>10.</v>
      </c>
      <c r="B24" s="25">
        <f t="shared" si="0"/>
        <v>6805.82</v>
      </c>
      <c r="C24" s="25">
        <v>1192.01</v>
      </c>
      <c r="D24" s="25">
        <v>8.59</v>
      </c>
      <c r="E24" s="25">
        <v>1.69</v>
      </c>
      <c r="F24" s="25">
        <v>5605.22</v>
      </c>
      <c r="G24" s="25">
        <v>0</v>
      </c>
      <c r="H24" s="25">
        <v>0</v>
      </c>
      <c r="I24" s="26">
        <v>151.27000000000001</v>
      </c>
      <c r="J24" s="26">
        <v>0</v>
      </c>
      <c r="K24" s="26">
        <v>0.13</v>
      </c>
      <c r="L24" s="25">
        <v>0</v>
      </c>
      <c r="M24" s="25">
        <v>0</v>
      </c>
      <c r="N24" s="25">
        <v>990.77099999999996</v>
      </c>
      <c r="O24" s="25">
        <v>775.90499999999997</v>
      </c>
      <c r="P24" s="25">
        <v>989.36829999999998</v>
      </c>
      <c r="Q24" s="25">
        <v>1.4027000000000001</v>
      </c>
      <c r="R24" s="25">
        <v>774.80650000000003</v>
      </c>
      <c r="S24" s="25">
        <v>1.0985</v>
      </c>
      <c r="T24" s="25">
        <v>0</v>
      </c>
      <c r="U24" s="25">
        <v>0</v>
      </c>
      <c r="V24" s="25">
        <v>0</v>
      </c>
      <c r="X24" s="25">
        <v>0</v>
      </c>
      <c r="Y24" s="25">
        <v>0</v>
      </c>
      <c r="Z24" s="25">
        <v>0</v>
      </c>
      <c r="AA24" s="25">
        <v>0</v>
      </c>
      <c r="AB24" s="25">
        <v>0</v>
      </c>
      <c r="AC24" s="25">
        <v>0</v>
      </c>
      <c r="AD24" s="25">
        <v>0</v>
      </c>
      <c r="AE24" s="25">
        <v>0</v>
      </c>
      <c r="AH24" s="25">
        <v>0</v>
      </c>
      <c r="AI24" s="25">
        <v>0</v>
      </c>
      <c r="AJ24" s="25">
        <v>0</v>
      </c>
      <c r="AK24" s="25">
        <v>0</v>
      </c>
    </row>
    <row r="25" spans="1:37">
      <c r="A25" s="25" t="str">
        <f>'Форма 4т'!A395</f>
        <v>11.</v>
      </c>
      <c r="B25" s="25">
        <f t="shared" si="0"/>
        <v>117.83</v>
      </c>
      <c r="C25" s="25">
        <v>117.83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6">
        <v>14.317500000000001</v>
      </c>
      <c r="J25" s="26">
        <v>0</v>
      </c>
      <c r="K25" s="26">
        <v>0</v>
      </c>
      <c r="L25" s="25">
        <v>0</v>
      </c>
      <c r="M25" s="25">
        <v>0</v>
      </c>
      <c r="N25" s="25">
        <v>111.9385</v>
      </c>
      <c r="O25" s="25">
        <v>55.380099999999999</v>
      </c>
      <c r="P25" s="25">
        <v>111.9385</v>
      </c>
      <c r="Q25" s="25">
        <v>0</v>
      </c>
      <c r="R25" s="25">
        <v>55.380099999999999</v>
      </c>
      <c r="S25" s="25">
        <v>0</v>
      </c>
      <c r="T25" s="25">
        <v>0</v>
      </c>
      <c r="U25" s="25">
        <v>0</v>
      </c>
      <c r="V25" s="25">
        <v>0</v>
      </c>
      <c r="X25" s="25">
        <v>0</v>
      </c>
      <c r="Y25" s="25">
        <v>0</v>
      </c>
      <c r="Z25" s="25">
        <v>0</v>
      </c>
      <c r="AA25" s="25">
        <v>0</v>
      </c>
      <c r="AB25" s="25">
        <v>0</v>
      </c>
      <c r="AC25" s="25">
        <v>0</v>
      </c>
      <c r="AD25" s="25">
        <v>0</v>
      </c>
      <c r="AE25" s="25">
        <v>0</v>
      </c>
      <c r="AH25" s="25">
        <v>0</v>
      </c>
      <c r="AI25" s="25">
        <v>0</v>
      </c>
      <c r="AJ25" s="25">
        <v>0</v>
      </c>
      <c r="AK25" s="25">
        <v>0</v>
      </c>
    </row>
    <row r="26" spans="1:37">
      <c r="A26" s="25" t="str">
        <f>'Форма 4т'!A415</f>
        <v>12.</v>
      </c>
      <c r="B26" s="25">
        <f t="shared" si="0"/>
        <v>403.56</v>
      </c>
      <c r="C26" s="25">
        <v>76.8</v>
      </c>
      <c r="D26" s="25">
        <v>3.83</v>
      </c>
      <c r="E26" s="25">
        <v>0.16</v>
      </c>
      <c r="F26" s="25">
        <v>322.93</v>
      </c>
      <c r="G26" s="25">
        <v>0</v>
      </c>
      <c r="H26" s="25">
        <v>0</v>
      </c>
      <c r="I26" s="26">
        <v>8.9815000000000005</v>
      </c>
      <c r="J26" s="26">
        <v>0</v>
      </c>
      <c r="K26" s="26">
        <v>1.2500000000000001E-2</v>
      </c>
      <c r="L26" s="25">
        <v>0</v>
      </c>
      <c r="M26" s="25">
        <v>0</v>
      </c>
      <c r="N26" s="25">
        <v>73.111999999999995</v>
      </c>
      <c r="O26" s="25">
        <v>36.171199999999999</v>
      </c>
      <c r="P26" s="25">
        <v>72.959999999999994</v>
      </c>
      <c r="Q26" s="25">
        <v>0.152</v>
      </c>
      <c r="R26" s="25">
        <v>36.095999999999997</v>
      </c>
      <c r="S26" s="25">
        <v>7.5200000000000003E-2</v>
      </c>
      <c r="T26" s="25">
        <v>0</v>
      </c>
      <c r="U26" s="25">
        <v>0</v>
      </c>
      <c r="V26" s="25">
        <v>0</v>
      </c>
      <c r="X26" s="25">
        <v>0</v>
      </c>
      <c r="Y26" s="25">
        <v>0</v>
      </c>
      <c r="Z26" s="25">
        <v>0</v>
      </c>
      <c r="AA26" s="25">
        <v>0</v>
      </c>
      <c r="AB26" s="25">
        <v>0</v>
      </c>
      <c r="AC26" s="25">
        <v>0</v>
      </c>
      <c r="AD26" s="25">
        <v>0</v>
      </c>
      <c r="AE26" s="25">
        <v>0</v>
      </c>
      <c r="AH26" s="25">
        <v>0</v>
      </c>
      <c r="AI26" s="25">
        <v>0</v>
      </c>
      <c r="AJ26" s="25">
        <v>0</v>
      </c>
      <c r="AK26" s="25">
        <v>0</v>
      </c>
    </row>
    <row r="28" spans="1:37">
      <c r="B28" s="49" t="s">
        <v>144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</row>
    <row r="29" spans="1:37"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</row>
    <row r="30" spans="1:37">
      <c r="A30" s="25" t="str">
        <f>'Форма 4т'!A528</f>
        <v>13.</v>
      </c>
      <c r="B30" s="25">
        <f>ROUND(C30+D30+F30+AF30+AG30,2)</f>
        <v>2133.5300000000002</v>
      </c>
      <c r="C30" s="25">
        <v>1300.51</v>
      </c>
      <c r="D30" s="25">
        <v>122.23</v>
      </c>
      <c r="E30" s="25">
        <v>28.41</v>
      </c>
      <c r="F30" s="25">
        <v>710.79</v>
      </c>
      <c r="G30" s="25">
        <v>0</v>
      </c>
      <c r="H30" s="25">
        <v>0</v>
      </c>
      <c r="I30" s="26">
        <v>148.46</v>
      </c>
      <c r="J30" s="26">
        <v>0</v>
      </c>
      <c r="K30" s="26">
        <v>2.1800000000000002</v>
      </c>
      <c r="L30" s="25">
        <v>0</v>
      </c>
      <c r="M30" s="25">
        <v>0</v>
      </c>
      <c r="N30" s="25">
        <v>1103.0036</v>
      </c>
      <c r="O30" s="25">
        <v>863.798</v>
      </c>
      <c r="P30" s="25">
        <v>1079.4232999999999</v>
      </c>
      <c r="Q30" s="25">
        <v>23.580300000000001</v>
      </c>
      <c r="R30" s="25">
        <v>845.33150000000001</v>
      </c>
      <c r="S30" s="25">
        <v>18.4665</v>
      </c>
      <c r="T30" s="25">
        <v>0</v>
      </c>
      <c r="U30" s="25">
        <v>0</v>
      </c>
      <c r="V30" s="25">
        <v>0</v>
      </c>
      <c r="X30" s="25">
        <v>0</v>
      </c>
      <c r="Y30" s="25">
        <v>0</v>
      </c>
      <c r="Z30" s="25">
        <v>0</v>
      </c>
      <c r="AA30" s="25">
        <v>0</v>
      </c>
      <c r="AB30" s="25">
        <v>0</v>
      </c>
      <c r="AC30" s="25">
        <v>0</v>
      </c>
      <c r="AD30" s="25">
        <v>0</v>
      </c>
      <c r="AE30" s="25">
        <v>0</v>
      </c>
      <c r="AH30" s="25">
        <v>0</v>
      </c>
      <c r="AI30" s="25">
        <v>0</v>
      </c>
      <c r="AJ30" s="25">
        <v>0</v>
      </c>
      <c r="AK30" s="25">
        <v>0</v>
      </c>
    </row>
    <row r="31" spans="1:37">
      <c r="A31" s="25" t="str">
        <f>'Форма 4т'!A547</f>
        <v>14.</v>
      </c>
      <c r="B31" s="25">
        <f>ROUND(C31+D31+F31+AF31+AG31,2)</f>
        <v>117.83</v>
      </c>
      <c r="C31" s="25">
        <v>117.83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6">
        <v>14.317500000000001</v>
      </c>
      <c r="J31" s="26">
        <v>0</v>
      </c>
      <c r="K31" s="26">
        <v>0</v>
      </c>
      <c r="L31" s="25">
        <v>0</v>
      </c>
      <c r="M31" s="25">
        <v>0</v>
      </c>
      <c r="N31" s="25">
        <v>111.9385</v>
      </c>
      <c r="O31" s="25">
        <v>55.380099999999999</v>
      </c>
      <c r="P31" s="25">
        <v>111.9385</v>
      </c>
      <c r="Q31" s="25">
        <v>0</v>
      </c>
      <c r="R31" s="25">
        <v>55.380099999999999</v>
      </c>
      <c r="S31" s="25">
        <v>0</v>
      </c>
      <c r="T31" s="25">
        <v>0</v>
      </c>
      <c r="U31" s="25">
        <v>0</v>
      </c>
      <c r="V31" s="25">
        <v>0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H31" s="25">
        <v>0</v>
      </c>
      <c r="AI31" s="25">
        <v>0</v>
      </c>
      <c r="AJ31" s="25">
        <v>0</v>
      </c>
      <c r="AK31" s="25">
        <v>0</v>
      </c>
    </row>
    <row r="32" spans="1:37">
      <c r="A32" s="25" t="str">
        <f>'Форма 4т'!A567</f>
        <v>15.</v>
      </c>
      <c r="B32" s="25">
        <f>ROUND(C32+D32+F32+AF32+AG32,2)</f>
        <v>403.56</v>
      </c>
      <c r="C32" s="25">
        <v>76.8</v>
      </c>
      <c r="D32" s="25">
        <v>3.83</v>
      </c>
      <c r="E32" s="25">
        <v>0.16</v>
      </c>
      <c r="F32" s="25">
        <v>322.93</v>
      </c>
      <c r="G32" s="25">
        <v>0</v>
      </c>
      <c r="H32" s="25">
        <v>0</v>
      </c>
      <c r="I32" s="26">
        <v>8.9815000000000005</v>
      </c>
      <c r="J32" s="26">
        <v>0</v>
      </c>
      <c r="K32" s="26">
        <v>1.2500000000000001E-2</v>
      </c>
      <c r="L32" s="25">
        <v>0</v>
      </c>
      <c r="M32" s="25">
        <v>0</v>
      </c>
      <c r="N32" s="25">
        <v>73.111999999999995</v>
      </c>
      <c r="O32" s="25">
        <v>36.171199999999999</v>
      </c>
      <c r="P32" s="25">
        <v>72.959999999999994</v>
      </c>
      <c r="Q32" s="25">
        <v>0.152</v>
      </c>
      <c r="R32" s="25">
        <v>36.095999999999997</v>
      </c>
      <c r="S32" s="25">
        <v>7.5200000000000003E-2</v>
      </c>
      <c r="T32" s="25">
        <v>0</v>
      </c>
      <c r="U32" s="25">
        <v>0</v>
      </c>
      <c r="V32" s="25">
        <v>0</v>
      </c>
      <c r="X32" s="25">
        <v>0</v>
      </c>
      <c r="Y32" s="25">
        <v>0</v>
      </c>
      <c r="Z32" s="25">
        <v>0</v>
      </c>
      <c r="AA32" s="25">
        <v>0</v>
      </c>
      <c r="AB32" s="25">
        <v>0</v>
      </c>
      <c r="AC32" s="25">
        <v>0</v>
      </c>
      <c r="AD32" s="25">
        <v>0</v>
      </c>
      <c r="AE32" s="25">
        <v>0</v>
      </c>
      <c r="AH32" s="25">
        <v>0</v>
      </c>
      <c r="AI32" s="25">
        <v>0</v>
      </c>
      <c r="AJ32" s="25">
        <v>0</v>
      </c>
      <c r="AK32" s="25">
        <v>0</v>
      </c>
    </row>
  </sheetData>
  <mergeCells count="8">
    <mergeCell ref="B19:N20"/>
    <mergeCell ref="B28:N29"/>
    <mergeCell ref="A2:N2"/>
    <mergeCell ref="B3:N3"/>
    <mergeCell ref="B4:N4"/>
    <mergeCell ref="A5:N5"/>
    <mergeCell ref="B7:N8"/>
    <mergeCell ref="B13:N14"/>
  </mergeCell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K32"/>
  <sheetViews>
    <sheetView workbookViewId="0"/>
  </sheetViews>
  <sheetFormatPr defaultRowHeight="10.5"/>
  <cols>
    <col min="1" max="1" width="5.7109375" style="26" customWidth="1"/>
    <col min="2" max="16384" width="9.140625" style="25"/>
  </cols>
  <sheetData>
    <row r="1" spans="1:37" s="27" customFormat="1">
      <c r="A1" s="7"/>
      <c r="B1" s="27" t="s">
        <v>162</v>
      </c>
      <c r="C1" s="27" t="s">
        <v>163</v>
      </c>
      <c r="D1" s="27" t="s">
        <v>164</v>
      </c>
      <c r="E1" s="27" t="s">
        <v>165</v>
      </c>
      <c r="F1" s="27" t="s">
        <v>166</v>
      </c>
      <c r="G1" s="27" t="s">
        <v>167</v>
      </c>
      <c r="H1" s="27" t="s">
        <v>168</v>
      </c>
      <c r="I1" s="27" t="s">
        <v>169</v>
      </c>
      <c r="J1" s="27" t="s">
        <v>170</v>
      </c>
      <c r="K1" s="27" t="s">
        <v>171</v>
      </c>
      <c r="L1" s="27" t="s">
        <v>172</v>
      </c>
      <c r="M1" s="27" t="s">
        <v>173</v>
      </c>
      <c r="N1" s="27" t="s">
        <v>174</v>
      </c>
      <c r="O1" s="27" t="s">
        <v>175</v>
      </c>
      <c r="P1" s="27" t="s">
        <v>176</v>
      </c>
      <c r="Q1" s="27" t="s">
        <v>177</v>
      </c>
      <c r="R1" s="27" t="s">
        <v>178</v>
      </c>
      <c r="S1" s="27" t="s">
        <v>179</v>
      </c>
      <c r="T1" s="27" t="s">
        <v>180</v>
      </c>
      <c r="U1" s="27" t="s">
        <v>181</v>
      </c>
      <c r="V1" s="27" t="s">
        <v>182</v>
      </c>
      <c r="X1" s="27" t="s">
        <v>183</v>
      </c>
      <c r="Y1" s="27" t="s">
        <v>184</v>
      </c>
      <c r="Z1" s="27" t="s">
        <v>185</v>
      </c>
      <c r="AA1" s="27" t="s">
        <v>186</v>
      </c>
      <c r="AB1" s="27" t="s">
        <v>187</v>
      </c>
      <c r="AC1" s="27" t="s">
        <v>188</v>
      </c>
      <c r="AD1" s="27" t="s">
        <v>189</v>
      </c>
      <c r="AE1" s="27" t="s">
        <v>190</v>
      </c>
      <c r="AF1" s="27" t="s">
        <v>191</v>
      </c>
      <c r="AG1" s="27" t="s">
        <v>192</v>
      </c>
      <c r="AH1" s="27" t="s">
        <v>193</v>
      </c>
      <c r="AI1" s="27" t="s">
        <v>194</v>
      </c>
      <c r="AJ1" s="27" t="s">
        <v>195</v>
      </c>
      <c r="AK1" s="27" t="s">
        <v>196</v>
      </c>
    </row>
    <row r="2" spans="1:37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37">
      <c r="A3" s="28"/>
      <c r="B3" s="62" t="s">
        <v>197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1:37">
      <c r="A4" s="28"/>
      <c r="B4" s="62" t="s">
        <v>198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</row>
    <row r="5" spans="1:37">
      <c r="A5" s="60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</row>
    <row r="7" spans="1:37">
      <c r="B7" s="49" t="s">
        <v>26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37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37">
      <c r="A9" s="25" t="str">
        <f>'Форма 4т'!A19</f>
        <v>1.</v>
      </c>
      <c r="B9" s="25">
        <f>ROUND(C9+D9+F9+AF9+AG9,2)</f>
        <v>3800.72</v>
      </c>
      <c r="C9" s="25">
        <v>3654.19</v>
      </c>
      <c r="D9" s="25">
        <v>146.53</v>
      </c>
      <c r="E9" s="25">
        <v>77.98</v>
      </c>
      <c r="F9" s="25">
        <v>0</v>
      </c>
      <c r="G9" s="25">
        <v>0</v>
      </c>
      <c r="H9" s="25">
        <v>0</v>
      </c>
      <c r="I9" s="26">
        <v>22.68</v>
      </c>
      <c r="J9" s="26">
        <v>0</v>
      </c>
      <c r="K9" s="26">
        <v>0.28999999999999998</v>
      </c>
      <c r="L9" s="25">
        <v>0</v>
      </c>
      <c r="M9" s="25">
        <v>0</v>
      </c>
      <c r="N9" s="25">
        <v>3097.7011000000002</v>
      </c>
      <c r="O9" s="25">
        <v>2425.9105</v>
      </c>
      <c r="P9" s="25">
        <v>3032.9776999999999</v>
      </c>
      <c r="Q9" s="25">
        <v>64.723399999999998</v>
      </c>
      <c r="R9" s="25">
        <v>2375.2235000000001</v>
      </c>
      <c r="S9" s="25">
        <v>50.686999999999998</v>
      </c>
      <c r="T9" s="25">
        <v>0</v>
      </c>
      <c r="U9" s="25">
        <v>0</v>
      </c>
      <c r="V9" s="25">
        <v>0</v>
      </c>
      <c r="X9" s="25">
        <v>0</v>
      </c>
      <c r="Y9" s="25">
        <v>0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H9" s="25">
        <v>0</v>
      </c>
      <c r="AI9" s="25">
        <v>0</v>
      </c>
      <c r="AJ9" s="25">
        <v>0</v>
      </c>
      <c r="AK9" s="25">
        <v>0</v>
      </c>
    </row>
    <row r="10" spans="1:37">
      <c r="A10" s="25" t="str">
        <f>'Форма 4т'!A38</f>
        <v>2.</v>
      </c>
      <c r="B10" s="25">
        <f>ROUND(C10+D10+F10+AF10+AG10,2)</f>
        <v>16857.8</v>
      </c>
      <c r="C10" s="25">
        <v>4732.33</v>
      </c>
      <c r="D10" s="25">
        <v>798.04</v>
      </c>
      <c r="E10" s="25">
        <v>154.47</v>
      </c>
      <c r="F10" s="25">
        <v>11327.43</v>
      </c>
      <c r="G10" s="25">
        <v>0</v>
      </c>
      <c r="H10" s="25">
        <v>0</v>
      </c>
      <c r="I10" s="26">
        <v>26.829499999999999</v>
      </c>
      <c r="J10" s="26">
        <v>0</v>
      </c>
      <c r="K10" s="26">
        <v>0.57499999999999996</v>
      </c>
      <c r="L10" s="25">
        <v>0</v>
      </c>
      <c r="M10" s="25">
        <v>0</v>
      </c>
      <c r="N10" s="25">
        <v>5180.0079999999998</v>
      </c>
      <c r="O10" s="25">
        <v>2638.8719999999998</v>
      </c>
      <c r="P10" s="25">
        <v>5016.2698</v>
      </c>
      <c r="Q10" s="25">
        <v>163.73820000000001</v>
      </c>
      <c r="R10" s="25">
        <v>2555.4582</v>
      </c>
      <c r="S10" s="25">
        <v>83.413799999999995</v>
      </c>
      <c r="T10" s="25">
        <v>0</v>
      </c>
      <c r="U10" s="25">
        <v>0</v>
      </c>
      <c r="V10" s="25">
        <v>0</v>
      </c>
      <c r="X10" s="25">
        <v>0</v>
      </c>
      <c r="Y10" s="25">
        <v>0</v>
      </c>
      <c r="Z10" s="25">
        <v>0</v>
      </c>
      <c r="AA10" s="25">
        <v>0</v>
      </c>
      <c r="AB10" s="25">
        <v>0</v>
      </c>
      <c r="AC10" s="25">
        <v>0</v>
      </c>
      <c r="AD10" s="25">
        <v>0</v>
      </c>
      <c r="AE10" s="25">
        <v>0</v>
      </c>
      <c r="AH10" s="25">
        <v>0</v>
      </c>
      <c r="AI10" s="25">
        <v>0</v>
      </c>
      <c r="AJ10" s="25">
        <v>0</v>
      </c>
      <c r="AK10" s="25">
        <v>0</v>
      </c>
    </row>
    <row r="11" spans="1:37">
      <c r="A11" s="25" t="str">
        <f>'Форма 4т'!A58</f>
        <v>3.</v>
      </c>
      <c r="B11" s="25">
        <f>ROUND(C11+D11+F11+AF11+AG11,2)</f>
        <v>44149.35</v>
      </c>
      <c r="C11" s="25">
        <v>8398.06</v>
      </c>
      <c r="D11" s="25">
        <v>153.33000000000001</v>
      </c>
      <c r="E11" s="25">
        <v>40.229999999999997</v>
      </c>
      <c r="F11" s="25">
        <v>35597.96</v>
      </c>
      <c r="G11" s="25">
        <v>0</v>
      </c>
      <c r="H11" s="25">
        <v>0</v>
      </c>
      <c r="I11" s="26">
        <v>46.47</v>
      </c>
      <c r="J11" s="26">
        <v>0</v>
      </c>
      <c r="K11" s="26">
        <v>0.15</v>
      </c>
      <c r="L11" s="25">
        <v>0</v>
      </c>
      <c r="M11" s="25">
        <v>0</v>
      </c>
      <c r="N11" s="25">
        <v>7003.7807000000003</v>
      </c>
      <c r="O11" s="25">
        <v>5484.8885</v>
      </c>
      <c r="P11" s="25">
        <v>6970.3897999999999</v>
      </c>
      <c r="Q11" s="25">
        <v>33.390900000000002</v>
      </c>
      <c r="R11" s="25">
        <v>5458.7389999999996</v>
      </c>
      <c r="S11" s="25">
        <v>26.1495</v>
      </c>
      <c r="T11" s="25">
        <v>0</v>
      </c>
      <c r="U11" s="25">
        <v>0</v>
      </c>
      <c r="V11" s="25">
        <v>0</v>
      </c>
      <c r="X11" s="25">
        <v>0</v>
      </c>
      <c r="Y11" s="25">
        <v>0</v>
      </c>
      <c r="Z11" s="25">
        <v>0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H11" s="25">
        <v>0</v>
      </c>
      <c r="AI11" s="25">
        <v>0</v>
      </c>
      <c r="AJ11" s="25">
        <v>0</v>
      </c>
      <c r="AK11" s="25">
        <v>0</v>
      </c>
    </row>
    <row r="13" spans="1:37">
      <c r="B13" s="49" t="s">
        <v>114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</row>
    <row r="14" spans="1:37"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37">
      <c r="A15" s="25" t="str">
        <f>'Форма 4т'!A169</f>
        <v>4.</v>
      </c>
      <c r="B15" s="25">
        <f>ROUND(C15+D15+F15+AF15+AG15,2)</f>
        <v>1372.71</v>
      </c>
      <c r="C15" s="25">
        <v>1332.9</v>
      </c>
      <c r="D15" s="25">
        <v>39.81</v>
      </c>
      <c r="E15" s="25">
        <v>0</v>
      </c>
      <c r="F15" s="25">
        <v>0</v>
      </c>
      <c r="G15" s="25">
        <v>0</v>
      </c>
      <c r="H15" s="25">
        <v>0</v>
      </c>
      <c r="I15" s="26">
        <v>8.58</v>
      </c>
      <c r="J15" s="26">
        <v>0</v>
      </c>
      <c r="K15" s="26">
        <v>0</v>
      </c>
      <c r="L15" s="25">
        <v>0</v>
      </c>
      <c r="M15" s="25">
        <v>0</v>
      </c>
      <c r="N15" s="25">
        <v>1319.5709999999999</v>
      </c>
      <c r="O15" s="25">
        <v>799.74</v>
      </c>
      <c r="P15" s="25">
        <v>1319.5709999999999</v>
      </c>
      <c r="Q15" s="25">
        <v>0</v>
      </c>
      <c r="R15" s="25">
        <v>799.74</v>
      </c>
      <c r="S15" s="25">
        <v>0</v>
      </c>
      <c r="T15" s="25">
        <v>0</v>
      </c>
      <c r="U15" s="25">
        <v>0</v>
      </c>
      <c r="V15" s="25">
        <v>0</v>
      </c>
      <c r="X15" s="25">
        <v>0</v>
      </c>
      <c r="Y15" s="25">
        <v>0</v>
      </c>
      <c r="Z15" s="25">
        <v>0</v>
      </c>
      <c r="AA15" s="25">
        <v>0</v>
      </c>
      <c r="AB15" s="25">
        <v>0</v>
      </c>
      <c r="AC15" s="25">
        <v>0</v>
      </c>
      <c r="AD15" s="25">
        <v>0</v>
      </c>
      <c r="AE15" s="25">
        <v>0</v>
      </c>
      <c r="AH15" s="25">
        <v>0</v>
      </c>
      <c r="AI15" s="25">
        <v>0</v>
      </c>
      <c r="AJ15" s="25">
        <v>0</v>
      </c>
      <c r="AK15" s="25">
        <v>0</v>
      </c>
    </row>
    <row r="16" spans="1:37">
      <c r="A16" s="25" t="str">
        <f>'Форма 4т'!A188</f>
        <v>5.</v>
      </c>
      <c r="B16" s="25">
        <f>ROUND(C16+D16+F16+AF16+AG16,2)</f>
        <v>11668.94</v>
      </c>
      <c r="C16" s="25">
        <v>7108.33</v>
      </c>
      <c r="D16" s="25">
        <v>3495.82</v>
      </c>
      <c r="E16" s="25">
        <v>932.22</v>
      </c>
      <c r="F16" s="25">
        <v>1064.79</v>
      </c>
      <c r="G16" s="25">
        <v>0</v>
      </c>
      <c r="H16" s="25">
        <v>0</v>
      </c>
      <c r="I16" s="26">
        <v>40.825000000000003</v>
      </c>
      <c r="J16" s="26">
        <v>0</v>
      </c>
      <c r="K16" s="26">
        <v>3.2625000000000002</v>
      </c>
      <c r="L16" s="25">
        <v>0</v>
      </c>
      <c r="M16" s="25">
        <v>0</v>
      </c>
      <c r="N16" s="25">
        <v>6512.8455000000004</v>
      </c>
      <c r="O16" s="25">
        <v>5789.1959999999999</v>
      </c>
      <c r="P16" s="25">
        <v>5757.7473</v>
      </c>
      <c r="Q16" s="25">
        <v>755.09820000000002</v>
      </c>
      <c r="R16" s="25">
        <v>5117.9975999999997</v>
      </c>
      <c r="S16" s="25">
        <v>671.19839999999999</v>
      </c>
      <c r="T16" s="25">
        <v>0</v>
      </c>
      <c r="U16" s="25">
        <v>0</v>
      </c>
      <c r="V16" s="25">
        <v>0</v>
      </c>
      <c r="X16" s="25">
        <v>0</v>
      </c>
      <c r="Y16" s="25">
        <v>0</v>
      </c>
      <c r="Z16" s="25">
        <v>0</v>
      </c>
      <c r="AA16" s="25">
        <v>0</v>
      </c>
      <c r="AB16" s="25">
        <v>0</v>
      </c>
      <c r="AC16" s="25">
        <v>0</v>
      </c>
      <c r="AD16" s="25">
        <v>0</v>
      </c>
      <c r="AE16" s="25">
        <v>0</v>
      </c>
      <c r="AH16" s="25">
        <v>0</v>
      </c>
      <c r="AI16" s="25">
        <v>0</v>
      </c>
      <c r="AJ16" s="25">
        <v>0</v>
      </c>
      <c r="AK16" s="25">
        <v>0</v>
      </c>
    </row>
    <row r="17" spans="1:37">
      <c r="A17" s="25" t="str">
        <f>'Форма 4т'!A208</f>
        <v>6.</v>
      </c>
      <c r="B17" s="25">
        <f>ROUND(C17+D17+F17+AF17+AG17,2)</f>
        <v>53741.42</v>
      </c>
      <c r="C17" s="25">
        <v>0</v>
      </c>
      <c r="D17" s="25">
        <v>0</v>
      </c>
      <c r="E17" s="25">
        <v>0</v>
      </c>
      <c r="F17" s="25">
        <v>53741.42</v>
      </c>
      <c r="G17" s="25">
        <v>48855.83</v>
      </c>
      <c r="H17" s="25">
        <v>0</v>
      </c>
      <c r="I17" s="26">
        <v>0</v>
      </c>
      <c r="J17" s="26">
        <v>0</v>
      </c>
      <c r="K17" s="26">
        <v>0</v>
      </c>
      <c r="L17" s="25">
        <v>1000</v>
      </c>
      <c r="M17" s="25">
        <v>0</v>
      </c>
      <c r="N17" s="25">
        <v>0</v>
      </c>
      <c r="O17" s="25">
        <v>0</v>
      </c>
      <c r="P17" s="25">
        <v>0</v>
      </c>
      <c r="Q17" s="25">
        <v>0</v>
      </c>
      <c r="R17" s="25">
        <v>0</v>
      </c>
      <c r="S17" s="25">
        <v>0</v>
      </c>
      <c r="T17" s="25">
        <v>0</v>
      </c>
      <c r="U17" s="25">
        <v>0</v>
      </c>
      <c r="V17" s="25">
        <v>0</v>
      </c>
      <c r="X17" s="25">
        <v>0</v>
      </c>
      <c r="Y17" s="25">
        <v>0</v>
      </c>
      <c r="Z17" s="25">
        <v>0</v>
      </c>
      <c r="AA17" s="25">
        <v>0</v>
      </c>
      <c r="AB17" s="25">
        <v>0</v>
      </c>
      <c r="AC17" s="25">
        <v>0</v>
      </c>
      <c r="AD17" s="25">
        <v>0</v>
      </c>
      <c r="AE17" s="25">
        <v>0</v>
      </c>
      <c r="AH17" s="25">
        <v>0</v>
      </c>
      <c r="AI17" s="25">
        <v>0</v>
      </c>
      <c r="AJ17" s="25">
        <v>0</v>
      </c>
      <c r="AK17" s="25">
        <v>0</v>
      </c>
    </row>
    <row r="19" spans="1:37">
      <c r="B19" s="49" t="s">
        <v>127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</row>
    <row r="20" spans="1:37"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</row>
    <row r="21" spans="1:37">
      <c r="A21" s="25" t="str">
        <f>'Форма 4т'!A319</f>
        <v>7.</v>
      </c>
      <c r="B21" s="25">
        <f t="shared" ref="B21:B26" si="0">ROUND(C21+D21+F21+AF21+AG21,2)</f>
        <v>1372.71</v>
      </c>
      <c r="C21" s="25">
        <v>1332.9</v>
      </c>
      <c r="D21" s="25">
        <v>39.81</v>
      </c>
      <c r="E21" s="25">
        <v>0</v>
      </c>
      <c r="F21" s="25">
        <v>0</v>
      </c>
      <c r="G21" s="25">
        <v>0</v>
      </c>
      <c r="H21" s="25">
        <v>0</v>
      </c>
      <c r="I21" s="26">
        <v>8.58</v>
      </c>
      <c r="J21" s="26">
        <v>0</v>
      </c>
      <c r="K21" s="26">
        <v>0</v>
      </c>
      <c r="L21" s="25">
        <v>0</v>
      </c>
      <c r="M21" s="25">
        <v>0</v>
      </c>
      <c r="N21" s="25">
        <v>1319.5709999999999</v>
      </c>
      <c r="O21" s="25">
        <v>799.74</v>
      </c>
      <c r="P21" s="25">
        <v>1319.5709999999999</v>
      </c>
      <c r="Q21" s="25">
        <v>0</v>
      </c>
      <c r="R21" s="25">
        <v>799.74</v>
      </c>
      <c r="S21" s="25">
        <v>0</v>
      </c>
      <c r="T21" s="25">
        <v>0</v>
      </c>
      <c r="U21" s="25">
        <v>0</v>
      </c>
      <c r="V21" s="25">
        <v>0</v>
      </c>
      <c r="X21" s="25">
        <v>0</v>
      </c>
      <c r="Y21" s="25">
        <v>0</v>
      </c>
      <c r="Z21" s="25">
        <v>0</v>
      </c>
      <c r="AA21" s="25">
        <v>0</v>
      </c>
      <c r="AB21" s="25">
        <v>0</v>
      </c>
      <c r="AC21" s="25">
        <v>0</v>
      </c>
      <c r="AD21" s="25">
        <v>0</v>
      </c>
      <c r="AE21" s="25">
        <v>0</v>
      </c>
      <c r="AH21" s="25">
        <v>0</v>
      </c>
      <c r="AI21" s="25">
        <v>0</v>
      </c>
      <c r="AJ21" s="25">
        <v>0</v>
      </c>
      <c r="AK21" s="25">
        <v>0</v>
      </c>
    </row>
    <row r="22" spans="1:37">
      <c r="A22" s="25" t="str">
        <f>'Форма 4т'!A338</f>
        <v>8.</v>
      </c>
      <c r="B22" s="25">
        <f t="shared" si="0"/>
        <v>11668.94</v>
      </c>
      <c r="C22" s="25">
        <v>7108.33</v>
      </c>
      <c r="D22" s="25">
        <v>3495.82</v>
      </c>
      <c r="E22" s="25">
        <v>932.22</v>
      </c>
      <c r="F22" s="25">
        <v>1064.79</v>
      </c>
      <c r="G22" s="25">
        <v>0</v>
      </c>
      <c r="H22" s="25">
        <v>0</v>
      </c>
      <c r="I22" s="26">
        <v>40.825000000000003</v>
      </c>
      <c r="J22" s="26">
        <v>0</v>
      </c>
      <c r="K22" s="26">
        <v>3.2625000000000002</v>
      </c>
      <c r="L22" s="25">
        <v>0</v>
      </c>
      <c r="M22" s="25">
        <v>0</v>
      </c>
      <c r="N22" s="25">
        <v>6512.8455000000004</v>
      </c>
      <c r="O22" s="25">
        <v>5789.1959999999999</v>
      </c>
      <c r="P22" s="25">
        <v>5757.7473</v>
      </c>
      <c r="Q22" s="25">
        <v>755.09820000000002</v>
      </c>
      <c r="R22" s="25">
        <v>5117.9975999999997</v>
      </c>
      <c r="S22" s="25">
        <v>671.19839999999999</v>
      </c>
      <c r="T22" s="25">
        <v>0</v>
      </c>
      <c r="U22" s="25">
        <v>0</v>
      </c>
      <c r="V22" s="25">
        <v>0</v>
      </c>
      <c r="X22" s="25">
        <v>0</v>
      </c>
      <c r="Y22" s="25">
        <v>0</v>
      </c>
      <c r="Z22" s="25">
        <v>0</v>
      </c>
      <c r="AA22" s="25">
        <v>0</v>
      </c>
      <c r="AB22" s="25">
        <v>0</v>
      </c>
      <c r="AC22" s="25">
        <v>0</v>
      </c>
      <c r="AD22" s="25">
        <v>0</v>
      </c>
      <c r="AE22" s="25">
        <v>0</v>
      </c>
      <c r="AH22" s="25">
        <v>0</v>
      </c>
      <c r="AI22" s="25">
        <v>0</v>
      </c>
      <c r="AJ22" s="25">
        <v>0</v>
      </c>
      <c r="AK22" s="25">
        <v>0</v>
      </c>
    </row>
    <row r="23" spans="1:37">
      <c r="A23" s="25" t="str">
        <f>'Форма 4т'!A358</f>
        <v>9.</v>
      </c>
      <c r="B23" s="25">
        <f t="shared" si="0"/>
        <v>53741.42</v>
      </c>
      <c r="C23" s="25">
        <v>0</v>
      </c>
      <c r="D23" s="25">
        <v>0</v>
      </c>
      <c r="E23" s="25">
        <v>0</v>
      </c>
      <c r="F23" s="25">
        <v>53741.42</v>
      </c>
      <c r="G23" s="25">
        <v>48855.83</v>
      </c>
      <c r="H23" s="25">
        <v>0</v>
      </c>
      <c r="I23" s="26">
        <v>0</v>
      </c>
      <c r="J23" s="26">
        <v>0</v>
      </c>
      <c r="K23" s="26">
        <v>0</v>
      </c>
      <c r="L23" s="25">
        <v>1000</v>
      </c>
      <c r="M23" s="25">
        <v>0</v>
      </c>
      <c r="N23" s="25">
        <v>0</v>
      </c>
      <c r="O23" s="25">
        <v>0</v>
      </c>
      <c r="P23" s="25">
        <v>0</v>
      </c>
      <c r="Q23" s="25">
        <v>0</v>
      </c>
      <c r="R23" s="25">
        <v>0</v>
      </c>
      <c r="S23" s="25">
        <v>0</v>
      </c>
      <c r="T23" s="25">
        <v>0</v>
      </c>
      <c r="U23" s="25">
        <v>0</v>
      </c>
      <c r="V23" s="25">
        <v>0</v>
      </c>
      <c r="X23" s="25">
        <v>0</v>
      </c>
      <c r="Y23" s="25">
        <v>0</v>
      </c>
      <c r="Z23" s="25">
        <v>0</v>
      </c>
      <c r="AA23" s="25">
        <v>0</v>
      </c>
      <c r="AB23" s="25">
        <v>0</v>
      </c>
      <c r="AC23" s="25">
        <v>0</v>
      </c>
      <c r="AD23" s="25">
        <v>0</v>
      </c>
      <c r="AE23" s="25">
        <v>0</v>
      </c>
      <c r="AH23" s="25">
        <v>0</v>
      </c>
      <c r="AI23" s="25">
        <v>0</v>
      </c>
      <c r="AJ23" s="25">
        <v>0</v>
      </c>
      <c r="AK23" s="25">
        <v>0</v>
      </c>
    </row>
    <row r="24" spans="1:37">
      <c r="A24" s="25" t="str">
        <f>'Форма 4т'!A376</f>
        <v>10.</v>
      </c>
      <c r="B24" s="25">
        <f t="shared" si="0"/>
        <v>52363.94</v>
      </c>
      <c r="C24" s="25">
        <v>24591.17</v>
      </c>
      <c r="D24" s="25">
        <v>82.98</v>
      </c>
      <c r="E24" s="25">
        <v>34.86</v>
      </c>
      <c r="F24" s="25">
        <v>27689.79</v>
      </c>
      <c r="G24" s="25">
        <v>0</v>
      </c>
      <c r="H24" s="25">
        <v>0</v>
      </c>
      <c r="I24" s="26">
        <v>151.27000000000001</v>
      </c>
      <c r="J24" s="26">
        <v>0</v>
      </c>
      <c r="K24" s="26">
        <v>0.13</v>
      </c>
      <c r="L24" s="25">
        <v>0</v>
      </c>
      <c r="M24" s="25">
        <v>0</v>
      </c>
      <c r="N24" s="25">
        <v>20439.604899999998</v>
      </c>
      <c r="O24" s="25">
        <v>16006.9195</v>
      </c>
      <c r="P24" s="25">
        <v>20410.6711</v>
      </c>
      <c r="Q24" s="25">
        <v>28.933800000000002</v>
      </c>
      <c r="R24" s="25">
        <v>15984.2605</v>
      </c>
      <c r="S24" s="25">
        <v>22.658999999999999</v>
      </c>
      <c r="T24" s="25">
        <v>0</v>
      </c>
      <c r="U24" s="25">
        <v>0</v>
      </c>
      <c r="V24" s="25">
        <v>0</v>
      </c>
      <c r="X24" s="25">
        <v>0</v>
      </c>
      <c r="Y24" s="25">
        <v>0</v>
      </c>
      <c r="Z24" s="25">
        <v>0</v>
      </c>
      <c r="AA24" s="25">
        <v>0</v>
      </c>
      <c r="AB24" s="25">
        <v>0</v>
      </c>
      <c r="AC24" s="25">
        <v>0</v>
      </c>
      <c r="AD24" s="25">
        <v>0</v>
      </c>
      <c r="AE24" s="25">
        <v>0</v>
      </c>
      <c r="AH24" s="25">
        <v>0</v>
      </c>
      <c r="AI24" s="25">
        <v>0</v>
      </c>
      <c r="AJ24" s="25">
        <v>0</v>
      </c>
      <c r="AK24" s="25">
        <v>0</v>
      </c>
    </row>
    <row r="25" spans="1:37">
      <c r="A25" s="25" t="str">
        <f>'Форма 4т'!A395</f>
        <v>11.</v>
      </c>
      <c r="B25" s="25">
        <f t="shared" si="0"/>
        <v>2430.81</v>
      </c>
      <c r="C25" s="25">
        <v>2430.81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6">
        <v>14.317500000000001</v>
      </c>
      <c r="J25" s="26">
        <v>0</v>
      </c>
      <c r="K25" s="26">
        <v>0</v>
      </c>
      <c r="L25" s="25">
        <v>0</v>
      </c>
      <c r="M25" s="25">
        <v>0</v>
      </c>
      <c r="N25" s="25">
        <v>2309.2694999999999</v>
      </c>
      <c r="O25" s="25">
        <v>1142.4807000000001</v>
      </c>
      <c r="P25" s="25">
        <v>2309.2694999999999</v>
      </c>
      <c r="Q25" s="25">
        <v>0</v>
      </c>
      <c r="R25" s="25">
        <v>1142.4807000000001</v>
      </c>
      <c r="S25" s="25">
        <v>0</v>
      </c>
      <c r="T25" s="25">
        <v>0</v>
      </c>
      <c r="U25" s="25">
        <v>0</v>
      </c>
      <c r="V25" s="25">
        <v>0</v>
      </c>
      <c r="X25" s="25">
        <v>0</v>
      </c>
      <c r="Y25" s="25">
        <v>0</v>
      </c>
      <c r="Z25" s="25">
        <v>0</v>
      </c>
      <c r="AA25" s="25">
        <v>0</v>
      </c>
      <c r="AB25" s="25">
        <v>0</v>
      </c>
      <c r="AC25" s="25">
        <v>0</v>
      </c>
      <c r="AD25" s="25">
        <v>0</v>
      </c>
      <c r="AE25" s="25">
        <v>0</v>
      </c>
      <c r="AH25" s="25">
        <v>0</v>
      </c>
      <c r="AI25" s="25">
        <v>0</v>
      </c>
      <c r="AJ25" s="25">
        <v>0</v>
      </c>
      <c r="AK25" s="25">
        <v>0</v>
      </c>
    </row>
    <row r="26" spans="1:37">
      <c r="A26" s="25" t="str">
        <f>'Форма 4т'!A415</f>
        <v>12.</v>
      </c>
      <c r="B26" s="25">
        <f t="shared" si="0"/>
        <v>3485.48</v>
      </c>
      <c r="C26" s="25">
        <v>1584.32</v>
      </c>
      <c r="D26" s="25">
        <v>34.619999999999997</v>
      </c>
      <c r="E26" s="25">
        <v>3.35</v>
      </c>
      <c r="F26" s="25">
        <v>1866.54</v>
      </c>
      <c r="G26" s="25">
        <v>0</v>
      </c>
      <c r="H26" s="25">
        <v>0</v>
      </c>
      <c r="I26" s="26">
        <v>8.9815000000000005</v>
      </c>
      <c r="J26" s="26">
        <v>0</v>
      </c>
      <c r="K26" s="26">
        <v>1.2500000000000001E-2</v>
      </c>
      <c r="L26" s="25">
        <v>0</v>
      </c>
      <c r="M26" s="25">
        <v>0</v>
      </c>
      <c r="N26" s="25">
        <v>1508.2864999999999</v>
      </c>
      <c r="O26" s="25">
        <v>746.20489999999995</v>
      </c>
      <c r="P26" s="25">
        <v>1505.104</v>
      </c>
      <c r="Q26" s="25">
        <v>3.1825000000000001</v>
      </c>
      <c r="R26" s="25">
        <v>744.63040000000001</v>
      </c>
      <c r="S26" s="25">
        <v>1.5745</v>
      </c>
      <c r="T26" s="25">
        <v>0</v>
      </c>
      <c r="U26" s="25">
        <v>0</v>
      </c>
      <c r="V26" s="25">
        <v>0</v>
      </c>
      <c r="X26" s="25">
        <v>0</v>
      </c>
      <c r="Y26" s="25">
        <v>0</v>
      </c>
      <c r="Z26" s="25">
        <v>0</v>
      </c>
      <c r="AA26" s="25">
        <v>0</v>
      </c>
      <c r="AB26" s="25">
        <v>0</v>
      </c>
      <c r="AC26" s="25">
        <v>0</v>
      </c>
      <c r="AD26" s="25">
        <v>0</v>
      </c>
      <c r="AE26" s="25">
        <v>0</v>
      </c>
      <c r="AH26" s="25">
        <v>0</v>
      </c>
      <c r="AI26" s="25">
        <v>0</v>
      </c>
      <c r="AJ26" s="25">
        <v>0</v>
      </c>
      <c r="AK26" s="25">
        <v>0</v>
      </c>
    </row>
    <row r="28" spans="1:37">
      <c r="B28" s="49" t="s">
        <v>144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</row>
    <row r="29" spans="1:37"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</row>
    <row r="30" spans="1:37">
      <c r="A30" s="25" t="str">
        <f>'Форма 4т'!A528</f>
        <v>13.</v>
      </c>
      <c r="B30" s="25">
        <f>ROUND(C30+D30+F30+AF30+AG30,2)</f>
        <v>32668.83</v>
      </c>
      <c r="C30" s="25">
        <v>26829.52</v>
      </c>
      <c r="D30" s="25">
        <v>1197.8499999999999</v>
      </c>
      <c r="E30" s="25">
        <v>586.1</v>
      </c>
      <c r="F30" s="25">
        <v>4641.46</v>
      </c>
      <c r="G30" s="25">
        <v>0</v>
      </c>
      <c r="H30" s="25">
        <v>0</v>
      </c>
      <c r="I30" s="26">
        <v>148.46</v>
      </c>
      <c r="J30" s="26">
        <v>0</v>
      </c>
      <c r="K30" s="26">
        <v>2.1800000000000002</v>
      </c>
      <c r="L30" s="25">
        <v>0</v>
      </c>
      <c r="M30" s="25">
        <v>0</v>
      </c>
      <c r="N30" s="25">
        <v>22754.964599999999</v>
      </c>
      <c r="O30" s="25">
        <v>17820.152999999998</v>
      </c>
      <c r="P30" s="25">
        <v>22268.5016</v>
      </c>
      <c r="Q30" s="25">
        <v>486.46300000000002</v>
      </c>
      <c r="R30" s="25">
        <v>17439.187999999998</v>
      </c>
      <c r="S30" s="25">
        <v>380.96499999999997</v>
      </c>
      <c r="T30" s="25">
        <v>0</v>
      </c>
      <c r="U30" s="25">
        <v>0</v>
      </c>
      <c r="V30" s="25">
        <v>0</v>
      </c>
      <c r="X30" s="25">
        <v>0</v>
      </c>
      <c r="Y30" s="25">
        <v>0</v>
      </c>
      <c r="Z30" s="25">
        <v>0</v>
      </c>
      <c r="AA30" s="25">
        <v>0</v>
      </c>
      <c r="AB30" s="25">
        <v>0</v>
      </c>
      <c r="AC30" s="25">
        <v>0</v>
      </c>
      <c r="AD30" s="25">
        <v>0</v>
      </c>
      <c r="AE30" s="25">
        <v>0</v>
      </c>
      <c r="AH30" s="25">
        <v>0</v>
      </c>
      <c r="AI30" s="25">
        <v>0</v>
      </c>
      <c r="AJ30" s="25">
        <v>0</v>
      </c>
      <c r="AK30" s="25">
        <v>0</v>
      </c>
    </row>
    <row r="31" spans="1:37">
      <c r="A31" s="25" t="str">
        <f>'Форма 4т'!A547</f>
        <v>14.</v>
      </c>
      <c r="B31" s="25">
        <f>ROUND(C31+D31+F31+AF31+AG31,2)</f>
        <v>2430.81</v>
      </c>
      <c r="C31" s="25">
        <v>2430.81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6">
        <v>14.317500000000001</v>
      </c>
      <c r="J31" s="26">
        <v>0</v>
      </c>
      <c r="K31" s="26">
        <v>0</v>
      </c>
      <c r="L31" s="25">
        <v>0</v>
      </c>
      <c r="M31" s="25">
        <v>0</v>
      </c>
      <c r="N31" s="25">
        <v>2309.2694999999999</v>
      </c>
      <c r="O31" s="25">
        <v>1142.4807000000001</v>
      </c>
      <c r="P31" s="25">
        <v>2309.2694999999999</v>
      </c>
      <c r="Q31" s="25">
        <v>0</v>
      </c>
      <c r="R31" s="25">
        <v>1142.4807000000001</v>
      </c>
      <c r="S31" s="25">
        <v>0</v>
      </c>
      <c r="T31" s="25">
        <v>0</v>
      </c>
      <c r="U31" s="25">
        <v>0</v>
      </c>
      <c r="V31" s="25">
        <v>0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H31" s="25">
        <v>0</v>
      </c>
      <c r="AI31" s="25">
        <v>0</v>
      </c>
      <c r="AJ31" s="25">
        <v>0</v>
      </c>
      <c r="AK31" s="25">
        <v>0</v>
      </c>
    </row>
    <row r="32" spans="1:37">
      <c r="A32" s="25" t="str">
        <f>'Форма 4т'!A567</f>
        <v>15.</v>
      </c>
      <c r="B32" s="25">
        <f>ROUND(C32+D32+F32+AF32+AG32,2)</f>
        <v>3485.48</v>
      </c>
      <c r="C32" s="25">
        <v>1584.32</v>
      </c>
      <c r="D32" s="25">
        <v>34.619999999999997</v>
      </c>
      <c r="E32" s="25">
        <v>3.35</v>
      </c>
      <c r="F32" s="25">
        <v>1866.54</v>
      </c>
      <c r="G32" s="25">
        <v>0</v>
      </c>
      <c r="H32" s="25">
        <v>0</v>
      </c>
      <c r="I32" s="26">
        <v>8.9815000000000005</v>
      </c>
      <c r="J32" s="26">
        <v>0</v>
      </c>
      <c r="K32" s="26">
        <v>1.2500000000000001E-2</v>
      </c>
      <c r="L32" s="25">
        <v>0</v>
      </c>
      <c r="M32" s="25">
        <v>0</v>
      </c>
      <c r="N32" s="25">
        <v>1508.2864999999999</v>
      </c>
      <c r="O32" s="25">
        <v>746.20489999999995</v>
      </c>
      <c r="P32" s="25">
        <v>1505.104</v>
      </c>
      <c r="Q32" s="25">
        <v>3.1825000000000001</v>
      </c>
      <c r="R32" s="25">
        <v>744.63040000000001</v>
      </c>
      <c r="S32" s="25">
        <v>1.5745</v>
      </c>
      <c r="T32" s="25">
        <v>0</v>
      </c>
      <c r="U32" s="25">
        <v>0</v>
      </c>
      <c r="V32" s="25">
        <v>0</v>
      </c>
      <c r="X32" s="25">
        <v>0</v>
      </c>
      <c r="Y32" s="25">
        <v>0</v>
      </c>
      <c r="Z32" s="25">
        <v>0</v>
      </c>
      <c r="AA32" s="25">
        <v>0</v>
      </c>
      <c r="AB32" s="25">
        <v>0</v>
      </c>
      <c r="AC32" s="25">
        <v>0</v>
      </c>
      <c r="AD32" s="25">
        <v>0</v>
      </c>
      <c r="AE32" s="25">
        <v>0</v>
      </c>
      <c r="AH32" s="25">
        <v>0</v>
      </c>
      <c r="AI32" s="25">
        <v>0</v>
      </c>
      <c r="AJ32" s="25">
        <v>0</v>
      </c>
      <c r="AK32" s="25">
        <v>0</v>
      </c>
    </row>
  </sheetData>
  <mergeCells count="8">
    <mergeCell ref="B19:N20"/>
    <mergeCell ref="B28:N29"/>
    <mergeCell ref="A2:N2"/>
    <mergeCell ref="B3:N3"/>
    <mergeCell ref="B4:N4"/>
    <mergeCell ref="A5:N5"/>
    <mergeCell ref="B7:N8"/>
    <mergeCell ref="B13:N14"/>
  </mergeCell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K32"/>
  <sheetViews>
    <sheetView workbookViewId="0"/>
  </sheetViews>
  <sheetFormatPr defaultRowHeight="10.5"/>
  <cols>
    <col min="1" max="1" width="5.7109375" style="26" customWidth="1"/>
    <col min="2" max="16384" width="9.140625" style="25"/>
  </cols>
  <sheetData>
    <row r="1" spans="1:37" s="27" customFormat="1">
      <c r="A1" s="7"/>
      <c r="B1" s="27" t="s">
        <v>162</v>
      </c>
      <c r="C1" s="27" t="s">
        <v>163</v>
      </c>
      <c r="D1" s="27" t="s">
        <v>164</v>
      </c>
      <c r="E1" s="27" t="s">
        <v>165</v>
      </c>
      <c r="F1" s="27" t="s">
        <v>166</v>
      </c>
      <c r="G1" s="27" t="s">
        <v>167</v>
      </c>
      <c r="H1" s="27" t="s">
        <v>168</v>
      </c>
      <c r="I1" s="27" t="s">
        <v>169</v>
      </c>
      <c r="J1" s="27" t="s">
        <v>170</v>
      </c>
      <c r="K1" s="27" t="s">
        <v>171</v>
      </c>
      <c r="L1" s="27" t="s">
        <v>172</v>
      </c>
      <c r="M1" s="27" t="s">
        <v>173</v>
      </c>
      <c r="N1" s="27" t="s">
        <v>174</v>
      </c>
      <c r="O1" s="27" t="s">
        <v>175</v>
      </c>
      <c r="P1" s="27" t="s">
        <v>176</v>
      </c>
      <c r="Q1" s="27" t="s">
        <v>177</v>
      </c>
      <c r="R1" s="27" t="s">
        <v>178</v>
      </c>
      <c r="S1" s="27" t="s">
        <v>179</v>
      </c>
      <c r="T1" s="27" t="s">
        <v>180</v>
      </c>
      <c r="U1" s="27" t="s">
        <v>181</v>
      </c>
      <c r="V1" s="27" t="s">
        <v>182</v>
      </c>
      <c r="X1" s="27" t="s">
        <v>183</v>
      </c>
      <c r="Y1" s="27" t="s">
        <v>184</v>
      </c>
      <c r="Z1" s="27" t="s">
        <v>185</v>
      </c>
      <c r="AA1" s="27" t="s">
        <v>186</v>
      </c>
      <c r="AB1" s="27" t="s">
        <v>187</v>
      </c>
      <c r="AC1" s="27" t="s">
        <v>188</v>
      </c>
      <c r="AD1" s="27" t="s">
        <v>189</v>
      </c>
      <c r="AE1" s="27" t="s">
        <v>190</v>
      </c>
      <c r="AF1" s="27" t="s">
        <v>191</v>
      </c>
      <c r="AG1" s="27" t="s">
        <v>192</v>
      </c>
      <c r="AH1" s="27" t="s">
        <v>193</v>
      </c>
      <c r="AI1" s="27" t="s">
        <v>194</v>
      </c>
      <c r="AJ1" s="27" t="s">
        <v>195</v>
      </c>
      <c r="AK1" s="27" t="s">
        <v>196</v>
      </c>
    </row>
    <row r="2" spans="1:37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37">
      <c r="A3" s="28"/>
      <c r="B3" s="62" t="s">
        <v>197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1:37">
      <c r="A4" s="28"/>
      <c r="B4" s="62" t="s">
        <v>198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</row>
    <row r="5" spans="1:37">
      <c r="A5" s="60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</row>
    <row r="7" spans="1:37">
      <c r="B7" s="49" t="s">
        <v>26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37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37">
      <c r="A9" s="29" t="str">
        <f>'Форма 4т'!A19</f>
        <v>1.</v>
      </c>
      <c r="B9" s="29">
        <f>ROUND(C9+D9+F9+AF9+AG9,0)</f>
        <v>40</v>
      </c>
      <c r="C9" s="29">
        <f>ROUND('Форма 4т'!C19*'Базовые цены за единицу'!C9,0)</f>
        <v>35</v>
      </c>
      <c r="D9" s="29">
        <f>ROUND('Форма 4т'!C19*'Базовые цены за единицу'!D9,0)</f>
        <v>5</v>
      </c>
      <c r="E9" s="29">
        <f>ROUND('Форма 4т'!C19*'Базовые цены за единицу'!E9,0)</f>
        <v>1</v>
      </c>
      <c r="F9" s="29">
        <f>ROUND('Форма 4т'!C19*'Базовые цены за единицу'!F9,0)</f>
        <v>0</v>
      </c>
      <c r="G9" s="29">
        <f>ROUND('Форма 4т'!C19*'Базовые цены за единицу'!G9,0)</f>
        <v>0</v>
      </c>
      <c r="H9" s="29">
        <f>ROUND('Форма 4т'!C19*'Базовые цены за единицу'!H9,0)</f>
        <v>0</v>
      </c>
      <c r="I9" s="30" t="e">
        <f ca="1">ОКРУГЛВСЕ('Форма 4т'!C19*'Базовые цены за единицу'!I9,8)</f>
        <v>#NAME?</v>
      </c>
      <c r="J9" s="26" t="e">
        <f ca="1">ОКРУГЛВСЕ('Форма 4т'!C19*'Базовые цены за единицу'!J9,8)</f>
        <v>#NAME?</v>
      </c>
      <c r="K9" s="30" t="e">
        <f ca="1">ОКРУГЛВСЕ('Форма 4т'!C19*'Базовые цены за единицу'!K9,8)</f>
        <v>#NAME?</v>
      </c>
      <c r="L9" s="29">
        <f>ROUND('Форма 4т'!C19*'Базовые цены за единицу'!L9,0)</f>
        <v>0</v>
      </c>
      <c r="M9" s="29">
        <f>ROUND('Форма 4т'!C19*'Базовые цены за единицу'!M9,0)</f>
        <v>0</v>
      </c>
      <c r="N9" s="29">
        <f>ROUND((C9+E9)*'Форма 4т'!D30/100,0)</f>
        <v>30</v>
      </c>
      <c r="O9" s="29">
        <f>ROUND((C9+E9)*'Форма 4т'!D33/100,0)</f>
        <v>23</v>
      </c>
      <c r="P9" s="29">
        <f>ROUND('Форма 4т'!C19*'Базовые цены за единицу'!P9,0)</f>
        <v>29</v>
      </c>
      <c r="Q9" s="29">
        <f>ROUND('Форма 4т'!C19*'Базовые цены за единицу'!Q9,0)</f>
        <v>1</v>
      </c>
      <c r="R9" s="29">
        <f>ROUND('Форма 4т'!C19*'Базовые цены за единицу'!R9,0)</f>
        <v>23</v>
      </c>
      <c r="S9" s="29">
        <f>ROUND('Форма 4т'!C19*'Базовые цены за единицу'!S9,0)</f>
        <v>0</v>
      </c>
      <c r="T9" s="29">
        <f>ROUND('Форма 4т'!C19*'Базовые цены за единицу'!T9,0)</f>
        <v>0</v>
      </c>
      <c r="U9" s="29">
        <f>ROUND('Форма 4т'!C19*'Базовые цены за единицу'!U9,0)</f>
        <v>0</v>
      </c>
      <c r="V9" s="29">
        <f>ROUND('Форма 4т'!C19*'Базовые цены за единицу'!V9,0)</f>
        <v>0</v>
      </c>
      <c r="X9" s="25">
        <f>ROUND('Форма 4т'!C19*'Базовые цены за единицу'!X9,0)</f>
        <v>0</v>
      </c>
      <c r="Y9" s="25">
        <f>IF(Определители!I9="9",ROUND((C9+E9)*(Начисления!M9/100)*('Форма 4т'!D30/100),0),0)</f>
        <v>0</v>
      </c>
      <c r="Z9" s="25">
        <f>IF(Определители!I9="9",ROUND((C9+E9)*(100-Начисления!M9/100)*('Форма 4т'!D30/100),0),0)</f>
        <v>0</v>
      </c>
      <c r="AA9" s="25">
        <f>IF(Определители!I9="9",ROUND((C9+E9)*(Начисления!M9/100)*('Форма 4т'!D33/100),0),0)</f>
        <v>0</v>
      </c>
      <c r="AB9" s="25">
        <f>IF(Определители!I9="9",ROUND((C9+E9)*(100-Начисления!M9/100)*('Форма 4т'!D33/100),0),0)</f>
        <v>0</v>
      </c>
      <c r="AC9" s="25">
        <f>IF(Определители!I9="9",ROUND(B9*Начисления!M9/100,0),0)</f>
        <v>0</v>
      </c>
      <c r="AD9" s="25">
        <f>IF(Определители!I9="9",ROUND(B9*(100-Начисления!M9)/100,0),0)</f>
        <v>0</v>
      </c>
      <c r="AE9" s="25">
        <f>ROUND('Форма 4т'!C19*'Базовые цены за единицу'!AE9,0)</f>
        <v>0</v>
      </c>
      <c r="AH9" s="25">
        <f>ROUND('Форма 4т'!C19*'Базовые цены за единицу'!AH9,0)</f>
        <v>0</v>
      </c>
      <c r="AI9" s="25">
        <f>ROUND('Форма 4т'!C19*'Базовые цены за единицу'!AI9,0)</f>
        <v>0</v>
      </c>
      <c r="AJ9" s="25">
        <f>ROUND('Форма 4т'!C19*'Базовые цены за единицу'!AJ9,0)</f>
        <v>0</v>
      </c>
      <c r="AK9" s="25">
        <f>ROUND('Форма 4т'!C19*'Базовые цены за единицу'!AK9,0)</f>
        <v>0</v>
      </c>
    </row>
    <row r="10" spans="1:37">
      <c r="A10" s="29" t="str">
        <f>'Форма 4т'!A38</f>
        <v>2.</v>
      </c>
      <c r="B10" s="29">
        <f>ROUND(C10+D10+F10+AF10+AG10,0)</f>
        <v>612</v>
      </c>
      <c r="C10" s="29">
        <f>ROUND('Форма 4т'!C38*'Базовые цены за единицу'!C10,0)</f>
        <v>46</v>
      </c>
      <c r="D10" s="29">
        <f>ROUND('Форма 4т'!C38*'Базовые цены за единицу'!D10,0)</f>
        <v>20</v>
      </c>
      <c r="E10" s="29">
        <f>ROUND('Форма 4т'!C38*'Базовые цены за единицу'!E10,0)</f>
        <v>1</v>
      </c>
      <c r="F10" s="29">
        <f>ROUND('Форма 4т'!C38*'Базовые цены за единицу'!F10,0)</f>
        <v>546</v>
      </c>
      <c r="G10" s="29">
        <f>ROUND('Форма 4т'!C38*'Базовые цены за единицу'!G10,0)</f>
        <v>0</v>
      </c>
      <c r="H10" s="29">
        <f>ROUND('Форма 4т'!C38*'Базовые цены за единицу'!H10,0)</f>
        <v>0</v>
      </c>
      <c r="I10" s="30" t="e">
        <f ca="1">ОКРУГЛВСЕ('Форма 4т'!C38*'Базовые цены за единицу'!I10,8)</f>
        <v>#NAME?</v>
      </c>
      <c r="J10" s="26" t="e">
        <f ca="1">ОКРУГЛВСЕ('Форма 4т'!C38*'Базовые цены за единицу'!J10,8)</f>
        <v>#NAME?</v>
      </c>
      <c r="K10" s="30" t="e">
        <f ca="1">ОКРУГЛВСЕ('Форма 4т'!C38*'Базовые цены за единицу'!K10,8)</f>
        <v>#NAME?</v>
      </c>
      <c r="L10" s="29">
        <f>ROUND('Форма 4т'!C38*'Базовые цены за единицу'!L10,0)</f>
        <v>0</v>
      </c>
      <c r="M10" s="29">
        <f>ROUND('Форма 4т'!C38*'Базовые цены за единицу'!M10,0)</f>
        <v>0</v>
      </c>
      <c r="N10" s="29">
        <f>ROUND((C10+E10)*'Форма 4т'!D50/100,0)</f>
        <v>50</v>
      </c>
      <c r="O10" s="29">
        <f>ROUND((C10+E10)*'Форма 4т'!D53/100,0)</f>
        <v>25</v>
      </c>
      <c r="P10" s="29">
        <f>ROUND('Форма 4т'!C38*'Базовые цены за единицу'!P10,0)</f>
        <v>49</v>
      </c>
      <c r="Q10" s="29">
        <f>ROUND('Форма 4т'!C38*'Базовые цены за единицу'!Q10,0)</f>
        <v>2</v>
      </c>
      <c r="R10" s="29">
        <f>ROUND('Форма 4т'!C38*'Базовые цены за единицу'!R10,0)</f>
        <v>25</v>
      </c>
      <c r="S10" s="29">
        <f>ROUND('Форма 4т'!C38*'Базовые цены за единицу'!S10,0)</f>
        <v>1</v>
      </c>
      <c r="T10" s="29">
        <f>ROUND('Форма 4т'!C38*'Базовые цены за единицу'!T10,0)</f>
        <v>0</v>
      </c>
      <c r="U10" s="29">
        <f>ROUND('Форма 4т'!C38*'Базовые цены за единицу'!U10,0)</f>
        <v>0</v>
      </c>
      <c r="V10" s="29">
        <f>ROUND('Форма 4т'!C38*'Базовые цены за единицу'!V10,0)</f>
        <v>0</v>
      </c>
      <c r="X10" s="25">
        <f>ROUND('Форма 4т'!C38*'Базовые цены за единицу'!X10,0)</f>
        <v>0</v>
      </c>
      <c r="Y10" s="25">
        <f>IF(Определители!I10="9",ROUND((C10+E10)*(Начисления!M10/100)*('Форма 4т'!D50/100),0),0)</f>
        <v>0</v>
      </c>
      <c r="Z10" s="25">
        <f>IF(Определители!I10="9",ROUND((C10+E10)*(100-Начисления!M10/100)*('Форма 4т'!D50/100),0),0)</f>
        <v>0</v>
      </c>
      <c r="AA10" s="25">
        <f>IF(Определители!I10="9",ROUND((C10+E10)*(Начисления!M10/100)*('Форма 4т'!D53/100),0),0)</f>
        <v>0</v>
      </c>
      <c r="AB10" s="25">
        <f>IF(Определители!I10="9",ROUND((C10+E10)*(100-Начисления!M10/100)*('Форма 4т'!D53/100),0),0)</f>
        <v>0</v>
      </c>
      <c r="AC10" s="25">
        <f>IF(Определители!I10="9",ROUND(B10*Начисления!M10/100,0),0)</f>
        <v>0</v>
      </c>
      <c r="AD10" s="25">
        <f>IF(Определители!I10="9",ROUND(B10*(100-Начисления!M10)/100,0),0)</f>
        <v>0</v>
      </c>
      <c r="AE10" s="25">
        <f>ROUND('Форма 4т'!C38*'Базовые цены за единицу'!AE10,0)</f>
        <v>0</v>
      </c>
      <c r="AH10" s="25">
        <f>ROUND('Форма 4т'!C38*'Базовые цены за единицу'!AH10,0)</f>
        <v>0</v>
      </c>
      <c r="AI10" s="25">
        <f>ROUND('Форма 4т'!C38*'Базовые цены за единицу'!AI10,0)</f>
        <v>0</v>
      </c>
      <c r="AJ10" s="25">
        <f>ROUND('Форма 4т'!C38*'Базовые цены за единицу'!AJ10,0)</f>
        <v>0</v>
      </c>
      <c r="AK10" s="25">
        <f>ROUND('Форма 4т'!C38*'Базовые цены за единицу'!AK10,0)</f>
        <v>0</v>
      </c>
    </row>
    <row r="11" spans="1:37">
      <c r="A11" s="29" t="str">
        <f>'Форма 4т'!A58</f>
        <v>3.</v>
      </c>
      <c r="B11" s="29">
        <f>ROUND(C11+D11+F11+AF11+AG11,0)</f>
        <v>4911</v>
      </c>
      <c r="C11" s="29">
        <f>ROUND('Форма 4т'!C58*'Базовые цены за единицу'!C11,0)</f>
        <v>285</v>
      </c>
      <c r="D11" s="29">
        <f>ROUND('Форма 4т'!C58*'Базовые цены за единицу'!D11,0)</f>
        <v>20</v>
      </c>
      <c r="E11" s="29">
        <f>ROUND('Форма 4т'!C58*'Базовые цены за единицу'!E11,0)</f>
        <v>1</v>
      </c>
      <c r="F11" s="29">
        <f>ROUND('Форма 4т'!C58*'Базовые цены за единицу'!F11,0)</f>
        <v>4606</v>
      </c>
      <c r="G11" s="29">
        <f>ROUND('Форма 4т'!C58*'Базовые цены за единицу'!G11,0)</f>
        <v>0</v>
      </c>
      <c r="H11" s="29">
        <f>ROUND('Форма 4т'!C58*'Базовые цены за единицу'!H11,0)</f>
        <v>0</v>
      </c>
      <c r="I11" s="30" t="e">
        <f ca="1">ОКРУГЛВСЕ('Форма 4т'!C58*'Базовые цены за единицу'!I11,8)</f>
        <v>#NAME?</v>
      </c>
      <c r="J11" s="26" t="e">
        <f ca="1">ОКРУГЛВСЕ('Форма 4т'!C58*'Базовые цены за единицу'!J11,8)</f>
        <v>#NAME?</v>
      </c>
      <c r="K11" s="30" t="e">
        <f ca="1">ОКРУГЛВСЕ('Форма 4т'!C58*'Базовые цены за единицу'!K11,8)</f>
        <v>#NAME?</v>
      </c>
      <c r="L11" s="29">
        <f>ROUND('Форма 4т'!C58*'Базовые цены за единицу'!L11,0)</f>
        <v>0</v>
      </c>
      <c r="M11" s="29">
        <f>ROUND('Форма 4т'!C58*'Базовые цены за единицу'!M11,0)</f>
        <v>0</v>
      </c>
      <c r="N11" s="29">
        <f>ROUND((C11+E11)*'Форма 4т'!D69/100,0)</f>
        <v>237</v>
      </c>
      <c r="O11" s="29">
        <f>ROUND((C11+E11)*'Форма 4т'!D72/100,0)</f>
        <v>186</v>
      </c>
      <c r="P11" s="29">
        <f>ROUND('Форма 4т'!C58*'Базовые цены за единицу'!P11,0)</f>
        <v>237</v>
      </c>
      <c r="Q11" s="29">
        <f>ROUND('Форма 4т'!C58*'Базовые цены за единицу'!Q11,0)</f>
        <v>1</v>
      </c>
      <c r="R11" s="29">
        <f>ROUND('Форма 4т'!C58*'Базовые цены за единицу'!R11,0)</f>
        <v>185</v>
      </c>
      <c r="S11" s="29">
        <f>ROUND('Форма 4т'!C58*'Базовые цены за единицу'!S11,0)</f>
        <v>1</v>
      </c>
      <c r="T11" s="29">
        <f>ROUND('Форма 4т'!C58*'Базовые цены за единицу'!T11,0)</f>
        <v>0</v>
      </c>
      <c r="U11" s="29">
        <f>ROUND('Форма 4т'!C58*'Базовые цены за единицу'!U11,0)</f>
        <v>0</v>
      </c>
      <c r="V11" s="29">
        <f>ROUND('Форма 4т'!C58*'Базовые цены за единицу'!V11,0)</f>
        <v>0</v>
      </c>
      <c r="X11" s="25">
        <f>ROUND('Форма 4т'!C58*'Базовые цены за единицу'!X11,0)</f>
        <v>0</v>
      </c>
      <c r="Y11" s="25">
        <f>IF(Определители!I11="9",ROUND((C11+E11)*(Начисления!M11/100)*('Форма 4т'!D69/100),0),0)</f>
        <v>0</v>
      </c>
      <c r="Z11" s="25">
        <f>IF(Определители!I11="9",ROUND((C11+E11)*(100-Начисления!M11/100)*('Форма 4т'!D69/100),0),0)</f>
        <v>0</v>
      </c>
      <c r="AA11" s="25">
        <f>IF(Определители!I11="9",ROUND((C11+E11)*(Начисления!M11/100)*('Форма 4т'!D72/100),0),0)</f>
        <v>0</v>
      </c>
      <c r="AB11" s="25">
        <f>IF(Определители!I11="9",ROUND((C11+E11)*(100-Начисления!M11/100)*('Форма 4т'!D72/100),0),0)</f>
        <v>0</v>
      </c>
      <c r="AC11" s="25">
        <f>IF(Определители!I11="9",ROUND(B11*Начисления!M11/100,0),0)</f>
        <v>0</v>
      </c>
      <c r="AD11" s="25">
        <f>IF(Определители!I11="9",ROUND(B11*(100-Начисления!M11)/100,0),0)</f>
        <v>0</v>
      </c>
      <c r="AE11" s="25">
        <f>ROUND('Форма 4т'!C58*'Базовые цены за единицу'!AE11,0)</f>
        <v>0</v>
      </c>
      <c r="AH11" s="25">
        <f>ROUND('Форма 4т'!C58*'Базовые цены за единицу'!AH11,0)</f>
        <v>0</v>
      </c>
      <c r="AI11" s="25">
        <f>ROUND('Форма 4т'!C58*'Базовые цены за единицу'!AI11,0)</f>
        <v>0</v>
      </c>
      <c r="AJ11" s="25">
        <f>ROUND('Форма 4т'!C58*'Базовые цены за единицу'!AJ11,0)</f>
        <v>0</v>
      </c>
      <c r="AK11" s="25">
        <f>ROUND('Форма 4т'!C58*'Базовые цены за единицу'!AK11,0)</f>
        <v>0</v>
      </c>
    </row>
    <row r="13" spans="1:37">
      <c r="B13" s="49" t="s">
        <v>114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</row>
    <row r="14" spans="1:37"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37">
      <c r="A15" s="29" t="str">
        <f>'Форма 4т'!A169</f>
        <v>4.</v>
      </c>
      <c r="B15" s="29">
        <f>ROUND(C15+D15+F15+AF15+AG15,0)</f>
        <v>31</v>
      </c>
      <c r="C15" s="29">
        <f>ROUND('Форма 4т'!C169*'Базовые цены за единицу'!C15,0)</f>
        <v>26</v>
      </c>
      <c r="D15" s="29">
        <f>ROUND('Форма 4т'!C169*'Базовые цены за единицу'!D15,0)</f>
        <v>5</v>
      </c>
      <c r="E15" s="29">
        <f>ROUND('Форма 4т'!C169*'Базовые цены за единицу'!E15,0)</f>
        <v>0</v>
      </c>
      <c r="F15" s="29">
        <f>ROUND('Форма 4т'!C169*'Базовые цены за единицу'!F15,0)</f>
        <v>0</v>
      </c>
      <c r="G15" s="29">
        <f>ROUND('Форма 4т'!C169*'Базовые цены за единицу'!G15,0)</f>
        <v>0</v>
      </c>
      <c r="H15" s="29">
        <f>ROUND('Форма 4т'!C169*'Базовые цены за единицу'!H15,0)</f>
        <v>0</v>
      </c>
      <c r="I15" s="30" t="e">
        <f ca="1">ОКРУГЛВСЕ('Форма 4т'!C169*'Базовые цены за единицу'!I15,8)</f>
        <v>#NAME?</v>
      </c>
      <c r="J15" s="26" t="e">
        <f ca="1">ОКРУГЛВСЕ('Форма 4т'!C169*'Базовые цены за единицу'!J15,8)</f>
        <v>#NAME?</v>
      </c>
      <c r="K15" s="30" t="e">
        <f ca="1">ОКРУГЛВСЕ('Форма 4т'!C169*'Базовые цены за единицу'!K15,8)</f>
        <v>#NAME?</v>
      </c>
      <c r="L15" s="29">
        <f>ROUND('Форма 4т'!C169*'Базовые цены за единицу'!L15,0)</f>
        <v>0</v>
      </c>
      <c r="M15" s="29">
        <f>ROUND('Форма 4т'!C169*'Базовые цены за единицу'!M15,0)</f>
        <v>0</v>
      </c>
      <c r="N15" s="29">
        <f>ROUND((C15+E15)*'Форма 4т'!D180/100,0)</f>
        <v>26</v>
      </c>
      <c r="O15" s="29">
        <f>ROUND((C15+E15)*'Форма 4т'!D183/100,0)</f>
        <v>16</v>
      </c>
      <c r="P15" s="29">
        <f>ROUND('Форма 4т'!C169*'Базовые цены за единицу'!P15,0)</f>
        <v>26</v>
      </c>
      <c r="Q15" s="29">
        <f>ROUND('Форма 4т'!C169*'Базовые цены за единицу'!Q15,0)</f>
        <v>0</v>
      </c>
      <c r="R15" s="29">
        <f>ROUND('Форма 4т'!C169*'Базовые цены за единицу'!R15,0)</f>
        <v>16</v>
      </c>
      <c r="S15" s="29">
        <f>ROUND('Форма 4т'!C169*'Базовые цены за единицу'!S15,0)</f>
        <v>0</v>
      </c>
      <c r="T15" s="29">
        <f>ROUND('Форма 4т'!C169*'Базовые цены за единицу'!T15,0)</f>
        <v>0</v>
      </c>
      <c r="U15" s="29">
        <f>ROUND('Форма 4т'!C169*'Базовые цены за единицу'!U15,0)</f>
        <v>0</v>
      </c>
      <c r="V15" s="29">
        <f>ROUND('Форма 4т'!C169*'Базовые цены за единицу'!V15,0)</f>
        <v>0</v>
      </c>
      <c r="X15" s="25">
        <f>ROUND('Форма 4т'!C169*'Базовые цены за единицу'!X15,0)</f>
        <v>0</v>
      </c>
      <c r="Y15" s="25">
        <f>IF(Определители!I15="9",ROUND((C15+E15)*(Начисления!M15/100)*('Форма 4т'!D180/100),0),0)</f>
        <v>0</v>
      </c>
      <c r="Z15" s="25">
        <f>IF(Определители!I15="9",ROUND((C15+E15)*(100-Начисления!M15/100)*('Форма 4т'!D180/100),0),0)</f>
        <v>0</v>
      </c>
      <c r="AA15" s="25">
        <f>IF(Определители!I15="9",ROUND((C15+E15)*(Начисления!M15/100)*('Форма 4т'!D183/100),0),0)</f>
        <v>0</v>
      </c>
      <c r="AB15" s="25">
        <f>IF(Определители!I15="9",ROUND((C15+E15)*(100-Начисления!M15/100)*('Форма 4т'!D183/100),0),0)</f>
        <v>0</v>
      </c>
      <c r="AC15" s="25">
        <f>IF(Определители!I15="9",ROUND(B15*Начисления!M15/100,0),0)</f>
        <v>0</v>
      </c>
      <c r="AD15" s="25">
        <f>IF(Определители!I15="9",ROUND(B15*(100-Начисления!M15)/100,0),0)</f>
        <v>0</v>
      </c>
      <c r="AE15" s="25">
        <f>ROUND('Форма 4т'!C169*'Базовые цены за единицу'!AE15,0)</f>
        <v>0</v>
      </c>
      <c r="AH15" s="25">
        <f>ROUND('Форма 4т'!C169*'Базовые цены за единицу'!AH15,0)</f>
        <v>0</v>
      </c>
      <c r="AI15" s="25">
        <f>ROUND('Форма 4т'!C169*'Базовые цены за единицу'!AI15,0)</f>
        <v>0</v>
      </c>
      <c r="AJ15" s="25">
        <f>ROUND('Форма 4т'!C169*'Базовые цены за единицу'!AJ15,0)</f>
        <v>0</v>
      </c>
      <c r="AK15" s="25">
        <f>ROUND('Форма 4т'!C169*'Базовые цены за единицу'!AK15,0)</f>
        <v>0</v>
      </c>
    </row>
    <row r="16" spans="1:37">
      <c r="A16" s="29" t="str">
        <f>'Форма 4т'!A188</f>
        <v>5.</v>
      </c>
      <c r="B16" s="29">
        <f>ROUND(C16+D16+F16+AF16+AG16,0)</f>
        <v>438</v>
      </c>
      <c r="C16" s="29">
        <f>ROUND('Форма 4т'!C188*'Базовые цены за единицу'!C16,0)</f>
        <v>138</v>
      </c>
      <c r="D16" s="29">
        <f>ROUND('Форма 4т'!C188*'Базовые цены за единицу'!D16,0)</f>
        <v>237</v>
      </c>
      <c r="E16" s="29">
        <f>ROUND('Форма 4т'!C188*'Базовые цены за единицу'!E16,0)</f>
        <v>18</v>
      </c>
      <c r="F16" s="29">
        <f>ROUND('Форма 4т'!C188*'Базовые цены за единицу'!F16,0)</f>
        <v>63</v>
      </c>
      <c r="G16" s="29">
        <f>ROUND('Форма 4т'!C188*'Базовые цены за единицу'!G16,0)</f>
        <v>0</v>
      </c>
      <c r="H16" s="29">
        <f>ROUND('Форма 4т'!C188*'Базовые цены за единицу'!H16,0)</f>
        <v>0</v>
      </c>
      <c r="I16" s="30" t="e">
        <f ca="1">ОКРУГЛВСЕ('Форма 4т'!C188*'Базовые цены за единицу'!I16,8)</f>
        <v>#NAME?</v>
      </c>
      <c r="J16" s="26" t="e">
        <f ca="1">ОКРУГЛВСЕ('Форма 4т'!C188*'Базовые цены за единицу'!J16,8)</f>
        <v>#NAME?</v>
      </c>
      <c r="K16" s="30" t="e">
        <f ca="1">ОКРУГЛВСЕ('Форма 4т'!C188*'Базовые цены за единицу'!K16,8)</f>
        <v>#NAME?</v>
      </c>
      <c r="L16" s="29">
        <f>ROUND('Форма 4т'!C188*'Базовые цены за единицу'!L16,0)</f>
        <v>0</v>
      </c>
      <c r="M16" s="29">
        <f>ROUND('Форма 4т'!C188*'Базовые цены за единицу'!M16,0)</f>
        <v>0</v>
      </c>
      <c r="N16" s="29">
        <f>ROUND((C16+E16)*'Форма 4т'!D200/100,0)</f>
        <v>126</v>
      </c>
      <c r="O16" s="29">
        <f>ROUND((C16+E16)*'Форма 4т'!D203/100,0)</f>
        <v>112</v>
      </c>
      <c r="P16" s="29">
        <f>ROUND('Форма 4т'!C188*'Базовые цены за единицу'!P16,0)</f>
        <v>112</v>
      </c>
      <c r="Q16" s="29">
        <f>ROUND('Форма 4т'!C188*'Базовые цены за единицу'!Q16,0)</f>
        <v>15</v>
      </c>
      <c r="R16" s="29">
        <f>ROUND('Форма 4т'!C188*'Базовые цены за единицу'!R16,0)</f>
        <v>99</v>
      </c>
      <c r="S16" s="29">
        <f>ROUND('Форма 4т'!C188*'Базовые цены за единицу'!S16,0)</f>
        <v>13</v>
      </c>
      <c r="T16" s="29">
        <f>ROUND('Форма 4т'!C188*'Базовые цены за единицу'!T16,0)</f>
        <v>0</v>
      </c>
      <c r="U16" s="29">
        <f>ROUND('Форма 4т'!C188*'Базовые цены за единицу'!U16,0)</f>
        <v>0</v>
      </c>
      <c r="V16" s="29">
        <f>ROUND('Форма 4т'!C188*'Базовые цены за единицу'!V16,0)</f>
        <v>0</v>
      </c>
      <c r="X16" s="25">
        <f>ROUND('Форма 4т'!C188*'Базовые цены за единицу'!X16,0)</f>
        <v>0</v>
      </c>
      <c r="Y16" s="25">
        <f>IF(Определители!I16="9",ROUND((C16+E16)*(Начисления!M16/100)*('Форма 4т'!D200/100),0),0)</f>
        <v>0</v>
      </c>
      <c r="Z16" s="25">
        <f>IF(Определители!I16="9",ROUND((C16+E16)*(100-Начисления!M16/100)*('Форма 4т'!D200/100),0),0)</f>
        <v>0</v>
      </c>
      <c r="AA16" s="25">
        <f>IF(Определители!I16="9",ROUND((C16+E16)*(Начисления!M16/100)*('Форма 4т'!D203/100),0),0)</f>
        <v>0</v>
      </c>
      <c r="AB16" s="25">
        <f>IF(Определители!I16="9",ROUND((C16+E16)*(100-Начисления!M16/100)*('Форма 4т'!D203/100),0),0)</f>
        <v>0</v>
      </c>
      <c r="AC16" s="25">
        <f>IF(Определители!I16="9",ROUND(B16*Начисления!M16/100,0),0)</f>
        <v>0</v>
      </c>
      <c r="AD16" s="25">
        <f>IF(Определители!I16="9",ROUND(B16*(100-Начисления!M16)/100,0),0)</f>
        <v>0</v>
      </c>
      <c r="AE16" s="25">
        <f>ROUND('Форма 4т'!C188*'Базовые цены за единицу'!AE16,0)</f>
        <v>0</v>
      </c>
      <c r="AH16" s="25">
        <f>ROUND('Форма 4т'!C188*'Базовые цены за единицу'!AH16,0)</f>
        <v>0</v>
      </c>
      <c r="AI16" s="25">
        <f>ROUND('Форма 4т'!C188*'Базовые цены за единицу'!AI16,0)</f>
        <v>0</v>
      </c>
      <c r="AJ16" s="25">
        <f>ROUND('Форма 4т'!C188*'Базовые цены за единицу'!AJ16,0)</f>
        <v>0</v>
      </c>
      <c r="AK16" s="25">
        <f>ROUND('Форма 4т'!C188*'Базовые цены за единицу'!AK16,0)</f>
        <v>0</v>
      </c>
    </row>
    <row r="17" spans="1:37">
      <c r="A17" s="29" t="str">
        <f>'Форма 4т'!A208</f>
        <v>6.</v>
      </c>
      <c r="B17" s="29">
        <f>ROUND(C17+D17+F17+AF17+AG17,0)</f>
        <v>3787</v>
      </c>
      <c r="C17" s="29">
        <f>ROUND('Форма 4т'!C208*'Базовые цены за единицу'!C17,0)</f>
        <v>0</v>
      </c>
      <c r="D17" s="29">
        <f>ROUND('Форма 4т'!C208*'Базовые цены за единицу'!D17,0)</f>
        <v>0</v>
      </c>
      <c r="E17" s="29">
        <f>ROUND('Форма 4т'!C208*'Базовые цены за единицу'!E17,0)</f>
        <v>0</v>
      </c>
      <c r="F17" s="29">
        <f>ROUND('Форма 4т'!C208*'Базовые цены за единицу'!F17,0)</f>
        <v>3787</v>
      </c>
      <c r="G17" s="29">
        <f>ROUND('Форма 4т'!C208*'Базовые цены за единицу'!G17,0)</f>
        <v>3443</v>
      </c>
      <c r="H17" s="29">
        <f>ROUND('Форма 4т'!C208*'Базовые цены за единицу'!H17,0)</f>
        <v>0</v>
      </c>
      <c r="I17" s="30" t="e">
        <f ca="1">ОКРУГЛВСЕ('Форма 4т'!C208*'Базовые цены за единицу'!I17,8)</f>
        <v>#NAME?</v>
      </c>
      <c r="J17" s="26" t="e">
        <f ca="1">ОКРУГЛВСЕ('Форма 4т'!C208*'Базовые цены за единицу'!J17,8)</f>
        <v>#NAME?</v>
      </c>
      <c r="K17" s="30" t="e">
        <f ca="1">ОКРУГЛВСЕ('Форма 4т'!C208*'Базовые цены за единицу'!K17,8)</f>
        <v>#NAME?</v>
      </c>
      <c r="L17" s="29">
        <f>ROUND('Форма 4т'!C208*'Базовые цены за единицу'!L17,0)</f>
        <v>346</v>
      </c>
      <c r="M17" s="29">
        <f>ROUND('Форма 4т'!C208*'Базовые цены за единицу'!M17,0)</f>
        <v>0</v>
      </c>
      <c r="N17" s="29">
        <f>ROUND((C17+E17)*'Форма 4т'!D219/100,0)</f>
        <v>0</v>
      </c>
      <c r="O17" s="29">
        <f>ROUND((C17+E17)*'Форма 4т'!D222/100,0)</f>
        <v>0</v>
      </c>
      <c r="P17" s="29">
        <f>ROUND('Форма 4т'!C208*'Базовые цены за единицу'!P17,0)</f>
        <v>0</v>
      </c>
      <c r="Q17" s="29">
        <f>ROUND('Форма 4т'!C208*'Базовые цены за единицу'!Q17,0)</f>
        <v>0</v>
      </c>
      <c r="R17" s="29">
        <f>ROUND('Форма 4т'!C208*'Базовые цены за единицу'!R17,0)</f>
        <v>0</v>
      </c>
      <c r="S17" s="29">
        <f>ROUND('Форма 4т'!C208*'Базовые цены за единицу'!S17,0)</f>
        <v>0</v>
      </c>
      <c r="T17" s="29">
        <f>ROUND('Форма 4т'!C208*'Базовые цены за единицу'!T17,0)</f>
        <v>0</v>
      </c>
      <c r="U17" s="29">
        <f>ROUND('Форма 4т'!C208*'Базовые цены за единицу'!U17,0)</f>
        <v>0</v>
      </c>
      <c r="V17" s="29">
        <f>ROUND('Форма 4т'!C208*'Базовые цены за единицу'!V17,0)</f>
        <v>0</v>
      </c>
      <c r="X17" s="25">
        <f>ROUND('Форма 4т'!C208*'Базовые цены за единицу'!X17,0)</f>
        <v>0</v>
      </c>
      <c r="Y17" s="25">
        <f>IF(Определители!I17="9",ROUND((C17+E17)*(Начисления!M17/100)*('Форма 4т'!D219/100),0),0)</f>
        <v>0</v>
      </c>
      <c r="Z17" s="25">
        <f>IF(Определители!I17="9",ROUND((C17+E17)*(100-Начисления!M17/100)*('Форма 4т'!D219/100),0),0)</f>
        <v>0</v>
      </c>
      <c r="AA17" s="25">
        <f>IF(Определители!I17="9",ROUND((C17+E17)*(Начисления!M17/100)*('Форма 4т'!D222/100),0),0)</f>
        <v>0</v>
      </c>
      <c r="AB17" s="25">
        <f>IF(Определители!I17="9",ROUND((C17+E17)*(100-Начисления!M17/100)*('Форма 4т'!D222/100),0),0)</f>
        <v>0</v>
      </c>
      <c r="AC17" s="25">
        <f>IF(Определители!I17="9",ROUND(B17*Начисления!M17/100,0),0)</f>
        <v>0</v>
      </c>
      <c r="AD17" s="25">
        <f>IF(Определители!I17="9",ROUND(B17*(100-Начисления!M17)/100,0),0)</f>
        <v>0</v>
      </c>
      <c r="AE17" s="25">
        <f>ROUND('Форма 4т'!C208*'Базовые цены за единицу'!AE17,0)</f>
        <v>0</v>
      </c>
      <c r="AH17" s="25">
        <f>ROUND('Форма 4т'!C208*'Базовые цены за единицу'!AH17,0)</f>
        <v>0</v>
      </c>
      <c r="AI17" s="25">
        <f>ROUND('Форма 4т'!C208*'Базовые цены за единицу'!AI17,0)</f>
        <v>0</v>
      </c>
      <c r="AJ17" s="25">
        <f>ROUND('Форма 4т'!C208*'Базовые цены за единицу'!AJ17,0)</f>
        <v>0</v>
      </c>
      <c r="AK17" s="25">
        <f>ROUND('Форма 4т'!C208*'Базовые цены за единицу'!AK17,0)</f>
        <v>0</v>
      </c>
    </row>
    <row r="19" spans="1:37">
      <c r="B19" s="49" t="s">
        <v>127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</row>
    <row r="20" spans="1:37"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</row>
    <row r="21" spans="1:37">
      <c r="A21" s="29" t="str">
        <f>'Форма 4т'!A319</f>
        <v>7.</v>
      </c>
      <c r="B21" s="29">
        <f t="shared" ref="B21:B26" si="0">ROUND(C21+D21+F21+AF21+AG21,0)</f>
        <v>61</v>
      </c>
      <c r="C21" s="29">
        <f>ROUND('Форма 4т'!C319*'Базовые цены за единицу'!C21,0)</f>
        <v>51</v>
      </c>
      <c r="D21" s="29">
        <f>ROUND('Форма 4т'!C319*'Базовые цены за единицу'!D21,0)</f>
        <v>10</v>
      </c>
      <c r="E21" s="29">
        <f>ROUND('Форма 4т'!C319*'Базовые цены за единицу'!E21,0)</f>
        <v>0</v>
      </c>
      <c r="F21" s="29">
        <f>ROUND('Форма 4т'!C319*'Базовые цены за единицу'!F21,0)</f>
        <v>0</v>
      </c>
      <c r="G21" s="29">
        <f>ROUND('Форма 4т'!C319*'Базовые цены за единицу'!G21,0)</f>
        <v>0</v>
      </c>
      <c r="H21" s="29">
        <f>ROUND('Форма 4т'!C319*'Базовые цены за единицу'!H21,0)</f>
        <v>0</v>
      </c>
      <c r="I21" s="30" t="e">
        <f ca="1">ОКРУГЛВСЕ('Форма 4т'!C319*'Базовые цены за единицу'!I21,8)</f>
        <v>#NAME?</v>
      </c>
      <c r="J21" s="26" t="e">
        <f ca="1">ОКРУГЛВСЕ('Форма 4т'!C319*'Базовые цены за единицу'!J21,8)</f>
        <v>#NAME?</v>
      </c>
      <c r="K21" s="30" t="e">
        <f ca="1">ОКРУГЛВСЕ('Форма 4т'!C319*'Базовые цены за единицу'!K21,8)</f>
        <v>#NAME?</v>
      </c>
      <c r="L21" s="29">
        <f>ROUND('Форма 4т'!C319*'Базовые цены за единицу'!L21,0)</f>
        <v>0</v>
      </c>
      <c r="M21" s="29">
        <f>ROUND('Форма 4т'!C319*'Базовые цены за единицу'!M21,0)</f>
        <v>0</v>
      </c>
      <c r="N21" s="29">
        <f>ROUND((C21+E21)*'Форма 4т'!D330/100,0)</f>
        <v>50</v>
      </c>
      <c r="O21" s="29">
        <f>ROUND((C21+E21)*'Форма 4т'!D333/100,0)</f>
        <v>31</v>
      </c>
      <c r="P21" s="29">
        <f>ROUND('Форма 4т'!C319*'Базовые цены за единицу'!P21,0)</f>
        <v>51</v>
      </c>
      <c r="Q21" s="29">
        <f>ROUND('Форма 4т'!C319*'Базовые цены за единицу'!Q21,0)</f>
        <v>0</v>
      </c>
      <c r="R21" s="29">
        <f>ROUND('Форма 4т'!C319*'Базовые цены за единицу'!R21,0)</f>
        <v>31</v>
      </c>
      <c r="S21" s="29">
        <f>ROUND('Форма 4т'!C319*'Базовые цены за единицу'!S21,0)</f>
        <v>0</v>
      </c>
      <c r="T21" s="29">
        <f>ROUND('Форма 4т'!C319*'Базовые цены за единицу'!T21,0)</f>
        <v>0</v>
      </c>
      <c r="U21" s="29">
        <f>ROUND('Форма 4т'!C319*'Базовые цены за единицу'!U21,0)</f>
        <v>0</v>
      </c>
      <c r="V21" s="29">
        <f>ROUND('Форма 4т'!C319*'Базовые цены за единицу'!V21,0)</f>
        <v>0</v>
      </c>
      <c r="X21" s="25">
        <f>ROUND('Форма 4т'!C319*'Базовые цены за единицу'!X21,0)</f>
        <v>0</v>
      </c>
      <c r="Y21" s="25">
        <f>IF(Определители!I21="9",ROUND((C21+E21)*(Начисления!M21/100)*('Форма 4т'!D330/100),0),0)</f>
        <v>0</v>
      </c>
      <c r="Z21" s="25">
        <f>IF(Определители!I21="9",ROUND((C21+E21)*(100-Начисления!M21/100)*('Форма 4т'!D330/100),0),0)</f>
        <v>0</v>
      </c>
      <c r="AA21" s="25">
        <f>IF(Определители!I21="9",ROUND((C21+E21)*(Начисления!M21/100)*('Форма 4т'!D333/100),0),0)</f>
        <v>0</v>
      </c>
      <c r="AB21" s="25">
        <f>IF(Определители!I21="9",ROUND((C21+E21)*(100-Начисления!M21/100)*('Форма 4т'!D333/100),0),0)</f>
        <v>0</v>
      </c>
      <c r="AC21" s="25">
        <f>IF(Определители!I21="9",ROUND(B21*Начисления!M21/100,0),0)</f>
        <v>0</v>
      </c>
      <c r="AD21" s="25">
        <f>IF(Определители!I21="9",ROUND(B21*(100-Начисления!M21)/100,0),0)</f>
        <v>0</v>
      </c>
      <c r="AE21" s="25">
        <f>ROUND('Форма 4т'!C319*'Базовые цены за единицу'!AE21,0)</f>
        <v>0</v>
      </c>
      <c r="AH21" s="25">
        <f>ROUND('Форма 4т'!C319*'Базовые цены за единицу'!AH21,0)</f>
        <v>0</v>
      </c>
      <c r="AI21" s="25">
        <f>ROUND('Форма 4т'!C319*'Базовые цены за единицу'!AI21,0)</f>
        <v>0</v>
      </c>
      <c r="AJ21" s="25">
        <f>ROUND('Форма 4т'!C319*'Базовые цены за единицу'!AJ21,0)</f>
        <v>0</v>
      </c>
      <c r="AK21" s="25">
        <f>ROUND('Форма 4т'!C319*'Базовые цены за единицу'!AK21,0)</f>
        <v>0</v>
      </c>
    </row>
    <row r="22" spans="1:37">
      <c r="A22" s="29" t="str">
        <f>'Форма 4т'!A338</f>
        <v>8.</v>
      </c>
      <c r="B22" s="29">
        <f t="shared" si="0"/>
        <v>865</v>
      </c>
      <c r="C22" s="29">
        <f>ROUND('Форма 4т'!C338*'Базовые цены за единицу'!C22,0)</f>
        <v>272</v>
      </c>
      <c r="D22" s="29">
        <f>ROUND('Форма 4т'!C338*'Базовые цены за единицу'!D22,0)</f>
        <v>468</v>
      </c>
      <c r="E22" s="29">
        <f>ROUND('Форма 4т'!C338*'Базовые цены за единицу'!E22,0)</f>
        <v>36</v>
      </c>
      <c r="F22" s="29">
        <f>ROUND('Форма 4т'!C338*'Базовые цены за единицу'!F22,0)</f>
        <v>125</v>
      </c>
      <c r="G22" s="29">
        <f>ROUND('Форма 4т'!C338*'Базовые цены за единицу'!G22,0)</f>
        <v>0</v>
      </c>
      <c r="H22" s="29">
        <f>ROUND('Форма 4т'!C338*'Базовые цены за единицу'!H22,0)</f>
        <v>0</v>
      </c>
      <c r="I22" s="30" t="e">
        <f ca="1">ОКРУГЛВСЕ('Форма 4т'!C338*'Базовые цены за единицу'!I22,8)</f>
        <v>#NAME?</v>
      </c>
      <c r="J22" s="26" t="e">
        <f ca="1">ОКРУГЛВСЕ('Форма 4т'!C338*'Базовые цены за единицу'!J22,8)</f>
        <v>#NAME?</v>
      </c>
      <c r="K22" s="30" t="e">
        <f ca="1">ОКРУГЛВСЕ('Форма 4т'!C338*'Базовые цены за единицу'!K22,8)</f>
        <v>#NAME?</v>
      </c>
      <c r="L22" s="29">
        <f>ROUND('Форма 4т'!C338*'Базовые цены за единицу'!L22,0)</f>
        <v>0</v>
      </c>
      <c r="M22" s="29">
        <f>ROUND('Форма 4т'!C338*'Базовые цены за единицу'!M22,0)</f>
        <v>0</v>
      </c>
      <c r="N22" s="29">
        <f>ROUND((C22+E22)*'Форма 4т'!D350/100,0)</f>
        <v>249</v>
      </c>
      <c r="O22" s="29">
        <f>ROUND((C22+E22)*'Форма 4т'!D353/100,0)</f>
        <v>222</v>
      </c>
      <c r="P22" s="29">
        <f>ROUND('Форма 4т'!C338*'Базовые цены за единицу'!P22,0)</f>
        <v>220</v>
      </c>
      <c r="Q22" s="29">
        <f>ROUND('Форма 4т'!C338*'Базовые цены за единицу'!Q22,0)</f>
        <v>29</v>
      </c>
      <c r="R22" s="29">
        <f>ROUND('Форма 4т'!C338*'Базовые цены за единицу'!R22,0)</f>
        <v>196</v>
      </c>
      <c r="S22" s="29">
        <f>ROUND('Форма 4т'!C338*'Базовые цены за единицу'!S22,0)</f>
        <v>26</v>
      </c>
      <c r="T22" s="29">
        <f>ROUND('Форма 4т'!C338*'Базовые цены за единицу'!T22,0)</f>
        <v>0</v>
      </c>
      <c r="U22" s="29">
        <f>ROUND('Форма 4т'!C338*'Базовые цены за единицу'!U22,0)</f>
        <v>0</v>
      </c>
      <c r="V22" s="29">
        <f>ROUND('Форма 4т'!C338*'Базовые цены за единицу'!V22,0)</f>
        <v>0</v>
      </c>
      <c r="X22" s="25">
        <f>ROUND('Форма 4т'!C338*'Базовые цены за единицу'!X22,0)</f>
        <v>0</v>
      </c>
      <c r="Y22" s="25">
        <f>IF(Определители!I22="9",ROUND((C22+E22)*(Начисления!M22/100)*('Форма 4т'!D350/100),0),0)</f>
        <v>0</v>
      </c>
      <c r="Z22" s="25">
        <f>IF(Определители!I22="9",ROUND((C22+E22)*(100-Начисления!M22/100)*('Форма 4т'!D350/100),0),0)</f>
        <v>0</v>
      </c>
      <c r="AA22" s="25">
        <f>IF(Определители!I22="9",ROUND((C22+E22)*(Начисления!M22/100)*('Форма 4т'!D353/100),0),0)</f>
        <v>0</v>
      </c>
      <c r="AB22" s="25">
        <f>IF(Определители!I22="9",ROUND((C22+E22)*(100-Начисления!M22/100)*('Форма 4т'!D353/100),0),0)</f>
        <v>0</v>
      </c>
      <c r="AC22" s="25">
        <f>IF(Определители!I22="9",ROUND(B22*Начисления!M22/100,0),0)</f>
        <v>0</v>
      </c>
      <c r="AD22" s="25">
        <f>IF(Определители!I22="9",ROUND(B22*(100-Начисления!M22)/100,0),0)</f>
        <v>0</v>
      </c>
      <c r="AE22" s="25">
        <f>ROUND('Форма 4т'!C338*'Базовые цены за единицу'!AE22,0)</f>
        <v>0</v>
      </c>
      <c r="AH22" s="25">
        <f>ROUND('Форма 4т'!C338*'Базовые цены за единицу'!AH22,0)</f>
        <v>0</v>
      </c>
      <c r="AI22" s="25">
        <f>ROUND('Форма 4т'!C338*'Базовые цены за единицу'!AI22,0)</f>
        <v>0</v>
      </c>
      <c r="AJ22" s="25">
        <f>ROUND('Форма 4т'!C338*'Базовые цены за единицу'!AJ22,0)</f>
        <v>0</v>
      </c>
      <c r="AK22" s="25">
        <f>ROUND('Форма 4т'!C338*'Базовые цены за единицу'!AK22,0)</f>
        <v>0</v>
      </c>
    </row>
    <row r="23" spans="1:37">
      <c r="A23" s="29" t="str">
        <f>'Форма 4т'!A358</f>
        <v>9.</v>
      </c>
      <c r="B23" s="29">
        <f t="shared" si="0"/>
        <v>7366</v>
      </c>
      <c r="C23" s="29">
        <f>ROUND('Форма 4т'!C358*'Базовые цены за единицу'!C23,0)</f>
        <v>0</v>
      </c>
      <c r="D23" s="29">
        <f>ROUND('Форма 4т'!C358*'Базовые цены за единицу'!D23,0)</f>
        <v>0</v>
      </c>
      <c r="E23" s="29">
        <f>ROUND('Форма 4т'!C358*'Базовые цены за единицу'!E23,0)</f>
        <v>0</v>
      </c>
      <c r="F23" s="29">
        <f>ROUND('Форма 4т'!C358*'Базовые цены за единицу'!F23,0)</f>
        <v>7366</v>
      </c>
      <c r="G23" s="29">
        <f>ROUND('Форма 4т'!C358*'Базовые цены за единицу'!G23,0)</f>
        <v>6697</v>
      </c>
      <c r="H23" s="29">
        <f>ROUND('Форма 4т'!C358*'Базовые цены за единицу'!H23,0)</f>
        <v>0</v>
      </c>
      <c r="I23" s="30" t="e">
        <f ca="1">ОКРУГЛВСЕ('Форма 4т'!C358*'Базовые цены за единицу'!I23,8)</f>
        <v>#NAME?</v>
      </c>
      <c r="J23" s="26" t="e">
        <f ca="1">ОКРУГЛВСЕ('Форма 4т'!C358*'Базовые цены за единицу'!J23,8)</f>
        <v>#NAME?</v>
      </c>
      <c r="K23" s="30" t="e">
        <f ca="1">ОКРУГЛВСЕ('Форма 4т'!C358*'Базовые цены за единицу'!K23,8)</f>
        <v>#NAME?</v>
      </c>
      <c r="L23" s="29">
        <f>ROUND('Форма 4т'!C358*'Базовые цены за единицу'!L23,0)</f>
        <v>673</v>
      </c>
      <c r="M23" s="29">
        <f>ROUND('Форма 4т'!C358*'Базовые цены за единицу'!M23,0)</f>
        <v>0</v>
      </c>
      <c r="N23" s="29">
        <f>ROUND((C23+E23)*'Форма 4т'!D369/100,0)</f>
        <v>0</v>
      </c>
      <c r="O23" s="29">
        <f>ROUND((C23+E23)*'Форма 4т'!D372/100,0)</f>
        <v>0</v>
      </c>
      <c r="P23" s="29">
        <f>ROUND('Форма 4т'!C358*'Базовые цены за единицу'!P23,0)</f>
        <v>0</v>
      </c>
      <c r="Q23" s="29">
        <f>ROUND('Форма 4т'!C358*'Базовые цены за единицу'!Q23,0)</f>
        <v>0</v>
      </c>
      <c r="R23" s="29">
        <f>ROUND('Форма 4т'!C358*'Базовые цены за единицу'!R23,0)</f>
        <v>0</v>
      </c>
      <c r="S23" s="29">
        <f>ROUND('Форма 4т'!C358*'Базовые цены за единицу'!S23,0)</f>
        <v>0</v>
      </c>
      <c r="T23" s="29">
        <f>ROUND('Форма 4т'!C358*'Базовые цены за единицу'!T23,0)</f>
        <v>0</v>
      </c>
      <c r="U23" s="29">
        <f>ROUND('Форма 4т'!C358*'Базовые цены за единицу'!U23,0)</f>
        <v>0</v>
      </c>
      <c r="V23" s="29">
        <f>ROUND('Форма 4т'!C358*'Базовые цены за единицу'!V23,0)</f>
        <v>0</v>
      </c>
      <c r="X23" s="25">
        <f>ROUND('Форма 4т'!C358*'Базовые цены за единицу'!X23,0)</f>
        <v>0</v>
      </c>
      <c r="Y23" s="25">
        <f>IF(Определители!I23="9",ROUND((C23+E23)*(Начисления!M23/100)*('Форма 4т'!D369/100),0),0)</f>
        <v>0</v>
      </c>
      <c r="Z23" s="25">
        <f>IF(Определители!I23="9",ROUND((C23+E23)*(100-Начисления!M23/100)*('Форма 4т'!D369/100),0),0)</f>
        <v>0</v>
      </c>
      <c r="AA23" s="25">
        <f>IF(Определители!I23="9",ROUND((C23+E23)*(Начисления!M23/100)*('Форма 4т'!D372/100),0),0)</f>
        <v>0</v>
      </c>
      <c r="AB23" s="25">
        <f>IF(Определители!I23="9",ROUND((C23+E23)*(100-Начисления!M23/100)*('Форма 4т'!D372/100),0),0)</f>
        <v>0</v>
      </c>
      <c r="AC23" s="25">
        <f>IF(Определители!I23="9",ROUND(B23*Начисления!M23/100,0),0)</f>
        <v>0</v>
      </c>
      <c r="AD23" s="25">
        <f>IF(Определители!I23="9",ROUND(B23*(100-Начисления!M23)/100,0),0)</f>
        <v>0</v>
      </c>
      <c r="AE23" s="25">
        <f>ROUND('Форма 4т'!C358*'Базовые цены за единицу'!AE23,0)</f>
        <v>0</v>
      </c>
      <c r="AH23" s="25">
        <f>ROUND('Форма 4т'!C358*'Базовые цены за единицу'!AH23,0)</f>
        <v>0</v>
      </c>
      <c r="AI23" s="25">
        <f>ROUND('Форма 4т'!C358*'Базовые цены за единицу'!AI23,0)</f>
        <v>0</v>
      </c>
      <c r="AJ23" s="25">
        <f>ROUND('Форма 4т'!C358*'Базовые цены за единицу'!AJ23,0)</f>
        <v>0</v>
      </c>
      <c r="AK23" s="25">
        <f>ROUND('Форма 4т'!C358*'Базовые цены за единицу'!AK23,0)</f>
        <v>0</v>
      </c>
    </row>
    <row r="24" spans="1:37">
      <c r="A24" s="29" t="str">
        <f>'Форма 4т'!A376</f>
        <v>10.</v>
      </c>
      <c r="B24" s="29">
        <f t="shared" si="0"/>
        <v>1361</v>
      </c>
      <c r="C24" s="29">
        <f>ROUND('Форма 4т'!C376*'Базовые цены за единицу'!C24,0)</f>
        <v>238</v>
      </c>
      <c r="D24" s="29">
        <f>ROUND('Форма 4т'!C376*'Базовые цены за единицу'!D24,0)</f>
        <v>2</v>
      </c>
      <c r="E24" s="29">
        <f>ROUND('Форма 4т'!C376*'Базовые цены за единицу'!E24,0)</f>
        <v>0</v>
      </c>
      <c r="F24" s="29">
        <f>ROUND('Форма 4т'!C376*'Базовые цены за единицу'!F24,0)</f>
        <v>1121</v>
      </c>
      <c r="G24" s="29">
        <f>ROUND('Форма 4т'!C376*'Базовые цены за единицу'!G24,0)</f>
        <v>0</v>
      </c>
      <c r="H24" s="29">
        <f>ROUND('Форма 4т'!C376*'Базовые цены за единицу'!H24,0)</f>
        <v>0</v>
      </c>
      <c r="I24" s="30" t="e">
        <f ca="1">ОКРУГЛВСЕ('Форма 4т'!C376*'Базовые цены за единицу'!I24,8)</f>
        <v>#NAME?</v>
      </c>
      <c r="J24" s="26" t="e">
        <f ca="1">ОКРУГЛВСЕ('Форма 4т'!C376*'Базовые цены за единицу'!J24,8)</f>
        <v>#NAME?</v>
      </c>
      <c r="K24" s="30" t="e">
        <f ca="1">ОКРУГЛВСЕ('Форма 4т'!C376*'Базовые цены за единицу'!K24,8)</f>
        <v>#NAME?</v>
      </c>
      <c r="L24" s="29">
        <f>ROUND('Форма 4т'!C376*'Базовые цены за единицу'!L24,0)</f>
        <v>0</v>
      </c>
      <c r="M24" s="29">
        <f>ROUND('Форма 4т'!C376*'Базовые цены за единицу'!M24,0)</f>
        <v>0</v>
      </c>
      <c r="N24" s="29">
        <f>ROUND((C24+E24)*'Форма 4т'!D387/100,0)</f>
        <v>198</v>
      </c>
      <c r="O24" s="29">
        <f>ROUND((C24+E24)*'Форма 4т'!D390/100,0)</f>
        <v>155</v>
      </c>
      <c r="P24" s="29">
        <f>ROUND('Форма 4т'!C376*'Базовые цены за единицу'!P24,0)</f>
        <v>198</v>
      </c>
      <c r="Q24" s="29">
        <f>ROUND('Форма 4т'!C376*'Базовые цены за единицу'!Q24,0)</f>
        <v>0</v>
      </c>
      <c r="R24" s="29">
        <f>ROUND('Форма 4т'!C376*'Базовые цены за единицу'!R24,0)</f>
        <v>155</v>
      </c>
      <c r="S24" s="29">
        <f>ROUND('Форма 4т'!C376*'Базовые цены за единицу'!S24,0)</f>
        <v>0</v>
      </c>
      <c r="T24" s="29">
        <f>ROUND('Форма 4т'!C376*'Базовые цены за единицу'!T24,0)</f>
        <v>0</v>
      </c>
      <c r="U24" s="29">
        <f>ROUND('Форма 4т'!C376*'Базовые цены за единицу'!U24,0)</f>
        <v>0</v>
      </c>
      <c r="V24" s="29">
        <f>ROUND('Форма 4т'!C376*'Базовые цены за единицу'!V24,0)</f>
        <v>0</v>
      </c>
      <c r="X24" s="25">
        <f>ROUND('Форма 4т'!C376*'Базовые цены за единицу'!X24,0)</f>
        <v>0</v>
      </c>
      <c r="Y24" s="25">
        <f>IF(Определители!I24="9",ROUND((C24+E24)*(Начисления!M24/100)*('Форма 4т'!D387/100),0),0)</f>
        <v>0</v>
      </c>
      <c r="Z24" s="25">
        <f>IF(Определители!I24="9",ROUND((C24+E24)*(100-Начисления!M24/100)*('Форма 4т'!D387/100),0),0)</f>
        <v>0</v>
      </c>
      <c r="AA24" s="25">
        <f>IF(Определители!I24="9",ROUND((C24+E24)*(Начисления!M24/100)*('Форма 4т'!D390/100),0),0)</f>
        <v>0</v>
      </c>
      <c r="AB24" s="25">
        <f>IF(Определители!I24="9",ROUND((C24+E24)*(100-Начисления!M24/100)*('Форма 4т'!D390/100),0),0)</f>
        <v>0</v>
      </c>
      <c r="AC24" s="25">
        <f>IF(Определители!I24="9",ROUND(B24*Начисления!M24/100,0),0)</f>
        <v>0</v>
      </c>
      <c r="AD24" s="25">
        <f>IF(Определители!I24="9",ROUND(B24*(100-Начисления!M24)/100,0),0)</f>
        <v>0</v>
      </c>
      <c r="AE24" s="25">
        <f>ROUND('Форма 4т'!C376*'Базовые цены за единицу'!AE24,0)</f>
        <v>0</v>
      </c>
      <c r="AH24" s="25">
        <f>ROUND('Форма 4т'!C376*'Базовые цены за единицу'!AH24,0)</f>
        <v>0</v>
      </c>
      <c r="AI24" s="25">
        <f>ROUND('Форма 4т'!C376*'Базовые цены за единицу'!AI24,0)</f>
        <v>0</v>
      </c>
      <c r="AJ24" s="25">
        <f>ROUND('Форма 4т'!C376*'Базовые цены за единицу'!AJ24,0)</f>
        <v>0</v>
      </c>
      <c r="AK24" s="25">
        <f>ROUND('Форма 4т'!C376*'Базовые цены за единицу'!AK24,0)</f>
        <v>0</v>
      </c>
    </row>
    <row r="25" spans="1:37">
      <c r="A25" s="29" t="str">
        <f>'Форма 4т'!A395</f>
        <v>11.</v>
      </c>
      <c r="B25" s="29">
        <f t="shared" si="0"/>
        <v>95</v>
      </c>
      <c r="C25" s="29">
        <f>ROUND('Форма 4т'!C395*'Базовые цены за единицу'!C25,0)</f>
        <v>95</v>
      </c>
      <c r="D25" s="29">
        <f>ROUND('Форма 4т'!C395*'Базовые цены за единицу'!D25,0)</f>
        <v>0</v>
      </c>
      <c r="E25" s="29">
        <f>ROUND('Форма 4т'!C395*'Базовые цены за единицу'!E25,0)</f>
        <v>0</v>
      </c>
      <c r="F25" s="29">
        <f>ROUND('Форма 4т'!C395*'Базовые цены за единицу'!F25,0)</f>
        <v>0</v>
      </c>
      <c r="G25" s="29">
        <f>ROUND('Форма 4т'!C395*'Базовые цены за единицу'!G25,0)</f>
        <v>0</v>
      </c>
      <c r="H25" s="29">
        <f>ROUND('Форма 4т'!C395*'Базовые цены за единицу'!H25,0)</f>
        <v>0</v>
      </c>
      <c r="I25" s="30" t="e">
        <f ca="1">ОКРУГЛВСЕ('Форма 4т'!C395*'Базовые цены за единицу'!I25,8)</f>
        <v>#NAME?</v>
      </c>
      <c r="J25" s="26" t="e">
        <f ca="1">ОКРУГЛВСЕ('Форма 4т'!C395*'Базовые цены за единицу'!J25,8)</f>
        <v>#NAME?</v>
      </c>
      <c r="K25" s="30" t="e">
        <f ca="1">ОКРУГЛВСЕ('Форма 4т'!C395*'Базовые цены за единицу'!K25,8)</f>
        <v>#NAME?</v>
      </c>
      <c r="L25" s="29">
        <f>ROUND('Форма 4т'!C395*'Базовые цены за единицу'!L25,0)</f>
        <v>0</v>
      </c>
      <c r="M25" s="29">
        <f>ROUND('Форма 4т'!C395*'Базовые цены за единицу'!M25,0)</f>
        <v>0</v>
      </c>
      <c r="N25" s="29">
        <f>ROUND((C25+E25)*'Форма 4т'!D407/100,0)</f>
        <v>90</v>
      </c>
      <c r="O25" s="29">
        <f>ROUND((C25+E25)*'Форма 4т'!D410/100,0)</f>
        <v>45</v>
      </c>
      <c r="P25" s="29">
        <f>ROUND('Форма 4т'!C395*'Базовые цены за единицу'!P25,0)</f>
        <v>91</v>
      </c>
      <c r="Q25" s="29">
        <f>ROUND('Форма 4т'!C395*'Базовые цены за единицу'!Q25,0)</f>
        <v>0</v>
      </c>
      <c r="R25" s="29">
        <f>ROUND('Форма 4т'!C395*'Базовые цены за единицу'!R25,0)</f>
        <v>45</v>
      </c>
      <c r="S25" s="29">
        <f>ROUND('Форма 4т'!C395*'Базовые цены за единицу'!S25,0)</f>
        <v>0</v>
      </c>
      <c r="T25" s="29">
        <f>ROUND('Форма 4т'!C395*'Базовые цены за единицу'!T25,0)</f>
        <v>0</v>
      </c>
      <c r="U25" s="29">
        <f>ROUND('Форма 4т'!C395*'Базовые цены за единицу'!U25,0)</f>
        <v>0</v>
      </c>
      <c r="V25" s="29">
        <f>ROUND('Форма 4т'!C395*'Базовые цены за единицу'!V25,0)</f>
        <v>0</v>
      </c>
      <c r="X25" s="25">
        <f>ROUND('Форма 4т'!C395*'Базовые цены за единицу'!X25,0)</f>
        <v>0</v>
      </c>
      <c r="Y25" s="25">
        <f>IF(Определители!I25="9",ROUND((C25+E25)*(Начисления!M25/100)*('Форма 4т'!D407/100),0),0)</f>
        <v>0</v>
      </c>
      <c r="Z25" s="25">
        <f>IF(Определители!I25="9",ROUND((C25+E25)*(100-Начисления!M25/100)*('Форма 4т'!D407/100),0),0)</f>
        <v>0</v>
      </c>
      <c r="AA25" s="25">
        <f>IF(Определители!I25="9",ROUND((C25+E25)*(Начисления!M25/100)*('Форма 4т'!D410/100),0),0)</f>
        <v>0</v>
      </c>
      <c r="AB25" s="25">
        <f>IF(Определители!I25="9",ROUND((C25+E25)*(100-Начисления!M25/100)*('Форма 4т'!D410/100),0),0)</f>
        <v>0</v>
      </c>
      <c r="AC25" s="25">
        <f>IF(Определители!I25="9",ROUND(B25*Начисления!M25/100,0),0)</f>
        <v>0</v>
      </c>
      <c r="AD25" s="25">
        <f>IF(Определители!I25="9",ROUND(B25*(100-Начисления!M25)/100,0),0)</f>
        <v>0</v>
      </c>
      <c r="AE25" s="25">
        <f>ROUND('Форма 4т'!C395*'Базовые цены за единицу'!AE25,0)</f>
        <v>0</v>
      </c>
      <c r="AH25" s="25">
        <f>ROUND('Форма 4т'!C395*'Базовые цены за единицу'!AH25,0)</f>
        <v>0</v>
      </c>
      <c r="AI25" s="25">
        <f>ROUND('Форма 4т'!C395*'Базовые цены за единицу'!AI25,0)</f>
        <v>0</v>
      </c>
      <c r="AJ25" s="25">
        <f>ROUND('Форма 4т'!C395*'Базовые цены за единицу'!AJ25,0)</f>
        <v>0</v>
      </c>
      <c r="AK25" s="25">
        <f>ROUND('Форма 4т'!C395*'Базовые цены за единицу'!AK25,0)</f>
        <v>0</v>
      </c>
    </row>
    <row r="26" spans="1:37">
      <c r="A26" s="29" t="str">
        <f>'Форма 4т'!A415</f>
        <v>12.</v>
      </c>
      <c r="B26" s="29">
        <f t="shared" si="0"/>
        <v>327</v>
      </c>
      <c r="C26" s="29">
        <f>ROUND('Форма 4т'!C415*'Базовые цены за единицу'!C26,0)</f>
        <v>62</v>
      </c>
      <c r="D26" s="29">
        <f>ROUND('Форма 4т'!C415*'Базовые цены за единицу'!D26,0)</f>
        <v>3</v>
      </c>
      <c r="E26" s="29">
        <f>ROUND('Форма 4т'!C415*'Базовые цены за единицу'!E26,0)</f>
        <v>0</v>
      </c>
      <c r="F26" s="29">
        <f>ROUND('Форма 4т'!C415*'Базовые цены за единицу'!F26,0)</f>
        <v>262</v>
      </c>
      <c r="G26" s="29">
        <f>ROUND('Форма 4т'!C415*'Базовые цены за единицу'!G26,0)</f>
        <v>0</v>
      </c>
      <c r="H26" s="29">
        <f>ROUND('Форма 4т'!C415*'Базовые цены за единицу'!H26,0)</f>
        <v>0</v>
      </c>
      <c r="I26" s="30" t="e">
        <f ca="1">ОКРУГЛВСЕ('Форма 4т'!C415*'Базовые цены за единицу'!I26,8)</f>
        <v>#NAME?</v>
      </c>
      <c r="J26" s="26" t="e">
        <f ca="1">ОКРУГЛВСЕ('Форма 4т'!C415*'Базовые цены за единицу'!J26,8)</f>
        <v>#NAME?</v>
      </c>
      <c r="K26" s="30" t="e">
        <f ca="1">ОКРУГЛВСЕ('Форма 4т'!C415*'Базовые цены за единицу'!K26,8)</f>
        <v>#NAME?</v>
      </c>
      <c r="L26" s="29">
        <f>ROUND('Форма 4т'!C415*'Базовые цены за единицу'!L26,0)</f>
        <v>0</v>
      </c>
      <c r="M26" s="29">
        <f>ROUND('Форма 4т'!C415*'Базовые цены за единицу'!M26,0)</f>
        <v>0</v>
      </c>
      <c r="N26" s="29">
        <f>ROUND((C26+E26)*'Форма 4т'!D427/100,0)</f>
        <v>59</v>
      </c>
      <c r="O26" s="29">
        <f>ROUND((C26+E26)*'Форма 4т'!D430/100,0)</f>
        <v>29</v>
      </c>
      <c r="P26" s="29">
        <f>ROUND('Форма 4т'!C415*'Базовые цены за единицу'!P26,0)</f>
        <v>59</v>
      </c>
      <c r="Q26" s="29">
        <f>ROUND('Форма 4т'!C415*'Базовые цены за единицу'!Q26,0)</f>
        <v>0</v>
      </c>
      <c r="R26" s="29">
        <f>ROUND('Форма 4т'!C415*'Базовые цены за единицу'!R26,0)</f>
        <v>29</v>
      </c>
      <c r="S26" s="29">
        <f>ROUND('Форма 4т'!C415*'Базовые цены за единицу'!S26,0)</f>
        <v>0</v>
      </c>
      <c r="T26" s="29">
        <f>ROUND('Форма 4т'!C415*'Базовые цены за единицу'!T26,0)</f>
        <v>0</v>
      </c>
      <c r="U26" s="29">
        <f>ROUND('Форма 4т'!C415*'Базовые цены за единицу'!U26,0)</f>
        <v>0</v>
      </c>
      <c r="V26" s="29">
        <f>ROUND('Форма 4т'!C415*'Базовые цены за единицу'!V26,0)</f>
        <v>0</v>
      </c>
      <c r="X26" s="25">
        <f>ROUND('Форма 4т'!C415*'Базовые цены за единицу'!X26,0)</f>
        <v>0</v>
      </c>
      <c r="Y26" s="25">
        <f>IF(Определители!I26="9",ROUND((C26+E26)*(Начисления!M26/100)*('Форма 4т'!D427/100),0),0)</f>
        <v>0</v>
      </c>
      <c r="Z26" s="25">
        <f>IF(Определители!I26="9",ROUND((C26+E26)*(100-Начисления!M26/100)*('Форма 4т'!D427/100),0),0)</f>
        <v>0</v>
      </c>
      <c r="AA26" s="25">
        <f>IF(Определители!I26="9",ROUND((C26+E26)*(Начисления!M26/100)*('Форма 4т'!D430/100),0),0)</f>
        <v>0</v>
      </c>
      <c r="AB26" s="25">
        <f>IF(Определители!I26="9",ROUND((C26+E26)*(100-Начисления!M26/100)*('Форма 4т'!D430/100),0),0)</f>
        <v>0</v>
      </c>
      <c r="AC26" s="25">
        <f>IF(Определители!I26="9",ROUND(B26*Начисления!M26/100,0),0)</f>
        <v>0</v>
      </c>
      <c r="AD26" s="25">
        <f>IF(Определители!I26="9",ROUND(B26*(100-Начисления!M26)/100,0),0)</f>
        <v>0</v>
      </c>
      <c r="AE26" s="25">
        <f>ROUND('Форма 4т'!C415*'Базовые цены за единицу'!AE26,0)</f>
        <v>0</v>
      </c>
      <c r="AH26" s="25">
        <f>ROUND('Форма 4т'!C415*'Базовые цены за единицу'!AH26,0)</f>
        <v>0</v>
      </c>
      <c r="AI26" s="25">
        <f>ROUND('Форма 4т'!C415*'Базовые цены за единицу'!AI26,0)</f>
        <v>0</v>
      </c>
      <c r="AJ26" s="25">
        <f>ROUND('Форма 4т'!C415*'Базовые цены за единицу'!AJ26,0)</f>
        <v>0</v>
      </c>
      <c r="AK26" s="25">
        <f>ROUND('Форма 4т'!C415*'Базовые цены за единицу'!AK26,0)</f>
        <v>0</v>
      </c>
    </row>
    <row r="28" spans="1:37">
      <c r="B28" s="49" t="s">
        <v>144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</row>
    <row r="29" spans="1:37"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</row>
    <row r="30" spans="1:37">
      <c r="A30" s="29" t="str">
        <f>'Форма 4т'!A528</f>
        <v>13.</v>
      </c>
      <c r="B30" s="29">
        <f>ROUND(C30+D30+F30+AF30+AG30,0)</f>
        <v>320</v>
      </c>
      <c r="C30" s="29">
        <f>ROUND('Форма 4т'!C528*'Базовые цены за единицу'!C30,0)</f>
        <v>195</v>
      </c>
      <c r="D30" s="29">
        <f>ROUND('Форма 4т'!C528*'Базовые цены за единицу'!D30,0)</f>
        <v>18</v>
      </c>
      <c r="E30" s="29">
        <f>ROUND('Форма 4т'!C528*'Базовые цены за единицу'!E30,0)</f>
        <v>4</v>
      </c>
      <c r="F30" s="29">
        <f>ROUND('Форма 4т'!C528*'Базовые цены за единицу'!F30,0)</f>
        <v>107</v>
      </c>
      <c r="G30" s="29">
        <f>ROUND('Форма 4т'!C528*'Базовые цены за единицу'!G30,0)</f>
        <v>0</v>
      </c>
      <c r="H30" s="29">
        <f>ROUND('Форма 4т'!C528*'Базовые цены за единицу'!H30,0)</f>
        <v>0</v>
      </c>
      <c r="I30" s="30" t="e">
        <f ca="1">ОКРУГЛВСЕ('Форма 4т'!C528*'Базовые цены за единицу'!I30,8)</f>
        <v>#NAME?</v>
      </c>
      <c r="J30" s="26" t="e">
        <f ca="1">ОКРУГЛВСЕ('Форма 4т'!C528*'Базовые цены за единицу'!J30,8)</f>
        <v>#NAME?</v>
      </c>
      <c r="K30" s="30" t="e">
        <f ca="1">ОКРУГЛВСЕ('Форма 4т'!C528*'Базовые цены за единицу'!K30,8)</f>
        <v>#NAME?</v>
      </c>
      <c r="L30" s="29">
        <f>ROUND('Форма 4т'!C528*'Базовые цены за единицу'!L30,0)</f>
        <v>0</v>
      </c>
      <c r="M30" s="29">
        <f>ROUND('Форма 4т'!C528*'Базовые цены за единицу'!M30,0)</f>
        <v>0</v>
      </c>
      <c r="N30" s="29">
        <f>ROUND((C30+E30)*'Форма 4т'!D539/100,0)</f>
        <v>165</v>
      </c>
      <c r="O30" s="29">
        <f>ROUND((C30+E30)*'Форма 4т'!D542/100,0)</f>
        <v>129</v>
      </c>
      <c r="P30" s="29">
        <f>ROUND('Форма 4т'!C528*'Базовые цены за единицу'!P30,0)</f>
        <v>162</v>
      </c>
      <c r="Q30" s="29">
        <f>ROUND('Форма 4т'!C528*'Базовые цены за единицу'!Q30,0)</f>
        <v>4</v>
      </c>
      <c r="R30" s="29">
        <f>ROUND('Форма 4т'!C528*'Базовые цены за единицу'!R30,0)</f>
        <v>127</v>
      </c>
      <c r="S30" s="29">
        <f>ROUND('Форма 4т'!C528*'Базовые цены за единицу'!S30,0)</f>
        <v>3</v>
      </c>
      <c r="T30" s="29">
        <f>ROUND('Форма 4т'!C528*'Базовые цены за единицу'!T30,0)</f>
        <v>0</v>
      </c>
      <c r="U30" s="29">
        <f>ROUND('Форма 4т'!C528*'Базовые цены за единицу'!U30,0)</f>
        <v>0</v>
      </c>
      <c r="V30" s="29">
        <f>ROUND('Форма 4т'!C528*'Базовые цены за единицу'!V30,0)</f>
        <v>0</v>
      </c>
      <c r="X30" s="25">
        <f>ROUND('Форма 4т'!C528*'Базовые цены за единицу'!X30,0)</f>
        <v>0</v>
      </c>
      <c r="Y30" s="25">
        <f>IF(Определители!I30="9",ROUND((C30+E30)*(Начисления!M30/100)*('Форма 4т'!D539/100),0),0)</f>
        <v>0</v>
      </c>
      <c r="Z30" s="25">
        <f>IF(Определители!I30="9",ROUND((C30+E30)*(100-Начисления!M30/100)*('Форма 4т'!D539/100),0),0)</f>
        <v>0</v>
      </c>
      <c r="AA30" s="25">
        <f>IF(Определители!I30="9",ROUND((C30+E30)*(Начисления!M30/100)*('Форма 4т'!D542/100),0),0)</f>
        <v>0</v>
      </c>
      <c r="AB30" s="25">
        <f>IF(Определители!I30="9",ROUND((C30+E30)*(100-Начисления!M30/100)*('Форма 4т'!D542/100),0),0)</f>
        <v>0</v>
      </c>
      <c r="AC30" s="25">
        <f>IF(Определители!I30="9",ROUND(B30*Начисления!M30/100,0),0)</f>
        <v>0</v>
      </c>
      <c r="AD30" s="25">
        <f>IF(Определители!I30="9",ROUND(B30*(100-Начисления!M30)/100,0),0)</f>
        <v>0</v>
      </c>
      <c r="AE30" s="25">
        <f>ROUND('Форма 4т'!C528*'Базовые цены за единицу'!AE30,0)</f>
        <v>0</v>
      </c>
      <c r="AH30" s="25">
        <f>ROUND('Форма 4т'!C528*'Базовые цены за единицу'!AH30,0)</f>
        <v>0</v>
      </c>
      <c r="AI30" s="25">
        <f>ROUND('Форма 4т'!C528*'Базовые цены за единицу'!AI30,0)</f>
        <v>0</v>
      </c>
      <c r="AJ30" s="25">
        <f>ROUND('Форма 4т'!C528*'Базовые цены за единицу'!AJ30,0)</f>
        <v>0</v>
      </c>
      <c r="AK30" s="25">
        <f>ROUND('Форма 4т'!C528*'Базовые цены за единицу'!AK30,0)</f>
        <v>0</v>
      </c>
    </row>
    <row r="31" spans="1:37">
      <c r="A31" s="29" t="str">
        <f>'Форма 4т'!A547</f>
        <v>14.</v>
      </c>
      <c r="B31" s="29">
        <f>ROUND(C31+D31+F31+AF31+AG31,0)</f>
        <v>20</v>
      </c>
      <c r="C31" s="29">
        <f>ROUND('Форма 4т'!C547*'Базовые цены за единицу'!C31,0)</f>
        <v>20</v>
      </c>
      <c r="D31" s="29">
        <f>ROUND('Форма 4т'!C547*'Базовые цены за единицу'!D31,0)</f>
        <v>0</v>
      </c>
      <c r="E31" s="29">
        <f>ROUND('Форма 4т'!C547*'Базовые цены за единицу'!E31,0)</f>
        <v>0</v>
      </c>
      <c r="F31" s="29">
        <f>ROUND('Форма 4т'!C547*'Базовые цены за единицу'!F31,0)</f>
        <v>0</v>
      </c>
      <c r="G31" s="29">
        <f>ROUND('Форма 4т'!C547*'Базовые цены за единицу'!G31,0)</f>
        <v>0</v>
      </c>
      <c r="H31" s="29">
        <f>ROUND('Форма 4т'!C547*'Базовые цены за единицу'!H31,0)</f>
        <v>0</v>
      </c>
      <c r="I31" s="30" t="e">
        <f ca="1">ОКРУГЛВСЕ('Форма 4т'!C547*'Базовые цены за единицу'!I31,8)</f>
        <v>#NAME?</v>
      </c>
      <c r="J31" s="26" t="e">
        <f ca="1">ОКРУГЛВСЕ('Форма 4т'!C547*'Базовые цены за единицу'!J31,8)</f>
        <v>#NAME?</v>
      </c>
      <c r="K31" s="30" t="e">
        <f ca="1">ОКРУГЛВСЕ('Форма 4т'!C547*'Базовые цены за единицу'!K31,8)</f>
        <v>#NAME?</v>
      </c>
      <c r="L31" s="29">
        <f>ROUND('Форма 4т'!C547*'Базовые цены за единицу'!L31,0)</f>
        <v>0</v>
      </c>
      <c r="M31" s="29">
        <f>ROUND('Форма 4т'!C547*'Базовые цены за единицу'!M31,0)</f>
        <v>0</v>
      </c>
      <c r="N31" s="29">
        <f>ROUND((C31+E31)*'Форма 4т'!D559/100,0)</f>
        <v>19</v>
      </c>
      <c r="O31" s="29">
        <f>ROUND((C31+E31)*'Форма 4т'!D562/100,0)</f>
        <v>9</v>
      </c>
      <c r="P31" s="29">
        <f>ROUND('Форма 4т'!C547*'Базовые цены за единицу'!P31,0)</f>
        <v>19</v>
      </c>
      <c r="Q31" s="29">
        <f>ROUND('Форма 4т'!C547*'Базовые цены за единицу'!Q31,0)</f>
        <v>0</v>
      </c>
      <c r="R31" s="29">
        <f>ROUND('Форма 4т'!C547*'Базовые цены за единицу'!R31,0)</f>
        <v>9</v>
      </c>
      <c r="S31" s="29">
        <f>ROUND('Форма 4т'!C547*'Базовые цены за единицу'!S31,0)</f>
        <v>0</v>
      </c>
      <c r="T31" s="29">
        <f>ROUND('Форма 4т'!C547*'Базовые цены за единицу'!T31,0)</f>
        <v>0</v>
      </c>
      <c r="U31" s="29">
        <f>ROUND('Форма 4т'!C547*'Базовые цены за единицу'!U31,0)</f>
        <v>0</v>
      </c>
      <c r="V31" s="29">
        <f>ROUND('Форма 4т'!C547*'Базовые цены за единицу'!V31,0)</f>
        <v>0</v>
      </c>
      <c r="X31" s="25">
        <f>ROUND('Форма 4т'!C547*'Базовые цены за единицу'!X31,0)</f>
        <v>0</v>
      </c>
      <c r="Y31" s="25">
        <f>IF(Определители!I31="9",ROUND((C31+E31)*(Начисления!M31/100)*('Форма 4т'!D559/100),0),0)</f>
        <v>0</v>
      </c>
      <c r="Z31" s="25">
        <f>IF(Определители!I31="9",ROUND((C31+E31)*(100-Начисления!M31/100)*('Форма 4т'!D559/100),0),0)</f>
        <v>0</v>
      </c>
      <c r="AA31" s="25">
        <f>IF(Определители!I31="9",ROUND((C31+E31)*(Начисления!M31/100)*('Форма 4т'!D562/100),0),0)</f>
        <v>0</v>
      </c>
      <c r="AB31" s="25">
        <f>IF(Определители!I31="9",ROUND((C31+E31)*(100-Начисления!M31/100)*('Форма 4т'!D562/100),0),0)</f>
        <v>0</v>
      </c>
      <c r="AC31" s="25">
        <f>IF(Определители!I31="9",ROUND(B31*Начисления!M31/100,0),0)</f>
        <v>0</v>
      </c>
      <c r="AD31" s="25">
        <f>IF(Определители!I31="9",ROUND(B31*(100-Начисления!M31)/100,0),0)</f>
        <v>0</v>
      </c>
      <c r="AE31" s="25">
        <f>ROUND('Форма 4т'!C547*'Базовые цены за единицу'!AE31,0)</f>
        <v>0</v>
      </c>
      <c r="AH31" s="25">
        <f>ROUND('Форма 4т'!C547*'Базовые цены за единицу'!AH31,0)</f>
        <v>0</v>
      </c>
      <c r="AI31" s="25">
        <f>ROUND('Форма 4т'!C547*'Базовые цены за единицу'!AI31,0)</f>
        <v>0</v>
      </c>
      <c r="AJ31" s="25">
        <f>ROUND('Форма 4т'!C547*'Базовые цены за единицу'!AJ31,0)</f>
        <v>0</v>
      </c>
      <c r="AK31" s="25">
        <f>ROUND('Форма 4т'!C547*'Базовые цены за единицу'!AK31,0)</f>
        <v>0</v>
      </c>
    </row>
    <row r="32" spans="1:37">
      <c r="A32" s="29" t="str">
        <f>'Форма 4т'!A567</f>
        <v>15.</v>
      </c>
      <c r="B32" s="29">
        <f>ROUND(C32+D32+F32+AF32+AG32,0)</f>
        <v>69</v>
      </c>
      <c r="C32" s="29">
        <f>ROUND('Форма 4т'!C567*'Базовые цены за единицу'!C32,0)</f>
        <v>13</v>
      </c>
      <c r="D32" s="29">
        <f>ROUND('Форма 4т'!C567*'Базовые цены за единицу'!D32,0)</f>
        <v>1</v>
      </c>
      <c r="E32" s="29">
        <f>ROUND('Форма 4т'!C567*'Базовые цены за единицу'!E32,0)</f>
        <v>0</v>
      </c>
      <c r="F32" s="29">
        <f>ROUND('Форма 4т'!C567*'Базовые цены за единицу'!F32,0)</f>
        <v>55</v>
      </c>
      <c r="G32" s="29">
        <f>ROUND('Форма 4т'!C567*'Базовые цены за единицу'!G32,0)</f>
        <v>0</v>
      </c>
      <c r="H32" s="29">
        <f>ROUND('Форма 4т'!C567*'Базовые цены за единицу'!H32,0)</f>
        <v>0</v>
      </c>
      <c r="I32" s="30" t="e">
        <f ca="1">ОКРУГЛВСЕ('Форма 4т'!C567*'Базовые цены за единицу'!I32,8)</f>
        <v>#NAME?</v>
      </c>
      <c r="J32" s="26" t="e">
        <f ca="1">ОКРУГЛВСЕ('Форма 4т'!C567*'Базовые цены за единицу'!J32,8)</f>
        <v>#NAME?</v>
      </c>
      <c r="K32" s="30" t="e">
        <f ca="1">ОКРУГЛВСЕ('Форма 4т'!C567*'Базовые цены за единицу'!K32,8)</f>
        <v>#NAME?</v>
      </c>
      <c r="L32" s="29">
        <f>ROUND('Форма 4т'!C567*'Базовые цены за единицу'!L32,0)</f>
        <v>0</v>
      </c>
      <c r="M32" s="29">
        <f>ROUND('Форма 4т'!C567*'Базовые цены за единицу'!M32,0)</f>
        <v>0</v>
      </c>
      <c r="N32" s="29">
        <f>ROUND((C32+E32)*'Форма 4т'!D579/100,0)</f>
        <v>12</v>
      </c>
      <c r="O32" s="29">
        <f>ROUND((C32+E32)*'Форма 4т'!D582/100,0)</f>
        <v>6</v>
      </c>
      <c r="P32" s="29">
        <f>ROUND('Форма 4т'!C567*'Базовые цены за единицу'!P32,0)</f>
        <v>12</v>
      </c>
      <c r="Q32" s="29">
        <f>ROUND('Форма 4т'!C567*'Базовые цены за единицу'!Q32,0)</f>
        <v>0</v>
      </c>
      <c r="R32" s="29">
        <f>ROUND('Форма 4т'!C567*'Базовые цены за единицу'!R32,0)</f>
        <v>6</v>
      </c>
      <c r="S32" s="29">
        <f>ROUND('Форма 4т'!C567*'Базовые цены за единицу'!S32,0)</f>
        <v>0</v>
      </c>
      <c r="T32" s="29">
        <f>ROUND('Форма 4т'!C567*'Базовые цены за единицу'!T32,0)</f>
        <v>0</v>
      </c>
      <c r="U32" s="29">
        <f>ROUND('Форма 4т'!C567*'Базовые цены за единицу'!U32,0)</f>
        <v>0</v>
      </c>
      <c r="V32" s="29">
        <f>ROUND('Форма 4т'!C567*'Базовые цены за единицу'!V32,0)</f>
        <v>0</v>
      </c>
      <c r="X32" s="25">
        <f>ROUND('Форма 4т'!C567*'Базовые цены за единицу'!X32,0)</f>
        <v>0</v>
      </c>
      <c r="Y32" s="25">
        <f>IF(Определители!I32="9",ROUND((C32+E32)*(Начисления!M32/100)*('Форма 4т'!D579/100),0),0)</f>
        <v>0</v>
      </c>
      <c r="Z32" s="25">
        <f>IF(Определители!I32="9",ROUND((C32+E32)*(100-Начисления!M32/100)*('Форма 4т'!D579/100),0),0)</f>
        <v>0</v>
      </c>
      <c r="AA32" s="25">
        <f>IF(Определители!I32="9",ROUND((C32+E32)*(Начисления!M32/100)*('Форма 4т'!D582/100),0),0)</f>
        <v>0</v>
      </c>
      <c r="AB32" s="25">
        <f>IF(Определители!I32="9",ROUND((C32+E32)*(100-Начисления!M32/100)*('Форма 4т'!D582/100),0),0)</f>
        <v>0</v>
      </c>
      <c r="AC32" s="25">
        <f>IF(Определители!I32="9",ROUND(B32*Начисления!M32/100,0),0)</f>
        <v>0</v>
      </c>
      <c r="AD32" s="25">
        <f>IF(Определители!I32="9",ROUND(B32*(100-Начисления!M32)/100,0),0)</f>
        <v>0</v>
      </c>
      <c r="AE32" s="25">
        <f>ROUND('Форма 4т'!C567*'Базовые цены за единицу'!AE32,0)</f>
        <v>0</v>
      </c>
      <c r="AH32" s="25">
        <f>ROUND('Форма 4т'!C567*'Базовые цены за единицу'!AH32,0)</f>
        <v>0</v>
      </c>
      <c r="AI32" s="25">
        <f>ROUND('Форма 4т'!C567*'Базовые цены за единицу'!AI32,0)</f>
        <v>0</v>
      </c>
      <c r="AJ32" s="25">
        <f>ROUND('Форма 4т'!C567*'Базовые цены за единицу'!AJ32,0)</f>
        <v>0</v>
      </c>
      <c r="AK32" s="25">
        <f>ROUND('Форма 4т'!C567*'Базовые цены за единицу'!AK32,0)</f>
        <v>0</v>
      </c>
    </row>
  </sheetData>
  <mergeCells count="8">
    <mergeCell ref="B19:N20"/>
    <mergeCell ref="B28:N29"/>
    <mergeCell ref="A2:N2"/>
    <mergeCell ref="B3:N3"/>
    <mergeCell ref="B4:N4"/>
    <mergeCell ref="A5:N5"/>
    <mergeCell ref="B7:N8"/>
    <mergeCell ref="B13:N14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K32"/>
  <sheetViews>
    <sheetView workbookViewId="0"/>
  </sheetViews>
  <sheetFormatPr defaultRowHeight="10.5"/>
  <cols>
    <col min="1" max="1" width="5.7109375" style="26" customWidth="1"/>
    <col min="2" max="16384" width="9.140625" style="25"/>
  </cols>
  <sheetData>
    <row r="1" spans="1:37" s="27" customFormat="1">
      <c r="A1" s="7"/>
      <c r="B1" s="27" t="s">
        <v>162</v>
      </c>
      <c r="C1" s="27" t="s">
        <v>163</v>
      </c>
      <c r="D1" s="27" t="s">
        <v>164</v>
      </c>
      <c r="E1" s="27" t="s">
        <v>165</v>
      </c>
      <c r="F1" s="27" t="s">
        <v>166</v>
      </c>
      <c r="G1" s="27" t="s">
        <v>167</v>
      </c>
      <c r="H1" s="27" t="s">
        <v>168</v>
      </c>
      <c r="I1" s="27" t="s">
        <v>169</v>
      </c>
      <c r="J1" s="27" t="s">
        <v>170</v>
      </c>
      <c r="K1" s="27" t="s">
        <v>171</v>
      </c>
      <c r="L1" s="27" t="s">
        <v>172</v>
      </c>
      <c r="M1" s="27" t="s">
        <v>173</v>
      </c>
      <c r="N1" s="27" t="s">
        <v>174</v>
      </c>
      <c r="O1" s="27" t="s">
        <v>175</v>
      </c>
      <c r="P1" s="27" t="s">
        <v>176</v>
      </c>
      <c r="Q1" s="27" t="s">
        <v>177</v>
      </c>
      <c r="R1" s="27" t="s">
        <v>178</v>
      </c>
      <c r="S1" s="27" t="s">
        <v>179</v>
      </c>
      <c r="T1" s="27" t="s">
        <v>180</v>
      </c>
      <c r="U1" s="27" t="s">
        <v>181</v>
      </c>
      <c r="V1" s="27" t="s">
        <v>182</v>
      </c>
      <c r="X1" s="27" t="s">
        <v>183</v>
      </c>
      <c r="Y1" s="27" t="s">
        <v>184</v>
      </c>
      <c r="Z1" s="27" t="s">
        <v>185</v>
      </c>
      <c r="AA1" s="27" t="s">
        <v>186</v>
      </c>
      <c r="AB1" s="27" t="s">
        <v>187</v>
      </c>
      <c r="AC1" s="27" t="s">
        <v>188</v>
      </c>
      <c r="AD1" s="27" t="s">
        <v>189</v>
      </c>
      <c r="AE1" s="27" t="s">
        <v>190</v>
      </c>
      <c r="AF1" s="27" t="s">
        <v>191</v>
      </c>
      <c r="AG1" s="27" t="s">
        <v>192</v>
      </c>
      <c r="AH1" s="27" t="s">
        <v>193</v>
      </c>
      <c r="AI1" s="27" t="s">
        <v>194</v>
      </c>
      <c r="AJ1" s="27" t="s">
        <v>195</v>
      </c>
      <c r="AK1" s="27" t="s">
        <v>196</v>
      </c>
    </row>
    <row r="2" spans="1:37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37">
      <c r="A3" s="28"/>
      <c r="B3" s="62" t="s">
        <v>197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1:37">
      <c r="A4" s="28"/>
      <c r="B4" s="62" t="s">
        <v>198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</row>
    <row r="5" spans="1:37">
      <c r="A5" s="60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</row>
    <row r="7" spans="1:37">
      <c r="B7" s="49" t="s">
        <v>26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37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37">
      <c r="A9" s="29" t="str">
        <f>'Форма 4т'!A19</f>
        <v>1.</v>
      </c>
      <c r="B9" s="29">
        <f>ROUND(C9+D9+F9+AF9+AG9,0)</f>
        <v>760</v>
      </c>
      <c r="C9" s="29">
        <f>ROUND('Форма 4т'!C19*'Текущие цены за единицу'!C9,0)</f>
        <v>731</v>
      </c>
      <c r="D9" s="29">
        <f>ROUND('Форма 4т'!C19*'Текущие цены за единицу'!D9,0)</f>
        <v>29</v>
      </c>
      <c r="E9" s="29">
        <f>ROUND('Форма 4т'!C19*'Текущие цены за единицу'!E9,0)</f>
        <v>16</v>
      </c>
      <c r="F9" s="29">
        <f>ROUND('Форма 4т'!C19*'Текущие цены за единицу'!F9,0)</f>
        <v>0</v>
      </c>
      <c r="G9" s="29">
        <f>ROUND('Форма 4т'!C19*'Текущие цены за единицу'!G9,0)</f>
        <v>0</v>
      </c>
      <c r="H9" s="29">
        <f>ROUND('Форма 4т'!C19*'Текущие цены за единицу'!H9,0)</f>
        <v>0</v>
      </c>
      <c r="I9" s="30" t="e">
        <f ca="1">ОКРУГЛВСЕ('Форма 4т'!C19*'Текущие цены за единицу'!I9,8)</f>
        <v>#NAME?</v>
      </c>
      <c r="J9" s="26" t="e">
        <f ca="1">ОКРУГЛВСЕ('Форма 4т'!C19*'Текущие цены за единицу'!J9,8)</f>
        <v>#NAME?</v>
      </c>
      <c r="K9" s="30" t="e">
        <f ca="1">ОКРУГЛВСЕ('Форма 4т'!C19*'Текущие цены за единицу'!K9,8)</f>
        <v>#NAME?</v>
      </c>
      <c r="L9" s="29">
        <f>ROUND('Форма 4т'!C19*'Текущие цены за единицу'!L9,0)</f>
        <v>0</v>
      </c>
      <c r="M9" s="29">
        <f>ROUND('Форма 4т'!C19*'Текущие цены за единицу'!M9,0)</f>
        <v>0</v>
      </c>
      <c r="N9" s="29">
        <f>ROUND((C9+E9)*'Форма 4т'!K30/100,0)</f>
        <v>620</v>
      </c>
      <c r="O9" s="29">
        <f>ROUND((C9+E9)*'Форма 4т'!K33/100,0)</f>
        <v>486</v>
      </c>
      <c r="P9" s="29">
        <f>ROUND('Форма 4т'!C19*'Текущие цены за единицу'!P9,0)</f>
        <v>607</v>
      </c>
      <c r="Q9" s="29">
        <f>ROUND('Форма 4т'!C19*'Текущие цены за единицу'!Q9,0)</f>
        <v>13</v>
      </c>
      <c r="R9" s="29">
        <f>ROUND('Форма 4т'!C19*'Текущие цены за единицу'!R9,0)</f>
        <v>475</v>
      </c>
      <c r="S9" s="29">
        <f>ROUND('Форма 4т'!C19*'Текущие цены за единицу'!S9,0)</f>
        <v>10</v>
      </c>
      <c r="T9" s="29">
        <f>ROUND('Форма 4т'!C19*'Текущие цены за единицу'!T9,0)</f>
        <v>0</v>
      </c>
      <c r="U9" s="29">
        <f>ROUND('Форма 4т'!C19*'Текущие цены за единицу'!U9,0)</f>
        <v>0</v>
      </c>
      <c r="V9" s="29">
        <f>ROUND('Форма 4т'!C19*'Текущие цены за единицу'!V9,0)</f>
        <v>0</v>
      </c>
      <c r="X9" s="25">
        <f>ROUND('Форма 4т'!C19*'Текущие цены за единицу'!X9,0)</f>
        <v>0</v>
      </c>
      <c r="Y9" s="25">
        <f>IF(Определители!I9="9",ROUND((C9+E9)*(Начисления!M9/100)*('Форма 4т'!K30/100),0),0)</f>
        <v>0</v>
      </c>
      <c r="Z9" s="25">
        <f>IF(Определители!I9="9",ROUND((C9+E9)*(100-Начисления!M9/100)*('Форма 4т'!K30/100),0),0)</f>
        <v>0</v>
      </c>
      <c r="AA9" s="25">
        <f>IF(Определители!I9="9",ROUND((C9+E9)*(Начисления!M9/100)*('Форма 4т'!K33/100),0),0)</f>
        <v>0</v>
      </c>
      <c r="AB9" s="25">
        <f>IF(Определители!I9="9",ROUND((C9+E9)*(100-Начисления!M9/100)*('Форма 4т'!K33/100),0),0)</f>
        <v>0</v>
      </c>
      <c r="AC9" s="25">
        <f>IF(Определители!I9="9",ROUND(B9*Начисления!M9/100,0),0)</f>
        <v>0</v>
      </c>
      <c r="AD9" s="25">
        <f>IF(Определители!I9="9",ROUND(B9*(100-Начисления!M9)/100,0),0)</f>
        <v>0</v>
      </c>
      <c r="AE9" s="25">
        <f>ROUND('Форма 4т'!C19*'Текущие цены за единицу'!AE9,0)</f>
        <v>0</v>
      </c>
      <c r="AH9" s="25">
        <f>ROUND('Форма 4т'!C19*'Текущие цены за единицу'!AH9,0)</f>
        <v>0</v>
      </c>
      <c r="AI9" s="25">
        <f>ROUND('Форма 4т'!C19*'Текущие цены за единицу'!AI9,0)</f>
        <v>0</v>
      </c>
      <c r="AJ9" s="25">
        <f>ROUND('Форма 4т'!C19*'Текущие цены за единицу'!AJ9,0)</f>
        <v>0</v>
      </c>
      <c r="AK9" s="25">
        <f>ROUND('Форма 4т'!C19*'Текущие цены за единицу'!AK9,0)</f>
        <v>0</v>
      </c>
    </row>
    <row r="10" spans="1:37">
      <c r="A10" s="29" t="str">
        <f>'Форма 4т'!A38</f>
        <v>2.</v>
      </c>
      <c r="B10" s="29">
        <f>ROUND(C10+D10+F10+AF10+AG10,0)</f>
        <v>3371</v>
      </c>
      <c r="C10" s="29">
        <f>ROUND('Форма 4т'!C38*'Текущие цены за единицу'!C10,0)</f>
        <v>946</v>
      </c>
      <c r="D10" s="29">
        <f>ROUND('Форма 4т'!C38*'Текущие цены за единицу'!D10,0)</f>
        <v>160</v>
      </c>
      <c r="E10" s="29">
        <f>ROUND('Форма 4т'!C38*'Текущие цены за единицу'!E10,0)</f>
        <v>31</v>
      </c>
      <c r="F10" s="29">
        <f>ROUND('Форма 4т'!C38*'Текущие цены за единицу'!F10,0)</f>
        <v>2265</v>
      </c>
      <c r="G10" s="29">
        <f>ROUND('Форма 4т'!C38*'Текущие цены за единицу'!G10,0)</f>
        <v>0</v>
      </c>
      <c r="H10" s="29">
        <f>ROUND('Форма 4т'!C38*'Текущие цены за единицу'!H10,0)</f>
        <v>0</v>
      </c>
      <c r="I10" s="30" t="e">
        <f ca="1">ОКРУГЛВСЕ('Форма 4т'!C38*'Текущие цены за единицу'!I10,8)</f>
        <v>#NAME?</v>
      </c>
      <c r="J10" s="26" t="e">
        <f ca="1">ОКРУГЛВСЕ('Форма 4т'!C38*'Текущие цены за единицу'!J10,8)</f>
        <v>#NAME?</v>
      </c>
      <c r="K10" s="30" t="e">
        <f ca="1">ОКРУГЛВСЕ('Форма 4т'!C38*'Текущие цены за единицу'!K10,8)</f>
        <v>#NAME?</v>
      </c>
      <c r="L10" s="29">
        <f>ROUND('Форма 4т'!C38*'Текущие цены за единицу'!L10,0)</f>
        <v>0</v>
      </c>
      <c r="M10" s="29">
        <f>ROUND('Форма 4т'!C38*'Текущие цены за единицу'!M10,0)</f>
        <v>0</v>
      </c>
      <c r="N10" s="29">
        <f>ROUND((C10+E10)*'Форма 4т'!K50/100,0)</f>
        <v>1036</v>
      </c>
      <c r="O10" s="29">
        <f>ROUND((C10+E10)*'Форма 4т'!K53/100,0)</f>
        <v>528</v>
      </c>
      <c r="P10" s="29">
        <f>ROUND('Форма 4т'!C38*'Текущие цены за единицу'!P10,0)</f>
        <v>1003</v>
      </c>
      <c r="Q10" s="29">
        <f>ROUND('Форма 4т'!C38*'Текущие цены за единицу'!Q10,0)</f>
        <v>33</v>
      </c>
      <c r="R10" s="29">
        <f>ROUND('Форма 4т'!C38*'Текущие цены за единицу'!R10,0)</f>
        <v>511</v>
      </c>
      <c r="S10" s="29">
        <f>ROUND('Форма 4т'!C38*'Текущие цены за единицу'!S10,0)</f>
        <v>17</v>
      </c>
      <c r="T10" s="29">
        <f>ROUND('Форма 4т'!C38*'Текущие цены за единицу'!T10,0)</f>
        <v>0</v>
      </c>
      <c r="U10" s="29">
        <f>ROUND('Форма 4т'!C38*'Текущие цены за единицу'!U10,0)</f>
        <v>0</v>
      </c>
      <c r="V10" s="29">
        <f>ROUND('Форма 4т'!C38*'Текущие цены за единицу'!V10,0)</f>
        <v>0</v>
      </c>
      <c r="X10" s="25">
        <f>ROUND('Форма 4т'!C38*'Текущие цены за единицу'!X10,0)</f>
        <v>0</v>
      </c>
      <c r="Y10" s="25">
        <f>IF(Определители!I10="9",ROUND((C10+E10)*(Начисления!M10/100)*('Форма 4т'!K50/100),0),0)</f>
        <v>0</v>
      </c>
      <c r="Z10" s="25">
        <f>IF(Определители!I10="9",ROUND((C10+E10)*(100-Начисления!M10/100)*('Форма 4т'!K50/100),0),0)</f>
        <v>0</v>
      </c>
      <c r="AA10" s="25">
        <f>IF(Определители!I10="9",ROUND((C10+E10)*(Начисления!M10/100)*('Форма 4т'!K53/100),0),0)</f>
        <v>0</v>
      </c>
      <c r="AB10" s="25">
        <f>IF(Определители!I10="9",ROUND((C10+E10)*(100-Начисления!M10/100)*('Форма 4т'!K53/100),0),0)</f>
        <v>0</v>
      </c>
      <c r="AC10" s="25">
        <f>IF(Определители!I10="9",ROUND(B10*Начисления!M10/100,0),0)</f>
        <v>0</v>
      </c>
      <c r="AD10" s="25">
        <f>IF(Определители!I10="9",ROUND(B10*(100-Начисления!M10)/100,0),0)</f>
        <v>0</v>
      </c>
      <c r="AE10" s="25">
        <f>ROUND('Форма 4т'!C38*'Текущие цены за единицу'!AE10,0)</f>
        <v>0</v>
      </c>
      <c r="AH10" s="25">
        <f>ROUND('Форма 4т'!C38*'Текущие цены за единицу'!AH10,0)</f>
        <v>0</v>
      </c>
      <c r="AI10" s="25">
        <f>ROUND('Форма 4т'!C38*'Текущие цены за единицу'!AI10,0)</f>
        <v>0</v>
      </c>
      <c r="AJ10" s="25">
        <f>ROUND('Форма 4т'!C38*'Текущие цены за единицу'!AJ10,0)</f>
        <v>0</v>
      </c>
      <c r="AK10" s="25">
        <f>ROUND('Форма 4т'!C38*'Текущие цены за единицу'!AK10,0)</f>
        <v>0</v>
      </c>
    </row>
    <row r="11" spans="1:37">
      <c r="A11" s="29" t="str">
        <f>'Форма 4т'!A58</f>
        <v>3.</v>
      </c>
      <c r="B11" s="29">
        <f>ROUND(C11+D11+F11+AF11+AG11,0)</f>
        <v>30905</v>
      </c>
      <c r="C11" s="29">
        <f>ROUND('Форма 4т'!C58*'Текущие цены за единицу'!C11,0)</f>
        <v>5879</v>
      </c>
      <c r="D11" s="29">
        <f>ROUND('Форма 4т'!C58*'Текущие цены за единицу'!D11,0)</f>
        <v>107</v>
      </c>
      <c r="E11" s="29">
        <f>ROUND('Форма 4т'!C58*'Текущие цены за единицу'!E11,0)</f>
        <v>28</v>
      </c>
      <c r="F11" s="29">
        <f>ROUND('Форма 4т'!C58*'Текущие цены за единицу'!F11,0)</f>
        <v>24919</v>
      </c>
      <c r="G11" s="29">
        <f>ROUND('Форма 4т'!C58*'Текущие цены за единицу'!G11,0)</f>
        <v>0</v>
      </c>
      <c r="H11" s="29">
        <f>ROUND('Форма 4т'!C58*'Текущие цены за единицу'!H11,0)</f>
        <v>0</v>
      </c>
      <c r="I11" s="30" t="e">
        <f ca="1">ОКРУГЛВСЕ('Форма 4т'!C58*'Текущие цены за единицу'!I11,8)</f>
        <v>#NAME?</v>
      </c>
      <c r="J11" s="26" t="e">
        <f ca="1">ОКРУГЛВСЕ('Форма 4т'!C58*'Текущие цены за единицу'!J11,8)</f>
        <v>#NAME?</v>
      </c>
      <c r="K11" s="30" t="e">
        <f ca="1">ОКРУГЛВСЕ('Форма 4т'!C58*'Текущие цены за единицу'!K11,8)</f>
        <v>#NAME?</v>
      </c>
      <c r="L11" s="29">
        <f>ROUND('Форма 4т'!C58*'Текущие цены за единицу'!L11,0)</f>
        <v>0</v>
      </c>
      <c r="M11" s="29">
        <f>ROUND('Форма 4т'!C58*'Текущие цены за единицу'!M11,0)</f>
        <v>0</v>
      </c>
      <c r="N11" s="29">
        <f>ROUND((C11+E11)*'Форма 4т'!K69/100,0)</f>
        <v>4903</v>
      </c>
      <c r="O11" s="29">
        <f>ROUND((C11+E11)*'Форма 4т'!K72/100,0)</f>
        <v>3840</v>
      </c>
      <c r="P11" s="29">
        <f>ROUND('Форма 4т'!C58*'Текущие цены за единицу'!P11,0)</f>
        <v>4879</v>
      </c>
      <c r="Q11" s="29">
        <f>ROUND('Форма 4т'!C58*'Текущие цены за единицу'!Q11,0)</f>
        <v>23</v>
      </c>
      <c r="R11" s="29">
        <f>ROUND('Форма 4т'!C58*'Текущие цены за единицу'!R11,0)</f>
        <v>3821</v>
      </c>
      <c r="S11" s="29">
        <f>ROUND('Форма 4т'!C58*'Текущие цены за единицу'!S11,0)</f>
        <v>18</v>
      </c>
      <c r="T11" s="29">
        <f>ROUND('Форма 4т'!C58*'Текущие цены за единицу'!T11,0)</f>
        <v>0</v>
      </c>
      <c r="U11" s="29">
        <f>ROUND('Форма 4т'!C58*'Текущие цены за единицу'!U11,0)</f>
        <v>0</v>
      </c>
      <c r="V11" s="29">
        <f>ROUND('Форма 4т'!C58*'Текущие цены за единицу'!V11,0)</f>
        <v>0</v>
      </c>
      <c r="X11" s="25">
        <f>ROUND('Форма 4т'!C58*'Текущие цены за единицу'!X11,0)</f>
        <v>0</v>
      </c>
      <c r="Y11" s="25">
        <f>IF(Определители!I11="9",ROUND((C11+E11)*(Начисления!M11/100)*('Форма 4т'!K69/100),0),0)</f>
        <v>0</v>
      </c>
      <c r="Z11" s="25">
        <f>IF(Определители!I11="9",ROUND((C11+E11)*(100-Начисления!M11/100)*('Форма 4т'!K69/100),0),0)</f>
        <v>0</v>
      </c>
      <c r="AA11" s="25">
        <f>IF(Определители!I11="9",ROUND((C11+E11)*(Начисления!M11/100)*('Форма 4т'!K72/100),0),0)</f>
        <v>0</v>
      </c>
      <c r="AB11" s="25">
        <f>IF(Определители!I11="9",ROUND((C11+E11)*(100-Начисления!M11/100)*('Форма 4т'!K72/100),0),0)</f>
        <v>0</v>
      </c>
      <c r="AC11" s="25">
        <f>IF(Определители!I11="9",ROUND(B11*Начисления!M11/100,0),0)</f>
        <v>0</v>
      </c>
      <c r="AD11" s="25">
        <f>IF(Определители!I11="9",ROUND(B11*(100-Начисления!M11)/100,0),0)</f>
        <v>0</v>
      </c>
      <c r="AE11" s="25">
        <f>ROUND('Форма 4т'!C58*'Текущие цены за единицу'!AE11,0)</f>
        <v>0</v>
      </c>
      <c r="AH11" s="25">
        <f>ROUND('Форма 4т'!C58*'Текущие цены за единицу'!AH11,0)</f>
        <v>0</v>
      </c>
      <c r="AI11" s="25">
        <f>ROUND('Форма 4т'!C58*'Текущие цены за единицу'!AI11,0)</f>
        <v>0</v>
      </c>
      <c r="AJ11" s="25">
        <f>ROUND('Форма 4т'!C58*'Текущие цены за единицу'!AJ11,0)</f>
        <v>0</v>
      </c>
      <c r="AK11" s="25">
        <f>ROUND('Форма 4т'!C58*'Текущие цены за единицу'!AK11,0)</f>
        <v>0</v>
      </c>
    </row>
    <row r="13" spans="1:37">
      <c r="B13" s="49" t="s">
        <v>114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</row>
    <row r="14" spans="1:37"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37">
      <c r="A15" s="29" t="str">
        <f>'Форма 4т'!A169</f>
        <v>4.</v>
      </c>
      <c r="B15" s="29">
        <f>ROUND(C15+D15+F15+AF15+AG15,0)</f>
        <v>549</v>
      </c>
      <c r="C15" s="29">
        <f>ROUND('Форма 4т'!C169*'Текущие цены за единицу'!C15,0)</f>
        <v>533</v>
      </c>
      <c r="D15" s="29">
        <f>ROUND('Форма 4т'!C169*'Текущие цены за единицу'!D15,0)</f>
        <v>16</v>
      </c>
      <c r="E15" s="29">
        <f>ROUND('Форма 4т'!C169*'Текущие цены за единицу'!E15,0)</f>
        <v>0</v>
      </c>
      <c r="F15" s="29">
        <f>ROUND('Форма 4т'!C169*'Текущие цены за единицу'!F15,0)</f>
        <v>0</v>
      </c>
      <c r="G15" s="29">
        <f>ROUND('Форма 4т'!C169*'Текущие цены за единицу'!G15,0)</f>
        <v>0</v>
      </c>
      <c r="H15" s="29">
        <f>ROUND('Форма 4т'!C169*'Текущие цены за единицу'!H15,0)</f>
        <v>0</v>
      </c>
      <c r="I15" s="30" t="e">
        <f ca="1">ОКРУГЛВСЕ('Форма 4т'!C169*'Текущие цены за единицу'!I15,8)</f>
        <v>#NAME?</v>
      </c>
      <c r="J15" s="26" t="e">
        <f ca="1">ОКРУГЛВСЕ('Форма 4т'!C169*'Текущие цены за единицу'!J15,8)</f>
        <v>#NAME?</v>
      </c>
      <c r="K15" s="30" t="e">
        <f ca="1">ОКРУГЛВСЕ('Форма 4т'!C169*'Текущие цены за единицу'!K15,8)</f>
        <v>#NAME?</v>
      </c>
      <c r="L15" s="29">
        <f>ROUND('Форма 4т'!C169*'Текущие цены за единицу'!L15,0)</f>
        <v>0</v>
      </c>
      <c r="M15" s="29">
        <f>ROUND('Форма 4т'!C169*'Текущие цены за единицу'!M15,0)</f>
        <v>0</v>
      </c>
      <c r="N15" s="29">
        <f>ROUND((C15+E15)*'Форма 4т'!K180/100,0)</f>
        <v>528</v>
      </c>
      <c r="O15" s="29">
        <f>ROUND((C15+E15)*'Форма 4т'!K183/100,0)</f>
        <v>320</v>
      </c>
      <c r="P15" s="29">
        <f>ROUND('Форма 4т'!C169*'Текущие цены за единицу'!P15,0)</f>
        <v>528</v>
      </c>
      <c r="Q15" s="29">
        <f>ROUND('Форма 4т'!C169*'Текущие цены за единицу'!Q15,0)</f>
        <v>0</v>
      </c>
      <c r="R15" s="29">
        <f>ROUND('Форма 4т'!C169*'Текущие цены за единицу'!R15,0)</f>
        <v>320</v>
      </c>
      <c r="S15" s="29">
        <f>ROUND('Форма 4т'!C169*'Текущие цены за единицу'!S15,0)</f>
        <v>0</v>
      </c>
      <c r="T15" s="29">
        <f>ROUND('Форма 4т'!C169*'Текущие цены за единицу'!T15,0)</f>
        <v>0</v>
      </c>
      <c r="U15" s="29">
        <f>ROUND('Форма 4т'!C169*'Текущие цены за единицу'!U15,0)</f>
        <v>0</v>
      </c>
      <c r="V15" s="29">
        <f>ROUND('Форма 4т'!C169*'Текущие цены за единицу'!V15,0)</f>
        <v>0</v>
      </c>
      <c r="X15" s="25">
        <f>ROUND('Форма 4т'!C169*'Текущие цены за единицу'!X15,0)</f>
        <v>0</v>
      </c>
      <c r="Y15" s="25">
        <f>IF(Определители!I15="9",ROUND((C15+E15)*(Начисления!M15/100)*('Форма 4т'!K180/100),0),0)</f>
        <v>0</v>
      </c>
      <c r="Z15" s="25">
        <f>IF(Определители!I15="9",ROUND((C15+E15)*(100-Начисления!M15/100)*('Форма 4т'!K180/100),0),0)</f>
        <v>0</v>
      </c>
      <c r="AA15" s="25">
        <f>IF(Определители!I15="9",ROUND((C15+E15)*(Начисления!M15/100)*('Форма 4т'!K183/100),0),0)</f>
        <v>0</v>
      </c>
      <c r="AB15" s="25">
        <f>IF(Определители!I15="9",ROUND((C15+E15)*(100-Начисления!M15/100)*('Форма 4т'!K183/100),0),0)</f>
        <v>0</v>
      </c>
      <c r="AC15" s="25">
        <f>IF(Определители!I15="9",ROUND(B15*Начисления!M15/100,0),0)</f>
        <v>0</v>
      </c>
      <c r="AD15" s="25">
        <f>IF(Определители!I15="9",ROUND(B15*(100-Начисления!M15)/100,0),0)</f>
        <v>0</v>
      </c>
      <c r="AE15" s="25">
        <f>ROUND('Форма 4т'!C169*'Текущие цены за единицу'!AE15,0)</f>
        <v>0</v>
      </c>
      <c r="AH15" s="25">
        <f>ROUND('Форма 4т'!C169*'Текущие цены за единицу'!AH15,0)</f>
        <v>0</v>
      </c>
      <c r="AI15" s="25">
        <f>ROUND('Форма 4т'!C169*'Текущие цены за единицу'!AI15,0)</f>
        <v>0</v>
      </c>
      <c r="AJ15" s="25">
        <f>ROUND('Форма 4т'!C169*'Текущие цены за единицу'!AJ15,0)</f>
        <v>0</v>
      </c>
      <c r="AK15" s="25">
        <f>ROUND('Форма 4т'!C169*'Текущие цены за единицу'!AK15,0)</f>
        <v>0</v>
      </c>
    </row>
    <row r="16" spans="1:37">
      <c r="A16" s="29" t="str">
        <f>'Форма 4т'!A188</f>
        <v>5.</v>
      </c>
      <c r="B16" s="29">
        <f>ROUND(C16+D16+F16+AF16+AG16,0)</f>
        <v>4667</v>
      </c>
      <c r="C16" s="29">
        <f>ROUND('Форма 4т'!C188*'Текущие цены за единицу'!C16,0)</f>
        <v>2843</v>
      </c>
      <c r="D16" s="29">
        <f>ROUND('Форма 4т'!C188*'Текущие цены за единицу'!D16,0)</f>
        <v>1398</v>
      </c>
      <c r="E16" s="29">
        <f>ROUND('Форма 4т'!C188*'Текущие цены за единицу'!E16,0)</f>
        <v>373</v>
      </c>
      <c r="F16" s="29">
        <f>ROUND('Форма 4т'!C188*'Текущие цены за единицу'!F16,0)</f>
        <v>426</v>
      </c>
      <c r="G16" s="29">
        <f>ROUND('Форма 4т'!C188*'Текущие цены за единицу'!G16,0)</f>
        <v>0</v>
      </c>
      <c r="H16" s="29">
        <f>ROUND('Форма 4т'!C188*'Текущие цены за единицу'!H16,0)</f>
        <v>0</v>
      </c>
      <c r="I16" s="30" t="e">
        <f ca="1">ОКРУГЛВСЕ('Форма 4т'!C188*'Текущие цены за единицу'!I16,8)</f>
        <v>#NAME?</v>
      </c>
      <c r="J16" s="26" t="e">
        <f ca="1">ОКРУГЛВСЕ('Форма 4т'!C188*'Текущие цены за единицу'!J16,8)</f>
        <v>#NAME?</v>
      </c>
      <c r="K16" s="30" t="e">
        <f ca="1">ОКРУГЛВСЕ('Форма 4т'!C188*'Текущие цены за единицу'!K16,8)</f>
        <v>#NAME?</v>
      </c>
      <c r="L16" s="29">
        <f>ROUND('Форма 4т'!C188*'Текущие цены за единицу'!L16,0)</f>
        <v>0</v>
      </c>
      <c r="M16" s="29">
        <f>ROUND('Форма 4т'!C188*'Текущие цены за единицу'!M16,0)</f>
        <v>0</v>
      </c>
      <c r="N16" s="29">
        <f>ROUND((C16+E16)*'Форма 4т'!K200/100,0)</f>
        <v>2605</v>
      </c>
      <c r="O16" s="29">
        <f>ROUND((C16+E16)*'Форма 4т'!K203/100,0)</f>
        <v>2316</v>
      </c>
      <c r="P16" s="29">
        <f>ROUND('Форма 4т'!C188*'Текущие цены за единицу'!P16,0)</f>
        <v>2303</v>
      </c>
      <c r="Q16" s="29">
        <f>ROUND('Форма 4т'!C188*'Текущие цены за единицу'!Q16,0)</f>
        <v>302</v>
      </c>
      <c r="R16" s="29">
        <f>ROUND('Форма 4т'!C188*'Текущие цены за единицу'!R16,0)</f>
        <v>2047</v>
      </c>
      <c r="S16" s="29">
        <f>ROUND('Форма 4т'!C188*'Текущие цены за единицу'!S16,0)</f>
        <v>268</v>
      </c>
      <c r="T16" s="29">
        <f>ROUND('Форма 4т'!C188*'Текущие цены за единицу'!T16,0)</f>
        <v>0</v>
      </c>
      <c r="U16" s="29">
        <f>ROUND('Форма 4т'!C188*'Текущие цены за единицу'!U16,0)</f>
        <v>0</v>
      </c>
      <c r="V16" s="29">
        <f>ROUND('Форма 4т'!C188*'Текущие цены за единицу'!V16,0)</f>
        <v>0</v>
      </c>
      <c r="X16" s="25">
        <f>ROUND('Форма 4т'!C188*'Текущие цены за единицу'!X16,0)</f>
        <v>0</v>
      </c>
      <c r="Y16" s="25">
        <f>IF(Определители!I16="9",ROUND((C16+E16)*(Начисления!M16/100)*('Форма 4т'!K200/100),0),0)</f>
        <v>0</v>
      </c>
      <c r="Z16" s="25">
        <f>IF(Определители!I16="9",ROUND((C16+E16)*(100-Начисления!M16/100)*('Форма 4т'!K200/100),0),0)</f>
        <v>0</v>
      </c>
      <c r="AA16" s="25">
        <f>IF(Определители!I16="9",ROUND((C16+E16)*(Начисления!M16/100)*('Форма 4т'!K203/100),0),0)</f>
        <v>0</v>
      </c>
      <c r="AB16" s="25">
        <f>IF(Определители!I16="9",ROUND((C16+E16)*(100-Начисления!M16/100)*('Форма 4т'!K203/100),0),0)</f>
        <v>0</v>
      </c>
      <c r="AC16" s="25">
        <f>IF(Определители!I16="9",ROUND(B16*Начисления!M16/100,0),0)</f>
        <v>0</v>
      </c>
      <c r="AD16" s="25">
        <f>IF(Определители!I16="9",ROUND(B16*(100-Начисления!M16)/100,0),0)</f>
        <v>0</v>
      </c>
      <c r="AE16" s="25">
        <f>ROUND('Форма 4т'!C188*'Текущие цены за единицу'!AE16,0)</f>
        <v>0</v>
      </c>
      <c r="AH16" s="25">
        <f>ROUND('Форма 4т'!C188*'Текущие цены за единицу'!AH16,0)</f>
        <v>0</v>
      </c>
      <c r="AI16" s="25">
        <f>ROUND('Форма 4т'!C188*'Текущие цены за единицу'!AI16,0)</f>
        <v>0</v>
      </c>
      <c r="AJ16" s="25">
        <f>ROUND('Форма 4т'!C188*'Текущие цены за единицу'!AJ16,0)</f>
        <v>0</v>
      </c>
      <c r="AK16" s="25">
        <f>ROUND('Форма 4т'!C188*'Текущие цены за единицу'!AK16,0)</f>
        <v>0</v>
      </c>
    </row>
    <row r="17" spans="1:37">
      <c r="A17" s="29" t="str">
        <f>'Форма 4т'!A208</f>
        <v>6.</v>
      </c>
      <c r="B17" s="29">
        <f>ROUND(C17+D17+F17+AF17+AG17,0)</f>
        <v>18595</v>
      </c>
      <c r="C17" s="29">
        <f>ROUND('Форма 4т'!C208*'Текущие цены за единицу'!C17,0)</f>
        <v>0</v>
      </c>
      <c r="D17" s="29">
        <f>ROUND('Форма 4т'!C208*'Текущие цены за единицу'!D17,0)</f>
        <v>0</v>
      </c>
      <c r="E17" s="29">
        <f>ROUND('Форма 4т'!C208*'Текущие цены за единицу'!E17,0)</f>
        <v>0</v>
      </c>
      <c r="F17" s="29">
        <f>ROUND('Форма 4т'!C208*'Текущие цены за единицу'!F17,0)</f>
        <v>18595</v>
      </c>
      <c r="G17" s="29">
        <f>ROUND('Форма 4т'!C208*'Текущие цены за единицу'!G17,0)</f>
        <v>16904</v>
      </c>
      <c r="H17" s="29">
        <f>ROUND('Форма 4т'!C208*'Текущие цены за единицу'!H17,0)</f>
        <v>0</v>
      </c>
      <c r="I17" s="30" t="e">
        <f ca="1">ОКРУГЛВСЕ('Форма 4т'!C208*'Текущие цены за единицу'!I17,8)</f>
        <v>#NAME?</v>
      </c>
      <c r="J17" s="26" t="e">
        <f ca="1">ОКРУГЛВСЕ('Форма 4т'!C208*'Текущие цены за единицу'!J17,8)</f>
        <v>#NAME?</v>
      </c>
      <c r="K17" s="30" t="e">
        <f ca="1">ОКРУГЛВСЕ('Форма 4т'!C208*'Текущие цены за единицу'!K17,8)</f>
        <v>#NAME?</v>
      </c>
      <c r="L17" s="29">
        <f>ROUND('Форма 4т'!C208*'Текущие цены за единицу'!L17,0)</f>
        <v>346</v>
      </c>
      <c r="M17" s="29">
        <f>ROUND('Форма 4т'!C208*'Текущие цены за единицу'!M17,0)</f>
        <v>0</v>
      </c>
      <c r="N17" s="29">
        <f>ROUND((C17+E17)*'Форма 4т'!K219/100,0)</f>
        <v>0</v>
      </c>
      <c r="O17" s="29">
        <f>ROUND((C17+E17)*'Форма 4т'!K222/100,0)</f>
        <v>0</v>
      </c>
      <c r="P17" s="29">
        <f>ROUND('Форма 4т'!C208*'Текущие цены за единицу'!P17,0)</f>
        <v>0</v>
      </c>
      <c r="Q17" s="29">
        <f>ROUND('Форма 4т'!C208*'Текущие цены за единицу'!Q17,0)</f>
        <v>0</v>
      </c>
      <c r="R17" s="29">
        <f>ROUND('Форма 4т'!C208*'Текущие цены за единицу'!R17,0)</f>
        <v>0</v>
      </c>
      <c r="S17" s="29">
        <f>ROUND('Форма 4т'!C208*'Текущие цены за единицу'!S17,0)</f>
        <v>0</v>
      </c>
      <c r="T17" s="29">
        <f>ROUND('Форма 4т'!C208*'Текущие цены за единицу'!T17,0)</f>
        <v>0</v>
      </c>
      <c r="U17" s="29">
        <f>ROUND('Форма 4т'!C208*'Текущие цены за единицу'!U17,0)</f>
        <v>0</v>
      </c>
      <c r="V17" s="29">
        <f>ROUND('Форма 4т'!C208*'Текущие цены за единицу'!V17,0)</f>
        <v>0</v>
      </c>
      <c r="X17" s="25">
        <f>ROUND('Форма 4т'!C208*'Текущие цены за единицу'!X17,0)</f>
        <v>0</v>
      </c>
      <c r="Y17" s="25">
        <f>IF(Определители!I17="9",ROUND((C17+E17)*(Начисления!M17/100)*('Форма 4т'!K219/100),0),0)</f>
        <v>0</v>
      </c>
      <c r="Z17" s="25">
        <f>IF(Определители!I17="9",ROUND((C17+E17)*(100-Начисления!M17/100)*('Форма 4т'!K219/100),0),0)</f>
        <v>0</v>
      </c>
      <c r="AA17" s="25">
        <f>IF(Определители!I17="9",ROUND((C17+E17)*(Начисления!M17/100)*('Форма 4т'!K222/100),0),0)</f>
        <v>0</v>
      </c>
      <c r="AB17" s="25">
        <f>IF(Определители!I17="9",ROUND((C17+E17)*(100-Начисления!M17/100)*('Форма 4т'!K222/100),0),0)</f>
        <v>0</v>
      </c>
      <c r="AC17" s="25">
        <f>IF(Определители!I17="9",ROUND(B17*Начисления!M17/100,0),0)</f>
        <v>0</v>
      </c>
      <c r="AD17" s="25">
        <f>IF(Определители!I17="9",ROUND(B17*(100-Начисления!M17)/100,0),0)</f>
        <v>0</v>
      </c>
      <c r="AE17" s="25">
        <f>ROUND('Форма 4т'!C208*'Текущие цены за единицу'!AE17,0)</f>
        <v>0</v>
      </c>
      <c r="AH17" s="25">
        <f>ROUND('Форма 4т'!C208*'Текущие цены за единицу'!AH17,0)</f>
        <v>0</v>
      </c>
      <c r="AI17" s="25">
        <f>ROUND('Форма 4т'!C208*'Текущие цены за единицу'!AI17,0)</f>
        <v>0</v>
      </c>
      <c r="AJ17" s="25">
        <f>ROUND('Форма 4т'!C208*'Текущие цены за единицу'!AJ17,0)</f>
        <v>0</v>
      </c>
      <c r="AK17" s="25">
        <f>ROUND('Форма 4т'!C208*'Текущие цены за единицу'!AK17,0)</f>
        <v>0</v>
      </c>
    </row>
    <row r="19" spans="1:37">
      <c r="B19" s="49" t="s">
        <v>127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</row>
    <row r="20" spans="1:37"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</row>
    <row r="21" spans="1:37">
      <c r="A21" s="29" t="str">
        <f>'Форма 4т'!A319</f>
        <v>7.</v>
      </c>
      <c r="B21" s="29">
        <f t="shared" ref="B21:B26" si="0">ROUND(C21+D21+F21+AF21+AG21,0)</f>
        <v>1084</v>
      </c>
      <c r="C21" s="29">
        <f>ROUND('Форма 4т'!C319*'Текущие цены за единицу'!C21,0)</f>
        <v>1053</v>
      </c>
      <c r="D21" s="29">
        <f>ROUND('Форма 4т'!C319*'Текущие цены за единицу'!D21,0)</f>
        <v>31</v>
      </c>
      <c r="E21" s="29">
        <f>ROUND('Форма 4т'!C319*'Текущие цены за единицу'!E21,0)</f>
        <v>0</v>
      </c>
      <c r="F21" s="29">
        <f>ROUND('Форма 4т'!C319*'Текущие цены за единицу'!F21,0)</f>
        <v>0</v>
      </c>
      <c r="G21" s="29">
        <f>ROUND('Форма 4т'!C319*'Текущие цены за единицу'!G21,0)</f>
        <v>0</v>
      </c>
      <c r="H21" s="29">
        <f>ROUND('Форма 4т'!C319*'Текущие цены за единицу'!H21,0)</f>
        <v>0</v>
      </c>
      <c r="I21" s="30" t="e">
        <f ca="1">ОКРУГЛВСЕ('Форма 4т'!C319*'Текущие цены за единицу'!I21,8)</f>
        <v>#NAME?</v>
      </c>
      <c r="J21" s="26" t="e">
        <f ca="1">ОКРУГЛВСЕ('Форма 4т'!C319*'Текущие цены за единицу'!J21,8)</f>
        <v>#NAME?</v>
      </c>
      <c r="K21" s="30" t="e">
        <f ca="1">ОКРУГЛВСЕ('Форма 4т'!C319*'Текущие цены за единицу'!K21,8)</f>
        <v>#NAME?</v>
      </c>
      <c r="L21" s="29">
        <f>ROUND('Форма 4т'!C319*'Текущие цены за единицу'!L21,0)</f>
        <v>0</v>
      </c>
      <c r="M21" s="29">
        <f>ROUND('Форма 4т'!C319*'Текущие цены за единицу'!M21,0)</f>
        <v>0</v>
      </c>
      <c r="N21" s="29">
        <f>ROUND((C21+E21)*'Форма 4т'!K330/100,0)</f>
        <v>1042</v>
      </c>
      <c r="O21" s="29">
        <f>ROUND((C21+E21)*'Форма 4т'!K333/100,0)</f>
        <v>632</v>
      </c>
      <c r="P21" s="29">
        <f>ROUND('Форма 4т'!C319*'Текущие цены за единицу'!P21,0)</f>
        <v>1042</v>
      </c>
      <c r="Q21" s="29">
        <f>ROUND('Форма 4т'!C319*'Текущие цены за единицу'!Q21,0)</f>
        <v>0</v>
      </c>
      <c r="R21" s="29">
        <f>ROUND('Форма 4т'!C319*'Текущие цены за единицу'!R21,0)</f>
        <v>632</v>
      </c>
      <c r="S21" s="29">
        <f>ROUND('Форма 4т'!C319*'Текущие цены за единицу'!S21,0)</f>
        <v>0</v>
      </c>
      <c r="T21" s="29">
        <f>ROUND('Форма 4т'!C319*'Текущие цены за единицу'!T21,0)</f>
        <v>0</v>
      </c>
      <c r="U21" s="29">
        <f>ROUND('Форма 4т'!C319*'Текущие цены за единицу'!U21,0)</f>
        <v>0</v>
      </c>
      <c r="V21" s="29">
        <f>ROUND('Форма 4т'!C319*'Текущие цены за единицу'!V21,0)</f>
        <v>0</v>
      </c>
      <c r="X21" s="25">
        <f>ROUND('Форма 4т'!C319*'Текущие цены за единицу'!X21,0)</f>
        <v>0</v>
      </c>
      <c r="Y21" s="25">
        <f>IF(Определители!I21="9",ROUND((C21+E21)*(Начисления!M21/100)*('Форма 4т'!K330/100),0),0)</f>
        <v>0</v>
      </c>
      <c r="Z21" s="25">
        <f>IF(Определители!I21="9",ROUND((C21+E21)*(100-Начисления!M21/100)*('Форма 4т'!K330/100),0),0)</f>
        <v>0</v>
      </c>
      <c r="AA21" s="25">
        <f>IF(Определители!I21="9",ROUND((C21+E21)*(Начисления!M21/100)*('Форма 4т'!K333/100),0),0)</f>
        <v>0</v>
      </c>
      <c r="AB21" s="25">
        <f>IF(Определители!I21="9",ROUND((C21+E21)*(100-Начисления!M21/100)*('Форма 4т'!K333/100),0),0)</f>
        <v>0</v>
      </c>
      <c r="AC21" s="25">
        <f>IF(Определители!I21="9",ROUND(B21*Начисления!M21/100,0),0)</f>
        <v>0</v>
      </c>
      <c r="AD21" s="25">
        <f>IF(Определители!I21="9",ROUND(B21*(100-Начисления!M21)/100,0),0)</f>
        <v>0</v>
      </c>
      <c r="AE21" s="25">
        <f>ROUND('Форма 4т'!C319*'Текущие цены за единицу'!AE21,0)</f>
        <v>0</v>
      </c>
      <c r="AH21" s="25">
        <f>ROUND('Форма 4т'!C319*'Текущие цены за единицу'!AH21,0)</f>
        <v>0</v>
      </c>
      <c r="AI21" s="25">
        <f>ROUND('Форма 4т'!C319*'Текущие цены за единицу'!AI21,0)</f>
        <v>0</v>
      </c>
      <c r="AJ21" s="25">
        <f>ROUND('Форма 4т'!C319*'Текущие цены за единицу'!AJ21,0)</f>
        <v>0</v>
      </c>
      <c r="AK21" s="25">
        <f>ROUND('Форма 4т'!C319*'Текущие цены за единицу'!AK21,0)</f>
        <v>0</v>
      </c>
    </row>
    <row r="22" spans="1:37">
      <c r="A22" s="29" t="str">
        <f>'Форма 4т'!A338</f>
        <v>8.</v>
      </c>
      <c r="B22" s="29">
        <f t="shared" si="0"/>
        <v>9219</v>
      </c>
      <c r="C22" s="29">
        <f>ROUND('Форма 4т'!C338*'Текущие цены за единицу'!C22,0)</f>
        <v>5616</v>
      </c>
      <c r="D22" s="29">
        <f>ROUND('Форма 4т'!C338*'Текущие цены за единицу'!D22,0)</f>
        <v>2762</v>
      </c>
      <c r="E22" s="29">
        <f>ROUND('Форма 4т'!C338*'Текущие цены за единицу'!E22,0)</f>
        <v>736</v>
      </c>
      <c r="F22" s="29">
        <f>ROUND('Форма 4т'!C338*'Текущие цены за единицу'!F22,0)</f>
        <v>841</v>
      </c>
      <c r="G22" s="29">
        <f>ROUND('Форма 4т'!C338*'Текущие цены за единицу'!G22,0)</f>
        <v>0</v>
      </c>
      <c r="H22" s="29">
        <f>ROUND('Форма 4т'!C338*'Текущие цены за единицу'!H22,0)</f>
        <v>0</v>
      </c>
      <c r="I22" s="30" t="e">
        <f ca="1">ОКРУГЛВСЕ('Форма 4т'!C338*'Текущие цены за единицу'!I22,8)</f>
        <v>#NAME?</v>
      </c>
      <c r="J22" s="26" t="e">
        <f ca="1">ОКРУГЛВСЕ('Форма 4т'!C338*'Текущие цены за единицу'!J22,8)</f>
        <v>#NAME?</v>
      </c>
      <c r="K22" s="30" t="e">
        <f ca="1">ОКРУГЛВСЕ('Форма 4т'!C338*'Текущие цены за единицу'!K22,8)</f>
        <v>#NAME?</v>
      </c>
      <c r="L22" s="29">
        <f>ROUND('Форма 4т'!C338*'Текущие цены за единицу'!L22,0)</f>
        <v>0</v>
      </c>
      <c r="M22" s="29">
        <f>ROUND('Форма 4т'!C338*'Текущие цены за единицу'!M22,0)</f>
        <v>0</v>
      </c>
      <c r="N22" s="29">
        <f>ROUND((C22+E22)*'Форма 4т'!K350/100,0)</f>
        <v>5145</v>
      </c>
      <c r="O22" s="29">
        <f>ROUND((C22+E22)*'Форма 4т'!K353/100,0)</f>
        <v>4573</v>
      </c>
      <c r="P22" s="29">
        <f>ROUND('Форма 4т'!C338*'Текущие цены за единицу'!P22,0)</f>
        <v>4549</v>
      </c>
      <c r="Q22" s="29">
        <f>ROUND('Форма 4т'!C338*'Текущие цены за единицу'!Q22,0)</f>
        <v>597</v>
      </c>
      <c r="R22" s="29">
        <f>ROUND('Форма 4т'!C338*'Текущие цены за единицу'!R22,0)</f>
        <v>4043</v>
      </c>
      <c r="S22" s="29">
        <f>ROUND('Форма 4т'!C338*'Текущие цены за единицу'!S22,0)</f>
        <v>530</v>
      </c>
      <c r="T22" s="29">
        <f>ROUND('Форма 4т'!C338*'Текущие цены за единицу'!T22,0)</f>
        <v>0</v>
      </c>
      <c r="U22" s="29">
        <f>ROUND('Форма 4т'!C338*'Текущие цены за единицу'!U22,0)</f>
        <v>0</v>
      </c>
      <c r="V22" s="29">
        <f>ROUND('Форма 4т'!C338*'Текущие цены за единицу'!V22,0)</f>
        <v>0</v>
      </c>
      <c r="X22" s="25">
        <f>ROUND('Форма 4т'!C338*'Текущие цены за единицу'!X22,0)</f>
        <v>0</v>
      </c>
      <c r="Y22" s="25">
        <f>IF(Определители!I22="9",ROUND((C22+E22)*(Начисления!M22/100)*('Форма 4т'!K350/100),0),0)</f>
        <v>0</v>
      </c>
      <c r="Z22" s="25">
        <f>IF(Определители!I22="9",ROUND((C22+E22)*(100-Начисления!M22/100)*('Форма 4т'!K350/100),0),0)</f>
        <v>0</v>
      </c>
      <c r="AA22" s="25">
        <f>IF(Определители!I22="9",ROUND((C22+E22)*(Начисления!M22/100)*('Форма 4т'!K353/100),0),0)</f>
        <v>0</v>
      </c>
      <c r="AB22" s="25">
        <f>IF(Определители!I22="9",ROUND((C22+E22)*(100-Начисления!M22/100)*('Форма 4т'!K353/100),0),0)</f>
        <v>0</v>
      </c>
      <c r="AC22" s="25">
        <f>IF(Определители!I22="9",ROUND(B22*Начисления!M22/100,0),0)</f>
        <v>0</v>
      </c>
      <c r="AD22" s="25">
        <f>IF(Определители!I22="9",ROUND(B22*(100-Начисления!M22)/100,0),0)</f>
        <v>0</v>
      </c>
      <c r="AE22" s="25">
        <f>ROUND('Форма 4т'!C338*'Текущие цены за единицу'!AE22,0)</f>
        <v>0</v>
      </c>
      <c r="AH22" s="25">
        <f>ROUND('Форма 4т'!C338*'Текущие цены за единицу'!AH22,0)</f>
        <v>0</v>
      </c>
      <c r="AI22" s="25">
        <f>ROUND('Форма 4т'!C338*'Текущие цены за единицу'!AI22,0)</f>
        <v>0</v>
      </c>
      <c r="AJ22" s="25">
        <f>ROUND('Форма 4т'!C338*'Текущие цены за единицу'!AJ22,0)</f>
        <v>0</v>
      </c>
      <c r="AK22" s="25">
        <f>ROUND('Форма 4т'!C338*'Текущие цены за единицу'!AK22,0)</f>
        <v>0</v>
      </c>
    </row>
    <row r="23" spans="1:37">
      <c r="A23" s="29" t="str">
        <f>'Форма 4т'!A358</f>
        <v>9.</v>
      </c>
      <c r="B23" s="29">
        <f t="shared" si="0"/>
        <v>36168</v>
      </c>
      <c r="C23" s="29">
        <f>ROUND('Форма 4т'!C358*'Текущие цены за единицу'!C23,0)</f>
        <v>0</v>
      </c>
      <c r="D23" s="29">
        <f>ROUND('Форма 4т'!C358*'Текущие цены за единицу'!D23,0)</f>
        <v>0</v>
      </c>
      <c r="E23" s="29">
        <f>ROUND('Форма 4т'!C358*'Текущие цены за единицу'!E23,0)</f>
        <v>0</v>
      </c>
      <c r="F23" s="29">
        <f>ROUND('Форма 4т'!C358*'Текущие цены за единицу'!F23,0)</f>
        <v>36168</v>
      </c>
      <c r="G23" s="29">
        <f>ROUND('Форма 4т'!C358*'Текущие цены за единицу'!G23,0)</f>
        <v>32880</v>
      </c>
      <c r="H23" s="29">
        <f>ROUND('Форма 4т'!C358*'Текущие цены за единицу'!H23,0)</f>
        <v>0</v>
      </c>
      <c r="I23" s="30" t="e">
        <f ca="1">ОКРУГЛВСЕ('Форма 4т'!C358*'Текущие цены за единицу'!I23,8)</f>
        <v>#NAME?</v>
      </c>
      <c r="J23" s="26" t="e">
        <f ca="1">ОКРУГЛВСЕ('Форма 4т'!C358*'Текущие цены за единицу'!J23,8)</f>
        <v>#NAME?</v>
      </c>
      <c r="K23" s="30" t="e">
        <f ca="1">ОКРУГЛВСЕ('Форма 4т'!C358*'Текущие цены за единицу'!K23,8)</f>
        <v>#NAME?</v>
      </c>
      <c r="L23" s="29">
        <f>ROUND('Форма 4т'!C358*'Текущие цены за единицу'!L23,0)</f>
        <v>673</v>
      </c>
      <c r="M23" s="29">
        <f>ROUND('Форма 4т'!C358*'Текущие цены за единицу'!M23,0)</f>
        <v>0</v>
      </c>
      <c r="N23" s="29">
        <f>ROUND((C23+E23)*'Форма 4т'!K369/100,0)</f>
        <v>0</v>
      </c>
      <c r="O23" s="29">
        <f>ROUND((C23+E23)*'Форма 4т'!K372/100,0)</f>
        <v>0</v>
      </c>
      <c r="P23" s="29">
        <f>ROUND('Форма 4т'!C358*'Текущие цены за единицу'!P23,0)</f>
        <v>0</v>
      </c>
      <c r="Q23" s="29">
        <f>ROUND('Форма 4т'!C358*'Текущие цены за единицу'!Q23,0)</f>
        <v>0</v>
      </c>
      <c r="R23" s="29">
        <f>ROUND('Форма 4т'!C358*'Текущие цены за единицу'!R23,0)</f>
        <v>0</v>
      </c>
      <c r="S23" s="29">
        <f>ROUND('Форма 4т'!C358*'Текущие цены за единицу'!S23,0)</f>
        <v>0</v>
      </c>
      <c r="T23" s="29">
        <f>ROUND('Форма 4т'!C358*'Текущие цены за единицу'!T23,0)</f>
        <v>0</v>
      </c>
      <c r="U23" s="29">
        <f>ROUND('Форма 4т'!C358*'Текущие цены за единицу'!U23,0)</f>
        <v>0</v>
      </c>
      <c r="V23" s="29">
        <f>ROUND('Форма 4т'!C358*'Текущие цены за единицу'!V23,0)</f>
        <v>0</v>
      </c>
      <c r="X23" s="25">
        <f>ROUND('Форма 4т'!C358*'Текущие цены за единицу'!X23,0)</f>
        <v>0</v>
      </c>
      <c r="Y23" s="25">
        <f>IF(Определители!I23="9",ROUND((C23+E23)*(Начисления!M23/100)*('Форма 4т'!K369/100),0),0)</f>
        <v>0</v>
      </c>
      <c r="Z23" s="25">
        <f>IF(Определители!I23="9",ROUND((C23+E23)*(100-Начисления!M23/100)*('Форма 4т'!K369/100),0),0)</f>
        <v>0</v>
      </c>
      <c r="AA23" s="25">
        <f>IF(Определители!I23="9",ROUND((C23+E23)*(Начисления!M23/100)*('Форма 4т'!K372/100),0),0)</f>
        <v>0</v>
      </c>
      <c r="AB23" s="25">
        <f>IF(Определители!I23="9",ROUND((C23+E23)*(100-Начисления!M23/100)*('Форма 4т'!K372/100),0),0)</f>
        <v>0</v>
      </c>
      <c r="AC23" s="25">
        <f>IF(Определители!I23="9",ROUND(B23*Начисления!M23/100,0),0)</f>
        <v>0</v>
      </c>
      <c r="AD23" s="25">
        <f>IF(Определители!I23="9",ROUND(B23*(100-Начисления!M23)/100,0),0)</f>
        <v>0</v>
      </c>
      <c r="AE23" s="25">
        <f>ROUND('Форма 4т'!C358*'Текущие цены за единицу'!AE23,0)</f>
        <v>0</v>
      </c>
      <c r="AH23" s="25">
        <f>ROUND('Форма 4т'!C358*'Текущие цены за единицу'!AH23,0)</f>
        <v>0</v>
      </c>
      <c r="AI23" s="25">
        <f>ROUND('Форма 4т'!C358*'Текущие цены за единицу'!AI23,0)</f>
        <v>0</v>
      </c>
      <c r="AJ23" s="25">
        <f>ROUND('Форма 4т'!C358*'Текущие цены за единицу'!AJ23,0)</f>
        <v>0</v>
      </c>
      <c r="AK23" s="25">
        <f>ROUND('Форма 4т'!C358*'Текущие цены за единицу'!AK23,0)</f>
        <v>0</v>
      </c>
    </row>
    <row r="24" spans="1:37">
      <c r="A24" s="29" t="str">
        <f>'Форма 4т'!A376</f>
        <v>10.</v>
      </c>
      <c r="B24" s="29">
        <f t="shared" si="0"/>
        <v>10473</v>
      </c>
      <c r="C24" s="29">
        <f>ROUND('Форма 4т'!C376*'Текущие цены за единицу'!C24,0)</f>
        <v>4918</v>
      </c>
      <c r="D24" s="29">
        <f>ROUND('Форма 4т'!C376*'Текущие цены за единицу'!D24,0)</f>
        <v>17</v>
      </c>
      <c r="E24" s="29">
        <f>ROUND('Форма 4т'!C376*'Текущие цены за единицу'!E24,0)</f>
        <v>7</v>
      </c>
      <c r="F24" s="29">
        <f>ROUND('Форма 4т'!C376*'Текущие цены за единицу'!F24,0)</f>
        <v>5538</v>
      </c>
      <c r="G24" s="29">
        <f>ROUND('Форма 4т'!C376*'Текущие цены за единицу'!G24,0)</f>
        <v>0</v>
      </c>
      <c r="H24" s="29">
        <f>ROUND('Форма 4т'!C376*'Текущие цены за единицу'!H24,0)</f>
        <v>0</v>
      </c>
      <c r="I24" s="30" t="e">
        <f ca="1">ОКРУГЛВСЕ('Форма 4т'!C376*'Текущие цены за единицу'!I24,8)</f>
        <v>#NAME?</v>
      </c>
      <c r="J24" s="26" t="e">
        <f ca="1">ОКРУГЛВСЕ('Форма 4т'!C376*'Текущие цены за единицу'!J24,8)</f>
        <v>#NAME?</v>
      </c>
      <c r="K24" s="30" t="e">
        <f ca="1">ОКРУГЛВСЕ('Форма 4т'!C376*'Текущие цены за единицу'!K24,8)</f>
        <v>#NAME?</v>
      </c>
      <c r="L24" s="29">
        <f>ROUND('Форма 4т'!C376*'Текущие цены за единицу'!L24,0)</f>
        <v>0</v>
      </c>
      <c r="M24" s="29">
        <f>ROUND('Форма 4т'!C376*'Текущие цены за единицу'!M24,0)</f>
        <v>0</v>
      </c>
      <c r="N24" s="29">
        <f>ROUND((C24+E24)*'Форма 4т'!K387/100,0)</f>
        <v>4088</v>
      </c>
      <c r="O24" s="29">
        <f>ROUND((C24+E24)*'Форма 4т'!K390/100,0)</f>
        <v>3201</v>
      </c>
      <c r="P24" s="29">
        <f>ROUND('Форма 4т'!C376*'Текущие цены за единицу'!P24,0)</f>
        <v>4082</v>
      </c>
      <c r="Q24" s="29">
        <f>ROUND('Форма 4т'!C376*'Текущие цены за единицу'!Q24,0)</f>
        <v>6</v>
      </c>
      <c r="R24" s="29">
        <f>ROUND('Форма 4т'!C376*'Текущие цены за единицу'!R24,0)</f>
        <v>3197</v>
      </c>
      <c r="S24" s="29">
        <f>ROUND('Форма 4т'!C376*'Текущие цены за единицу'!S24,0)</f>
        <v>5</v>
      </c>
      <c r="T24" s="29">
        <f>ROUND('Форма 4т'!C376*'Текущие цены за единицу'!T24,0)</f>
        <v>0</v>
      </c>
      <c r="U24" s="29">
        <f>ROUND('Форма 4т'!C376*'Текущие цены за единицу'!U24,0)</f>
        <v>0</v>
      </c>
      <c r="V24" s="29">
        <f>ROUND('Форма 4т'!C376*'Текущие цены за единицу'!V24,0)</f>
        <v>0</v>
      </c>
      <c r="X24" s="25">
        <f>ROUND('Форма 4т'!C376*'Текущие цены за единицу'!X24,0)</f>
        <v>0</v>
      </c>
      <c r="Y24" s="25">
        <f>IF(Определители!I24="9",ROUND((C24+E24)*(Начисления!M24/100)*('Форма 4т'!K387/100),0),0)</f>
        <v>0</v>
      </c>
      <c r="Z24" s="25">
        <f>IF(Определители!I24="9",ROUND((C24+E24)*(100-Начисления!M24/100)*('Форма 4т'!K387/100),0),0)</f>
        <v>0</v>
      </c>
      <c r="AA24" s="25">
        <f>IF(Определители!I24="9",ROUND((C24+E24)*(Начисления!M24/100)*('Форма 4т'!K390/100),0),0)</f>
        <v>0</v>
      </c>
      <c r="AB24" s="25">
        <f>IF(Определители!I24="9",ROUND((C24+E24)*(100-Начисления!M24/100)*('Форма 4т'!K390/100),0),0)</f>
        <v>0</v>
      </c>
      <c r="AC24" s="25">
        <f>IF(Определители!I24="9",ROUND(B24*Начисления!M24/100,0),0)</f>
        <v>0</v>
      </c>
      <c r="AD24" s="25">
        <f>IF(Определители!I24="9",ROUND(B24*(100-Начисления!M24)/100,0),0)</f>
        <v>0</v>
      </c>
      <c r="AE24" s="25">
        <f>ROUND('Форма 4т'!C376*'Текущие цены за единицу'!AE24,0)</f>
        <v>0</v>
      </c>
      <c r="AH24" s="25">
        <f>ROUND('Форма 4т'!C376*'Текущие цены за единицу'!AH24,0)</f>
        <v>0</v>
      </c>
      <c r="AI24" s="25">
        <f>ROUND('Форма 4т'!C376*'Текущие цены за единицу'!AI24,0)</f>
        <v>0</v>
      </c>
      <c r="AJ24" s="25">
        <f>ROUND('Форма 4т'!C376*'Текущие цены за единицу'!AJ24,0)</f>
        <v>0</v>
      </c>
      <c r="AK24" s="25">
        <f>ROUND('Форма 4т'!C376*'Текущие цены за единицу'!AK24,0)</f>
        <v>0</v>
      </c>
    </row>
    <row r="25" spans="1:37">
      <c r="A25" s="29" t="str">
        <f>'Форма 4т'!A395</f>
        <v>11.</v>
      </c>
      <c r="B25" s="29">
        <f t="shared" si="0"/>
        <v>1969</v>
      </c>
      <c r="C25" s="29">
        <f>ROUND('Форма 4т'!C395*'Текущие цены за единицу'!C25,0)</f>
        <v>1969</v>
      </c>
      <c r="D25" s="29">
        <f>ROUND('Форма 4т'!C395*'Текущие цены за единицу'!D25,0)</f>
        <v>0</v>
      </c>
      <c r="E25" s="29">
        <f>ROUND('Форма 4т'!C395*'Текущие цены за единицу'!E25,0)</f>
        <v>0</v>
      </c>
      <c r="F25" s="29">
        <f>ROUND('Форма 4т'!C395*'Текущие цены за единицу'!F25,0)</f>
        <v>0</v>
      </c>
      <c r="G25" s="29">
        <f>ROUND('Форма 4т'!C395*'Текущие цены за единицу'!G25,0)</f>
        <v>0</v>
      </c>
      <c r="H25" s="29">
        <f>ROUND('Форма 4т'!C395*'Текущие цены за единицу'!H25,0)</f>
        <v>0</v>
      </c>
      <c r="I25" s="30" t="e">
        <f ca="1">ОКРУГЛВСЕ('Форма 4т'!C395*'Текущие цены за единицу'!I25,8)</f>
        <v>#NAME?</v>
      </c>
      <c r="J25" s="26" t="e">
        <f ca="1">ОКРУГЛВСЕ('Форма 4т'!C395*'Текущие цены за единицу'!J25,8)</f>
        <v>#NAME?</v>
      </c>
      <c r="K25" s="30" t="e">
        <f ca="1">ОКРУГЛВСЕ('Форма 4т'!C395*'Текущие цены за единицу'!K25,8)</f>
        <v>#NAME?</v>
      </c>
      <c r="L25" s="29">
        <f>ROUND('Форма 4т'!C395*'Текущие цены за единицу'!L25,0)</f>
        <v>0</v>
      </c>
      <c r="M25" s="29">
        <f>ROUND('Форма 4т'!C395*'Текущие цены за единицу'!M25,0)</f>
        <v>0</v>
      </c>
      <c r="N25" s="29">
        <f>ROUND((C25+E25)*'Форма 4т'!K407/100,0)</f>
        <v>1871</v>
      </c>
      <c r="O25" s="29">
        <f>ROUND((C25+E25)*'Форма 4т'!K410/100,0)</f>
        <v>925</v>
      </c>
      <c r="P25" s="29">
        <f>ROUND('Форма 4т'!C395*'Текущие цены за единицу'!P25,0)</f>
        <v>1871</v>
      </c>
      <c r="Q25" s="29">
        <f>ROUND('Форма 4т'!C395*'Текущие цены за единицу'!Q25,0)</f>
        <v>0</v>
      </c>
      <c r="R25" s="29">
        <f>ROUND('Форма 4т'!C395*'Текущие цены за единицу'!R25,0)</f>
        <v>925</v>
      </c>
      <c r="S25" s="29">
        <f>ROUND('Форма 4т'!C395*'Текущие цены за единицу'!S25,0)</f>
        <v>0</v>
      </c>
      <c r="T25" s="29">
        <f>ROUND('Форма 4т'!C395*'Текущие цены за единицу'!T25,0)</f>
        <v>0</v>
      </c>
      <c r="U25" s="29">
        <f>ROUND('Форма 4т'!C395*'Текущие цены за единицу'!U25,0)</f>
        <v>0</v>
      </c>
      <c r="V25" s="29">
        <f>ROUND('Форма 4т'!C395*'Текущие цены за единицу'!V25,0)</f>
        <v>0</v>
      </c>
      <c r="X25" s="25">
        <f>ROUND('Форма 4т'!C395*'Текущие цены за единицу'!X25,0)</f>
        <v>0</v>
      </c>
      <c r="Y25" s="25">
        <f>IF(Определители!I25="9",ROUND((C25+E25)*(Начисления!M25/100)*('Форма 4т'!K407/100),0),0)</f>
        <v>0</v>
      </c>
      <c r="Z25" s="25">
        <f>IF(Определители!I25="9",ROUND((C25+E25)*(100-Начисления!M25/100)*('Форма 4т'!K407/100),0),0)</f>
        <v>0</v>
      </c>
      <c r="AA25" s="25">
        <f>IF(Определители!I25="9",ROUND((C25+E25)*(Начисления!M25/100)*('Форма 4т'!K410/100),0),0)</f>
        <v>0</v>
      </c>
      <c r="AB25" s="25">
        <f>IF(Определители!I25="9",ROUND((C25+E25)*(100-Начисления!M25/100)*('Форма 4т'!K410/100),0),0)</f>
        <v>0</v>
      </c>
      <c r="AC25" s="25">
        <f>IF(Определители!I25="9",ROUND(B25*Начисления!M25/100,0),0)</f>
        <v>0</v>
      </c>
      <c r="AD25" s="25">
        <f>IF(Определители!I25="9",ROUND(B25*(100-Начисления!M25)/100,0),0)</f>
        <v>0</v>
      </c>
      <c r="AE25" s="25">
        <f>ROUND('Форма 4т'!C395*'Текущие цены за единицу'!AE25,0)</f>
        <v>0</v>
      </c>
      <c r="AH25" s="25">
        <f>ROUND('Форма 4т'!C395*'Текущие цены за единицу'!AH25,0)</f>
        <v>0</v>
      </c>
      <c r="AI25" s="25">
        <f>ROUND('Форма 4т'!C395*'Текущие цены за единицу'!AI25,0)</f>
        <v>0</v>
      </c>
      <c r="AJ25" s="25">
        <f>ROUND('Форма 4т'!C395*'Текущие цены за единицу'!AJ25,0)</f>
        <v>0</v>
      </c>
      <c r="AK25" s="25">
        <f>ROUND('Форма 4т'!C395*'Текущие цены за единицу'!AK25,0)</f>
        <v>0</v>
      </c>
    </row>
    <row r="26" spans="1:37">
      <c r="A26" s="29" t="str">
        <f>'Форма 4т'!A415</f>
        <v>12.</v>
      </c>
      <c r="B26" s="29">
        <f t="shared" si="0"/>
        <v>2823</v>
      </c>
      <c r="C26" s="29">
        <f>ROUND('Форма 4т'!C415*'Текущие цены за единицу'!C26,0)</f>
        <v>1283</v>
      </c>
      <c r="D26" s="29">
        <f>ROUND('Форма 4т'!C415*'Текущие цены за единицу'!D26,0)</f>
        <v>28</v>
      </c>
      <c r="E26" s="29">
        <f>ROUND('Форма 4т'!C415*'Текущие цены за единицу'!E26,0)</f>
        <v>3</v>
      </c>
      <c r="F26" s="29">
        <f>ROUND('Форма 4т'!C415*'Текущие цены за единицу'!F26,0)</f>
        <v>1512</v>
      </c>
      <c r="G26" s="29">
        <f>ROUND('Форма 4т'!C415*'Текущие цены за единицу'!G26,0)</f>
        <v>0</v>
      </c>
      <c r="H26" s="29">
        <f>ROUND('Форма 4т'!C415*'Текущие цены за единицу'!H26,0)</f>
        <v>0</v>
      </c>
      <c r="I26" s="30" t="e">
        <f ca="1">ОКРУГЛВСЕ('Форма 4т'!C415*'Текущие цены за единицу'!I26,8)</f>
        <v>#NAME?</v>
      </c>
      <c r="J26" s="26" t="e">
        <f ca="1">ОКРУГЛВСЕ('Форма 4т'!C415*'Текущие цены за единицу'!J26,8)</f>
        <v>#NAME?</v>
      </c>
      <c r="K26" s="30" t="e">
        <f ca="1">ОКРУГЛВСЕ('Форма 4т'!C415*'Текущие цены за единицу'!K26,8)</f>
        <v>#NAME?</v>
      </c>
      <c r="L26" s="29">
        <f>ROUND('Форма 4т'!C415*'Текущие цены за единицу'!L26,0)</f>
        <v>0</v>
      </c>
      <c r="M26" s="29">
        <f>ROUND('Форма 4т'!C415*'Текущие цены за единицу'!M26,0)</f>
        <v>0</v>
      </c>
      <c r="N26" s="29">
        <f>ROUND((C26+E26)*'Форма 4т'!K427/100,0)</f>
        <v>1222</v>
      </c>
      <c r="O26" s="29">
        <f>ROUND((C26+E26)*'Форма 4т'!K430/100,0)</f>
        <v>604</v>
      </c>
      <c r="P26" s="29">
        <f>ROUND('Форма 4т'!C415*'Текущие цены за единицу'!P26,0)</f>
        <v>1219</v>
      </c>
      <c r="Q26" s="29">
        <f>ROUND('Форма 4т'!C415*'Текущие цены за единицу'!Q26,0)</f>
        <v>3</v>
      </c>
      <c r="R26" s="29">
        <f>ROUND('Форма 4т'!C415*'Текущие цены за единицу'!R26,0)</f>
        <v>603</v>
      </c>
      <c r="S26" s="29">
        <f>ROUND('Форма 4т'!C415*'Текущие цены за единицу'!S26,0)</f>
        <v>1</v>
      </c>
      <c r="T26" s="29">
        <f>ROUND('Форма 4т'!C415*'Текущие цены за единицу'!T26,0)</f>
        <v>0</v>
      </c>
      <c r="U26" s="29">
        <f>ROUND('Форма 4т'!C415*'Текущие цены за единицу'!U26,0)</f>
        <v>0</v>
      </c>
      <c r="V26" s="29">
        <f>ROUND('Форма 4т'!C415*'Текущие цены за единицу'!V26,0)</f>
        <v>0</v>
      </c>
      <c r="X26" s="25">
        <f>ROUND('Форма 4т'!C415*'Текущие цены за единицу'!X26,0)</f>
        <v>0</v>
      </c>
      <c r="Y26" s="25">
        <f>IF(Определители!I26="9",ROUND((C26+E26)*(Начисления!M26/100)*('Форма 4т'!K427/100),0),0)</f>
        <v>0</v>
      </c>
      <c r="Z26" s="25">
        <f>IF(Определители!I26="9",ROUND((C26+E26)*(100-Начисления!M26/100)*('Форма 4т'!K427/100),0),0)</f>
        <v>0</v>
      </c>
      <c r="AA26" s="25">
        <f>IF(Определители!I26="9",ROUND((C26+E26)*(Начисления!M26/100)*('Форма 4т'!K430/100),0),0)</f>
        <v>0</v>
      </c>
      <c r="AB26" s="25">
        <f>IF(Определители!I26="9",ROUND((C26+E26)*(100-Начисления!M26/100)*('Форма 4т'!K430/100),0),0)</f>
        <v>0</v>
      </c>
      <c r="AC26" s="25">
        <f>IF(Определители!I26="9",ROUND(B26*Начисления!M26/100,0),0)</f>
        <v>0</v>
      </c>
      <c r="AD26" s="25">
        <f>IF(Определители!I26="9",ROUND(B26*(100-Начисления!M26)/100,0),0)</f>
        <v>0</v>
      </c>
      <c r="AE26" s="25">
        <f>ROUND('Форма 4т'!C415*'Текущие цены за единицу'!AE26,0)</f>
        <v>0</v>
      </c>
      <c r="AH26" s="25">
        <f>ROUND('Форма 4т'!C415*'Текущие цены за единицу'!AH26,0)</f>
        <v>0</v>
      </c>
      <c r="AI26" s="25">
        <f>ROUND('Форма 4т'!C415*'Текущие цены за единицу'!AI26,0)</f>
        <v>0</v>
      </c>
      <c r="AJ26" s="25">
        <f>ROUND('Форма 4т'!C415*'Текущие цены за единицу'!AJ26,0)</f>
        <v>0</v>
      </c>
      <c r="AK26" s="25">
        <f>ROUND('Форма 4т'!C415*'Текущие цены за единицу'!AK26,0)</f>
        <v>0</v>
      </c>
    </row>
    <row r="28" spans="1:37">
      <c r="B28" s="49" t="s">
        <v>144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</row>
    <row r="29" spans="1:37"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</row>
    <row r="30" spans="1:37">
      <c r="A30" s="29" t="str">
        <f>'Форма 4т'!A528</f>
        <v>13.</v>
      </c>
      <c r="B30" s="29">
        <f>ROUND(C30+D30+F30+AF30+AG30,0)</f>
        <v>4900</v>
      </c>
      <c r="C30" s="29">
        <f>ROUND('Форма 4т'!C528*'Текущие цены за единицу'!C30,0)</f>
        <v>4024</v>
      </c>
      <c r="D30" s="29">
        <f>ROUND('Форма 4т'!C528*'Текущие цены за единицу'!D30,0)</f>
        <v>180</v>
      </c>
      <c r="E30" s="29">
        <f>ROUND('Форма 4т'!C528*'Текущие цены за единицу'!E30,0)</f>
        <v>88</v>
      </c>
      <c r="F30" s="29">
        <f>ROUND('Форма 4т'!C528*'Текущие цены за единицу'!F30,0)</f>
        <v>696</v>
      </c>
      <c r="G30" s="29">
        <f>ROUND('Форма 4т'!C528*'Текущие цены за единицу'!G30,0)</f>
        <v>0</v>
      </c>
      <c r="H30" s="29">
        <f>ROUND('Форма 4т'!C528*'Текущие цены за единицу'!H30,0)</f>
        <v>0</v>
      </c>
      <c r="I30" s="30" t="e">
        <f ca="1">ОКРУГЛВСЕ('Форма 4т'!C528*'Текущие цены за единицу'!I30,8)</f>
        <v>#NAME?</v>
      </c>
      <c r="J30" s="26" t="e">
        <f ca="1">ОКРУГЛВСЕ('Форма 4т'!C528*'Текущие цены за единицу'!J30,8)</f>
        <v>#NAME?</v>
      </c>
      <c r="K30" s="30" t="e">
        <f ca="1">ОКРУГЛВСЕ('Форма 4т'!C528*'Текущие цены за единицу'!K30,8)</f>
        <v>#NAME?</v>
      </c>
      <c r="L30" s="29">
        <f>ROUND('Форма 4т'!C528*'Текущие цены за единицу'!L30,0)</f>
        <v>0</v>
      </c>
      <c r="M30" s="29">
        <f>ROUND('Форма 4т'!C528*'Текущие цены за единицу'!M30,0)</f>
        <v>0</v>
      </c>
      <c r="N30" s="29">
        <f>ROUND((C30+E30)*'Форма 4т'!K539/100,0)</f>
        <v>3413</v>
      </c>
      <c r="O30" s="29">
        <f>ROUND((C30+E30)*'Форма 4т'!K542/100,0)</f>
        <v>2673</v>
      </c>
      <c r="P30" s="29">
        <f>ROUND('Форма 4т'!C528*'Текущие цены за единицу'!P30,0)</f>
        <v>3340</v>
      </c>
      <c r="Q30" s="29">
        <f>ROUND('Форма 4т'!C528*'Текущие цены за единицу'!Q30,0)</f>
        <v>73</v>
      </c>
      <c r="R30" s="29">
        <f>ROUND('Форма 4т'!C528*'Текущие цены за единицу'!R30,0)</f>
        <v>2616</v>
      </c>
      <c r="S30" s="29">
        <f>ROUND('Форма 4т'!C528*'Текущие цены за единицу'!S30,0)</f>
        <v>57</v>
      </c>
      <c r="T30" s="29">
        <f>ROUND('Форма 4т'!C528*'Текущие цены за единицу'!T30,0)</f>
        <v>0</v>
      </c>
      <c r="U30" s="29">
        <f>ROUND('Форма 4т'!C528*'Текущие цены за единицу'!U30,0)</f>
        <v>0</v>
      </c>
      <c r="V30" s="29">
        <f>ROUND('Форма 4т'!C528*'Текущие цены за единицу'!V30,0)</f>
        <v>0</v>
      </c>
      <c r="X30" s="25">
        <f>ROUND('Форма 4т'!C528*'Текущие цены за единицу'!X30,0)</f>
        <v>0</v>
      </c>
      <c r="Y30" s="25">
        <f>IF(Определители!I30="9",ROUND((C30+E30)*(Начисления!M30/100)*('Форма 4т'!K539/100),0),0)</f>
        <v>0</v>
      </c>
      <c r="Z30" s="25">
        <f>IF(Определители!I30="9",ROUND((C30+E30)*(100-Начисления!M30/100)*('Форма 4т'!K539/100),0),0)</f>
        <v>0</v>
      </c>
      <c r="AA30" s="25">
        <f>IF(Определители!I30="9",ROUND((C30+E30)*(Начисления!M30/100)*('Форма 4т'!K542/100),0),0)</f>
        <v>0</v>
      </c>
      <c r="AB30" s="25">
        <f>IF(Определители!I30="9",ROUND((C30+E30)*(100-Начисления!M30/100)*('Форма 4т'!K542/100),0),0)</f>
        <v>0</v>
      </c>
      <c r="AC30" s="25">
        <f>IF(Определители!I30="9",ROUND(B30*Начисления!M30/100,0),0)</f>
        <v>0</v>
      </c>
      <c r="AD30" s="25">
        <f>IF(Определители!I30="9",ROUND(B30*(100-Начисления!M30)/100,0),0)</f>
        <v>0</v>
      </c>
      <c r="AE30" s="25">
        <f>ROUND('Форма 4т'!C528*'Текущие цены за единицу'!AE30,0)</f>
        <v>0</v>
      </c>
      <c r="AH30" s="25">
        <f>ROUND('Форма 4т'!C528*'Текущие цены за единицу'!AH30,0)</f>
        <v>0</v>
      </c>
      <c r="AI30" s="25">
        <f>ROUND('Форма 4т'!C528*'Текущие цены за единицу'!AI30,0)</f>
        <v>0</v>
      </c>
      <c r="AJ30" s="25">
        <f>ROUND('Форма 4т'!C528*'Текущие цены за единицу'!AJ30,0)</f>
        <v>0</v>
      </c>
      <c r="AK30" s="25">
        <f>ROUND('Форма 4т'!C528*'Текущие цены за единицу'!AK30,0)</f>
        <v>0</v>
      </c>
    </row>
    <row r="31" spans="1:37">
      <c r="A31" s="29" t="str">
        <f>'Форма 4т'!A547</f>
        <v>14.</v>
      </c>
      <c r="B31" s="29">
        <f>ROUND(C31+D31+F31+AF31+AG31,0)</f>
        <v>413</v>
      </c>
      <c r="C31" s="29">
        <f>ROUND('Форма 4т'!C547*'Текущие цены за единицу'!C31,0)</f>
        <v>413</v>
      </c>
      <c r="D31" s="29">
        <f>ROUND('Форма 4т'!C547*'Текущие цены за единицу'!D31,0)</f>
        <v>0</v>
      </c>
      <c r="E31" s="29">
        <f>ROUND('Форма 4т'!C547*'Текущие цены за единицу'!E31,0)</f>
        <v>0</v>
      </c>
      <c r="F31" s="29">
        <f>ROUND('Форма 4т'!C547*'Текущие цены за единицу'!F31,0)</f>
        <v>0</v>
      </c>
      <c r="G31" s="29">
        <f>ROUND('Форма 4т'!C547*'Текущие цены за единицу'!G31,0)</f>
        <v>0</v>
      </c>
      <c r="H31" s="29">
        <f>ROUND('Форма 4т'!C547*'Текущие цены за единицу'!H31,0)</f>
        <v>0</v>
      </c>
      <c r="I31" s="30" t="e">
        <f ca="1">ОКРУГЛВСЕ('Форма 4т'!C547*'Текущие цены за единицу'!I31,8)</f>
        <v>#NAME?</v>
      </c>
      <c r="J31" s="26" t="e">
        <f ca="1">ОКРУГЛВСЕ('Форма 4т'!C547*'Текущие цены за единицу'!J31,8)</f>
        <v>#NAME?</v>
      </c>
      <c r="K31" s="30" t="e">
        <f ca="1">ОКРУГЛВСЕ('Форма 4т'!C547*'Текущие цены за единицу'!K31,8)</f>
        <v>#NAME?</v>
      </c>
      <c r="L31" s="29">
        <f>ROUND('Форма 4т'!C547*'Текущие цены за единицу'!L31,0)</f>
        <v>0</v>
      </c>
      <c r="M31" s="29">
        <f>ROUND('Форма 4т'!C547*'Текущие цены за единицу'!M31,0)</f>
        <v>0</v>
      </c>
      <c r="N31" s="29">
        <f>ROUND((C31+E31)*'Форма 4т'!K559/100,0)</f>
        <v>392</v>
      </c>
      <c r="O31" s="29">
        <f>ROUND((C31+E31)*'Форма 4т'!K562/100,0)</f>
        <v>194</v>
      </c>
      <c r="P31" s="29">
        <f>ROUND('Форма 4т'!C547*'Текущие цены за единицу'!P31,0)</f>
        <v>393</v>
      </c>
      <c r="Q31" s="29">
        <f>ROUND('Форма 4т'!C547*'Текущие цены за единицу'!Q31,0)</f>
        <v>0</v>
      </c>
      <c r="R31" s="29">
        <f>ROUND('Форма 4т'!C547*'Текущие цены за единицу'!R31,0)</f>
        <v>194</v>
      </c>
      <c r="S31" s="29">
        <f>ROUND('Форма 4т'!C547*'Текущие цены за единицу'!S31,0)</f>
        <v>0</v>
      </c>
      <c r="T31" s="29">
        <f>ROUND('Форма 4т'!C547*'Текущие цены за единицу'!T31,0)</f>
        <v>0</v>
      </c>
      <c r="U31" s="29">
        <f>ROUND('Форма 4т'!C547*'Текущие цены за единицу'!U31,0)</f>
        <v>0</v>
      </c>
      <c r="V31" s="29">
        <f>ROUND('Форма 4т'!C547*'Текущие цены за единицу'!V31,0)</f>
        <v>0</v>
      </c>
      <c r="X31" s="25">
        <f>ROUND('Форма 4т'!C547*'Текущие цены за единицу'!X31,0)</f>
        <v>0</v>
      </c>
      <c r="Y31" s="25">
        <f>IF(Определители!I31="9",ROUND((C31+E31)*(Начисления!M31/100)*('Форма 4т'!K559/100),0),0)</f>
        <v>0</v>
      </c>
      <c r="Z31" s="25">
        <f>IF(Определители!I31="9",ROUND((C31+E31)*(100-Начисления!M31/100)*('Форма 4т'!K559/100),0),0)</f>
        <v>0</v>
      </c>
      <c r="AA31" s="25">
        <f>IF(Определители!I31="9",ROUND((C31+E31)*(Начисления!M31/100)*('Форма 4т'!K562/100),0),0)</f>
        <v>0</v>
      </c>
      <c r="AB31" s="25">
        <f>IF(Определители!I31="9",ROUND((C31+E31)*(100-Начисления!M31/100)*('Форма 4т'!K562/100),0),0)</f>
        <v>0</v>
      </c>
      <c r="AC31" s="25">
        <f>IF(Определители!I31="9",ROUND(B31*Начисления!M31/100,0),0)</f>
        <v>0</v>
      </c>
      <c r="AD31" s="25">
        <f>IF(Определители!I31="9",ROUND(B31*(100-Начисления!M31)/100,0),0)</f>
        <v>0</v>
      </c>
      <c r="AE31" s="25">
        <f>ROUND('Форма 4т'!C547*'Текущие цены за единицу'!AE31,0)</f>
        <v>0</v>
      </c>
      <c r="AH31" s="25">
        <f>ROUND('Форма 4т'!C547*'Текущие цены за единицу'!AH31,0)</f>
        <v>0</v>
      </c>
      <c r="AI31" s="25">
        <f>ROUND('Форма 4т'!C547*'Текущие цены за единицу'!AI31,0)</f>
        <v>0</v>
      </c>
      <c r="AJ31" s="25">
        <f>ROUND('Форма 4т'!C547*'Текущие цены за единицу'!AJ31,0)</f>
        <v>0</v>
      </c>
      <c r="AK31" s="25">
        <f>ROUND('Форма 4т'!C547*'Текущие цены за единицу'!AK31,0)</f>
        <v>0</v>
      </c>
    </row>
    <row r="32" spans="1:37">
      <c r="A32" s="29" t="str">
        <f>'Форма 4т'!A567</f>
        <v>15.</v>
      </c>
      <c r="B32" s="29">
        <f>ROUND(C32+D32+F32+AF32+AG32,0)</f>
        <v>592</v>
      </c>
      <c r="C32" s="29">
        <f>ROUND('Форма 4т'!C567*'Текущие цены за единицу'!C32,0)</f>
        <v>269</v>
      </c>
      <c r="D32" s="29">
        <f>ROUND('Форма 4т'!C567*'Текущие цены за единицу'!D32,0)</f>
        <v>6</v>
      </c>
      <c r="E32" s="29">
        <f>ROUND('Форма 4т'!C567*'Текущие цены за единицу'!E32,0)</f>
        <v>1</v>
      </c>
      <c r="F32" s="29">
        <f>ROUND('Форма 4т'!C567*'Текущие цены за единицу'!F32,0)</f>
        <v>317</v>
      </c>
      <c r="G32" s="29">
        <f>ROUND('Форма 4т'!C567*'Текущие цены за единицу'!G32,0)</f>
        <v>0</v>
      </c>
      <c r="H32" s="29">
        <f>ROUND('Форма 4т'!C567*'Текущие цены за единицу'!H32,0)</f>
        <v>0</v>
      </c>
      <c r="I32" s="30" t="e">
        <f ca="1">ОКРУГЛВСЕ('Форма 4т'!C567*'Текущие цены за единицу'!I32,8)</f>
        <v>#NAME?</v>
      </c>
      <c r="J32" s="26" t="e">
        <f ca="1">ОКРУГЛВСЕ('Форма 4т'!C567*'Текущие цены за единицу'!J32,8)</f>
        <v>#NAME?</v>
      </c>
      <c r="K32" s="30" t="e">
        <f ca="1">ОКРУГЛВСЕ('Форма 4т'!C567*'Текущие цены за единицу'!K32,8)</f>
        <v>#NAME?</v>
      </c>
      <c r="L32" s="29">
        <f>ROUND('Форма 4т'!C567*'Текущие цены за единицу'!L32,0)</f>
        <v>0</v>
      </c>
      <c r="M32" s="29">
        <f>ROUND('Форма 4т'!C567*'Текущие цены за единицу'!M32,0)</f>
        <v>0</v>
      </c>
      <c r="N32" s="29">
        <f>ROUND((C32+E32)*'Форма 4т'!K579/100,0)</f>
        <v>257</v>
      </c>
      <c r="O32" s="29">
        <f>ROUND((C32+E32)*'Форма 4т'!K582/100,0)</f>
        <v>127</v>
      </c>
      <c r="P32" s="29">
        <f>ROUND('Форма 4т'!C567*'Текущие цены за единицу'!P32,0)</f>
        <v>256</v>
      </c>
      <c r="Q32" s="29">
        <f>ROUND('Форма 4т'!C567*'Текущие цены за единицу'!Q32,0)</f>
        <v>1</v>
      </c>
      <c r="R32" s="29">
        <f>ROUND('Форма 4т'!C567*'Текущие цены за единицу'!R32,0)</f>
        <v>127</v>
      </c>
      <c r="S32" s="29">
        <f>ROUND('Форма 4т'!C567*'Текущие цены за единицу'!S32,0)</f>
        <v>0</v>
      </c>
      <c r="T32" s="29">
        <f>ROUND('Форма 4т'!C567*'Текущие цены за единицу'!T32,0)</f>
        <v>0</v>
      </c>
      <c r="U32" s="29">
        <f>ROUND('Форма 4т'!C567*'Текущие цены за единицу'!U32,0)</f>
        <v>0</v>
      </c>
      <c r="V32" s="29">
        <f>ROUND('Форма 4т'!C567*'Текущие цены за единицу'!V32,0)</f>
        <v>0</v>
      </c>
      <c r="X32" s="25">
        <f>ROUND('Форма 4т'!C567*'Текущие цены за единицу'!X32,0)</f>
        <v>0</v>
      </c>
      <c r="Y32" s="25">
        <f>IF(Определители!I32="9",ROUND((C32+E32)*(Начисления!M32/100)*('Форма 4т'!K579/100),0),0)</f>
        <v>0</v>
      </c>
      <c r="Z32" s="25">
        <f>IF(Определители!I32="9",ROUND((C32+E32)*(100-Начисления!M32/100)*('Форма 4т'!K579/100),0),0)</f>
        <v>0</v>
      </c>
      <c r="AA32" s="25">
        <f>IF(Определители!I32="9",ROUND((C32+E32)*(Начисления!M32/100)*('Форма 4т'!K582/100),0),0)</f>
        <v>0</v>
      </c>
      <c r="AB32" s="25">
        <f>IF(Определители!I32="9",ROUND((C32+E32)*(100-Начисления!M32/100)*('Форма 4т'!K582/100),0),0)</f>
        <v>0</v>
      </c>
      <c r="AC32" s="25">
        <f>IF(Определители!I32="9",ROUND(B32*Начисления!M32/100,0),0)</f>
        <v>0</v>
      </c>
      <c r="AD32" s="25">
        <f>IF(Определители!I32="9",ROUND(B32*(100-Начисления!M32)/100,0),0)</f>
        <v>0</v>
      </c>
      <c r="AE32" s="25">
        <f>ROUND('Форма 4т'!C567*'Текущие цены за единицу'!AE32,0)</f>
        <v>0</v>
      </c>
      <c r="AH32" s="25">
        <f>ROUND('Форма 4т'!C567*'Текущие цены за единицу'!AH32,0)</f>
        <v>0</v>
      </c>
      <c r="AI32" s="25">
        <f>ROUND('Форма 4т'!C567*'Текущие цены за единицу'!AI32,0)</f>
        <v>0</v>
      </c>
      <c r="AJ32" s="25">
        <f>ROUND('Форма 4т'!C567*'Текущие цены за единицу'!AJ32,0)</f>
        <v>0</v>
      </c>
      <c r="AK32" s="25">
        <f>ROUND('Форма 4т'!C567*'Текущие цены за единицу'!AK32,0)</f>
        <v>0</v>
      </c>
    </row>
  </sheetData>
  <mergeCells count="8">
    <mergeCell ref="B19:N20"/>
    <mergeCell ref="B28:N29"/>
    <mergeCell ref="A2:N2"/>
    <mergeCell ref="B3:N3"/>
    <mergeCell ref="B4:N4"/>
    <mergeCell ref="A5:N5"/>
    <mergeCell ref="B7:N8"/>
    <mergeCell ref="B13:N14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X32"/>
  <sheetViews>
    <sheetView workbookViewId="0"/>
  </sheetViews>
  <sheetFormatPr defaultRowHeight="10.5"/>
  <cols>
    <col min="1" max="1" width="4.7109375" style="26" customWidth="1"/>
    <col min="2" max="16384" width="9.140625" style="25"/>
  </cols>
  <sheetData>
    <row r="1" spans="1:50" s="27" customFormat="1">
      <c r="A1" s="7"/>
      <c r="B1" s="27" t="s">
        <v>199</v>
      </c>
      <c r="C1" s="27" t="s">
        <v>200</v>
      </c>
      <c r="D1" s="27" t="s">
        <v>201</v>
      </c>
      <c r="E1" s="27" t="s">
        <v>202</v>
      </c>
      <c r="F1" s="27" t="s">
        <v>203</v>
      </c>
      <c r="G1" s="27" t="s">
        <v>204</v>
      </c>
      <c r="H1" s="27" t="s">
        <v>205</v>
      </c>
      <c r="I1" s="27" t="s">
        <v>206</v>
      </c>
      <c r="J1" s="27" t="s">
        <v>207</v>
      </c>
      <c r="K1" s="27" t="s">
        <v>208</v>
      </c>
      <c r="L1" s="27" t="s">
        <v>209</v>
      </c>
      <c r="M1" s="27" t="s">
        <v>210</v>
      </c>
      <c r="N1" s="27" t="s">
        <v>211</v>
      </c>
      <c r="O1" s="27" t="s">
        <v>212</v>
      </c>
      <c r="P1" s="27" t="s">
        <v>213</v>
      </c>
      <c r="Q1" s="27" t="s">
        <v>214</v>
      </c>
      <c r="R1" s="27" t="s">
        <v>215</v>
      </c>
      <c r="S1" s="27" t="s">
        <v>216</v>
      </c>
      <c r="T1" s="27" t="s">
        <v>217</v>
      </c>
      <c r="U1" s="27" t="s">
        <v>218</v>
      </c>
      <c r="V1" s="27" t="s">
        <v>219</v>
      </c>
      <c r="W1" s="27" t="s">
        <v>220</v>
      </c>
      <c r="X1" s="27" t="s">
        <v>221</v>
      </c>
      <c r="Y1" s="27" t="s">
        <v>222</v>
      </c>
      <c r="Z1" s="27" t="s">
        <v>223</v>
      </c>
      <c r="AA1" s="27" t="s">
        <v>224</v>
      </c>
      <c r="AB1" s="27" t="s">
        <v>225</v>
      </c>
      <c r="AC1" s="27" t="s">
        <v>226</v>
      </c>
      <c r="AD1" s="27" t="s">
        <v>227</v>
      </c>
      <c r="AE1" s="27" t="s">
        <v>228</v>
      </c>
      <c r="AF1" s="27" t="s">
        <v>229</v>
      </c>
      <c r="AG1" s="27" t="s">
        <v>230</v>
      </c>
      <c r="AH1" s="27" t="s">
        <v>231</v>
      </c>
      <c r="AI1" s="27" t="s">
        <v>232</v>
      </c>
      <c r="AJ1" s="27" t="s">
        <v>233</v>
      </c>
      <c r="AK1" s="27" t="s">
        <v>234</v>
      </c>
      <c r="AL1" s="27" t="s">
        <v>235</v>
      </c>
      <c r="AM1" s="27" t="s">
        <v>236</v>
      </c>
      <c r="AN1" s="27" t="s">
        <v>237</v>
      </c>
      <c r="AO1" s="27" t="s">
        <v>238</v>
      </c>
      <c r="AP1" s="27" t="s">
        <v>239</v>
      </c>
      <c r="AQ1" s="27" t="s">
        <v>240</v>
      </c>
      <c r="AR1" s="27" t="s">
        <v>241</v>
      </c>
      <c r="AS1" s="27" t="s">
        <v>242</v>
      </c>
      <c r="AT1" s="27" t="s">
        <v>243</v>
      </c>
      <c r="AU1" s="27" t="s">
        <v>244</v>
      </c>
      <c r="AV1" s="27" t="s">
        <v>245</v>
      </c>
      <c r="AW1" s="27" t="s">
        <v>246</v>
      </c>
      <c r="AX1" s="27" t="s">
        <v>247</v>
      </c>
    </row>
    <row r="2" spans="1:50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50">
      <c r="A3" s="28"/>
      <c r="B3" s="62" t="s">
        <v>197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1:50">
      <c r="A4" s="28"/>
      <c r="B4" s="62" t="s">
        <v>198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</row>
    <row r="5" spans="1:50">
      <c r="A5" s="60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</row>
    <row r="7" spans="1:50">
      <c r="B7" s="49" t="s">
        <v>26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50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50">
      <c r="A9" s="26" t="str">
        <f>'Форма 4т'!A19</f>
        <v>1.</v>
      </c>
      <c r="B9" s="26">
        <v>1</v>
      </c>
      <c r="C9" s="26">
        <v>1</v>
      </c>
      <c r="D9" s="26">
        <v>1</v>
      </c>
      <c r="E9" s="26">
        <v>1</v>
      </c>
      <c r="F9" s="26">
        <v>1</v>
      </c>
      <c r="G9" s="26">
        <v>1</v>
      </c>
      <c r="H9" s="26">
        <v>1</v>
      </c>
      <c r="I9" s="26">
        <v>1</v>
      </c>
      <c r="J9" s="26">
        <v>1</v>
      </c>
      <c r="K9" s="26">
        <v>0</v>
      </c>
      <c r="L9" s="26">
        <v>0</v>
      </c>
      <c r="M9" s="26">
        <v>100</v>
      </c>
      <c r="N9" s="26">
        <v>0</v>
      </c>
      <c r="O9" s="26">
        <v>0</v>
      </c>
      <c r="P9" s="26">
        <v>1</v>
      </c>
      <c r="Q9" s="26">
        <v>1</v>
      </c>
      <c r="R9" s="26">
        <v>0</v>
      </c>
      <c r="S9" s="26">
        <v>0</v>
      </c>
      <c r="T9" s="26">
        <v>1</v>
      </c>
      <c r="U9" s="26">
        <v>0</v>
      </c>
      <c r="V9" s="26">
        <v>0</v>
      </c>
      <c r="W9" s="26">
        <v>0</v>
      </c>
      <c r="X9" s="26">
        <v>0</v>
      </c>
      <c r="Y9" s="26">
        <v>0</v>
      </c>
      <c r="Z9" s="26">
        <v>0</v>
      </c>
      <c r="AA9" s="26">
        <v>0</v>
      </c>
      <c r="AB9" s="26">
        <v>0</v>
      </c>
      <c r="AC9" s="26">
        <v>0</v>
      </c>
      <c r="AD9" s="26">
        <v>0</v>
      </c>
      <c r="AE9" s="26">
        <v>0</v>
      </c>
      <c r="AF9" s="26">
        <v>0</v>
      </c>
      <c r="AG9" s="26">
        <v>1.7</v>
      </c>
      <c r="AH9" s="26">
        <v>1.6</v>
      </c>
      <c r="AI9" s="26">
        <v>1.29</v>
      </c>
      <c r="AJ9" s="26">
        <v>9.1999999999999998E-2</v>
      </c>
      <c r="AK9" s="26">
        <v>0.18</v>
      </c>
      <c r="AL9" s="26">
        <v>1</v>
      </c>
      <c r="AM9" s="26">
        <v>1</v>
      </c>
      <c r="AN9" s="26">
        <v>0.2</v>
      </c>
      <c r="AO9" s="26">
        <v>1.5</v>
      </c>
      <c r="AP9" s="26">
        <v>1</v>
      </c>
      <c r="AQ9" s="26">
        <v>1</v>
      </c>
      <c r="AR9" s="26">
        <v>1</v>
      </c>
      <c r="AS9" s="26">
        <v>1</v>
      </c>
      <c r="AT9" s="26">
        <v>1</v>
      </c>
      <c r="AU9" s="26">
        <v>100</v>
      </c>
      <c r="AV9" s="26">
        <v>1</v>
      </c>
      <c r="AW9" s="26">
        <v>1</v>
      </c>
      <c r="AX9" s="26">
        <v>1</v>
      </c>
    </row>
    <row r="10" spans="1:50">
      <c r="A10" s="26" t="str">
        <f>'Форма 4т'!A38</f>
        <v>2.</v>
      </c>
      <c r="B10" s="26">
        <v>1</v>
      </c>
      <c r="C10" s="26">
        <v>1</v>
      </c>
      <c r="D10" s="26">
        <v>1.25</v>
      </c>
      <c r="E10" s="26">
        <v>1.25</v>
      </c>
      <c r="F10" s="26">
        <v>1.1499999999999999</v>
      </c>
      <c r="G10" s="26">
        <v>1</v>
      </c>
      <c r="H10" s="26">
        <v>1</v>
      </c>
      <c r="I10" s="26">
        <v>1</v>
      </c>
      <c r="J10" s="26">
        <v>1</v>
      </c>
      <c r="K10" s="26">
        <v>0</v>
      </c>
      <c r="L10" s="26">
        <v>0</v>
      </c>
      <c r="M10" s="26">
        <v>100</v>
      </c>
      <c r="N10" s="26">
        <v>0</v>
      </c>
      <c r="O10" s="26">
        <v>0</v>
      </c>
      <c r="P10" s="26">
        <v>1</v>
      </c>
      <c r="Q10" s="26">
        <v>1</v>
      </c>
      <c r="R10" s="26">
        <v>0</v>
      </c>
      <c r="S10" s="26">
        <v>0</v>
      </c>
      <c r="T10" s="26">
        <v>1</v>
      </c>
      <c r="U10" s="26">
        <v>0</v>
      </c>
      <c r="V10" s="26">
        <v>0</v>
      </c>
      <c r="W10" s="26">
        <v>0</v>
      </c>
      <c r="X10" s="26">
        <v>0</v>
      </c>
      <c r="Y10" s="26">
        <v>0</v>
      </c>
      <c r="Z10" s="26">
        <v>0</v>
      </c>
      <c r="AA10" s="26">
        <v>0</v>
      </c>
      <c r="AB10" s="26">
        <v>0</v>
      </c>
      <c r="AC10" s="26">
        <v>0</v>
      </c>
      <c r="AD10" s="26">
        <v>0</v>
      </c>
      <c r="AE10" s="26">
        <v>0</v>
      </c>
      <c r="AF10" s="26">
        <v>0</v>
      </c>
      <c r="AG10" s="26">
        <v>1.7</v>
      </c>
      <c r="AH10" s="26">
        <v>1.6</v>
      </c>
      <c r="AI10" s="26">
        <v>1.29</v>
      </c>
      <c r="AJ10" s="26">
        <v>9.1999999999999998E-2</v>
      </c>
      <c r="AK10" s="26">
        <v>0.18</v>
      </c>
      <c r="AL10" s="26">
        <v>1</v>
      </c>
      <c r="AM10" s="26">
        <v>1</v>
      </c>
      <c r="AN10" s="26">
        <v>0.2</v>
      </c>
      <c r="AO10" s="26">
        <v>1.5</v>
      </c>
      <c r="AP10" s="26">
        <v>1</v>
      </c>
      <c r="AQ10" s="26">
        <v>1</v>
      </c>
      <c r="AR10" s="26">
        <v>1</v>
      </c>
      <c r="AS10" s="26">
        <v>1</v>
      </c>
      <c r="AT10" s="26">
        <v>1</v>
      </c>
      <c r="AU10" s="26">
        <v>100</v>
      </c>
      <c r="AV10" s="26">
        <v>1</v>
      </c>
      <c r="AW10" s="26">
        <v>1</v>
      </c>
      <c r="AX10" s="26">
        <v>1</v>
      </c>
    </row>
    <row r="11" spans="1:50">
      <c r="A11" s="26" t="str">
        <f>'Форма 4т'!A58</f>
        <v>3.</v>
      </c>
      <c r="B11" s="26">
        <v>1</v>
      </c>
      <c r="C11" s="26">
        <v>1</v>
      </c>
      <c r="D11" s="26">
        <v>1</v>
      </c>
      <c r="E11" s="26">
        <v>1</v>
      </c>
      <c r="F11" s="26">
        <v>1</v>
      </c>
      <c r="G11" s="26">
        <v>1</v>
      </c>
      <c r="H11" s="26">
        <v>1</v>
      </c>
      <c r="I11" s="26">
        <v>1</v>
      </c>
      <c r="J11" s="26">
        <v>1</v>
      </c>
      <c r="K11" s="26">
        <v>0</v>
      </c>
      <c r="L11" s="26">
        <v>0</v>
      </c>
      <c r="M11" s="26">
        <v>100</v>
      </c>
      <c r="N11" s="26">
        <v>0</v>
      </c>
      <c r="O11" s="26">
        <v>0</v>
      </c>
      <c r="P11" s="26">
        <v>1</v>
      </c>
      <c r="Q11" s="26">
        <v>1</v>
      </c>
      <c r="R11" s="26">
        <v>0</v>
      </c>
      <c r="S11" s="26">
        <v>0</v>
      </c>
      <c r="T11" s="26">
        <v>1</v>
      </c>
      <c r="U11" s="26">
        <v>0</v>
      </c>
      <c r="V11" s="26">
        <v>0</v>
      </c>
      <c r="W11" s="26">
        <v>0</v>
      </c>
      <c r="X11" s="26">
        <v>0</v>
      </c>
      <c r="Y11" s="26">
        <v>0</v>
      </c>
      <c r="Z11" s="26">
        <v>0</v>
      </c>
      <c r="AA11" s="26">
        <v>0</v>
      </c>
      <c r="AB11" s="26">
        <v>0</v>
      </c>
      <c r="AC11" s="26">
        <v>0</v>
      </c>
      <c r="AD11" s="26">
        <v>0</v>
      </c>
      <c r="AE11" s="26">
        <v>0</v>
      </c>
      <c r="AF11" s="26">
        <v>0</v>
      </c>
      <c r="AG11" s="26">
        <v>1.7</v>
      </c>
      <c r="AH11" s="26">
        <v>1.6</v>
      </c>
      <c r="AI11" s="26">
        <v>1.29</v>
      </c>
      <c r="AJ11" s="26">
        <v>9.1999999999999998E-2</v>
      </c>
      <c r="AK11" s="26">
        <v>0.18</v>
      </c>
      <c r="AL11" s="26">
        <v>1</v>
      </c>
      <c r="AM11" s="26">
        <v>1</v>
      </c>
      <c r="AN11" s="26">
        <v>0.2</v>
      </c>
      <c r="AO11" s="26">
        <v>1.5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100</v>
      </c>
      <c r="AV11" s="26">
        <v>1</v>
      </c>
      <c r="AW11" s="26">
        <v>1</v>
      </c>
      <c r="AX11" s="26">
        <v>1</v>
      </c>
    </row>
    <row r="13" spans="1:50">
      <c r="B13" s="49" t="s">
        <v>114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</row>
    <row r="14" spans="1:50"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50">
      <c r="A15" s="26" t="str">
        <f>'Форма 4т'!A169</f>
        <v>4.</v>
      </c>
      <c r="B15" s="26">
        <v>1</v>
      </c>
      <c r="C15" s="26">
        <v>1</v>
      </c>
      <c r="D15" s="26">
        <v>1</v>
      </c>
      <c r="E15" s="26">
        <v>1</v>
      </c>
      <c r="F15" s="26">
        <v>1</v>
      </c>
      <c r="G15" s="26">
        <v>1</v>
      </c>
      <c r="H15" s="26">
        <v>1</v>
      </c>
      <c r="I15" s="26">
        <v>1</v>
      </c>
      <c r="J15" s="26">
        <v>1</v>
      </c>
      <c r="K15" s="26">
        <v>0</v>
      </c>
      <c r="L15" s="26">
        <v>0</v>
      </c>
      <c r="M15" s="26">
        <v>100</v>
      </c>
      <c r="N15" s="26">
        <v>0</v>
      </c>
      <c r="O15" s="26">
        <v>0</v>
      </c>
      <c r="P15" s="26">
        <v>1</v>
      </c>
      <c r="Q15" s="26">
        <v>1</v>
      </c>
      <c r="R15" s="26">
        <v>0</v>
      </c>
      <c r="S15" s="26">
        <v>0</v>
      </c>
      <c r="T15" s="26">
        <v>1</v>
      </c>
      <c r="U15" s="26">
        <v>0</v>
      </c>
      <c r="V15" s="26">
        <v>0</v>
      </c>
      <c r="W15" s="26">
        <v>0</v>
      </c>
      <c r="X15" s="26">
        <v>0</v>
      </c>
      <c r="Y15" s="26">
        <v>0</v>
      </c>
      <c r="Z15" s="26">
        <v>0</v>
      </c>
      <c r="AA15" s="26">
        <v>0</v>
      </c>
      <c r="AB15" s="26">
        <v>0</v>
      </c>
      <c r="AC15" s="26">
        <v>0</v>
      </c>
      <c r="AD15" s="26">
        <v>0</v>
      </c>
      <c r="AE15" s="26">
        <v>0</v>
      </c>
      <c r="AF15" s="26">
        <v>0</v>
      </c>
      <c r="AG15" s="26">
        <v>1.7</v>
      </c>
      <c r="AH15" s="26">
        <v>1.6</v>
      </c>
      <c r="AI15" s="26">
        <v>1.29</v>
      </c>
      <c r="AJ15" s="26">
        <v>9.1999999999999998E-2</v>
      </c>
      <c r="AK15" s="26">
        <v>0.18</v>
      </c>
      <c r="AL15" s="26">
        <v>1</v>
      </c>
      <c r="AM15" s="26">
        <v>1</v>
      </c>
      <c r="AN15" s="26">
        <v>0.2</v>
      </c>
      <c r="AO15" s="26">
        <v>1.5</v>
      </c>
      <c r="AP15" s="26">
        <v>1</v>
      </c>
      <c r="AQ15" s="26">
        <v>1</v>
      </c>
      <c r="AR15" s="26">
        <v>1</v>
      </c>
      <c r="AS15" s="26">
        <v>1</v>
      </c>
      <c r="AT15" s="26">
        <v>1</v>
      </c>
      <c r="AU15" s="26">
        <v>100</v>
      </c>
      <c r="AV15" s="26">
        <v>1</v>
      </c>
      <c r="AW15" s="26">
        <v>1</v>
      </c>
      <c r="AX15" s="26">
        <v>1</v>
      </c>
    </row>
    <row r="16" spans="1:50">
      <c r="A16" s="26" t="str">
        <f>'Форма 4т'!A188</f>
        <v>5.</v>
      </c>
      <c r="B16" s="26">
        <v>1</v>
      </c>
      <c r="C16" s="26">
        <v>1</v>
      </c>
      <c r="D16" s="26">
        <v>1.25</v>
      </c>
      <c r="E16" s="26">
        <v>1.25</v>
      </c>
      <c r="F16" s="26">
        <v>1.1499999999999999</v>
      </c>
      <c r="G16" s="26">
        <v>1</v>
      </c>
      <c r="H16" s="26">
        <v>1</v>
      </c>
      <c r="I16" s="26">
        <v>1</v>
      </c>
      <c r="J16" s="26">
        <v>1</v>
      </c>
      <c r="K16" s="26">
        <v>0</v>
      </c>
      <c r="L16" s="26">
        <v>0</v>
      </c>
      <c r="M16" s="26">
        <v>100</v>
      </c>
      <c r="N16" s="26">
        <v>0</v>
      </c>
      <c r="O16" s="26">
        <v>0</v>
      </c>
      <c r="P16" s="26">
        <v>1</v>
      </c>
      <c r="Q16" s="26">
        <v>1</v>
      </c>
      <c r="R16" s="26">
        <v>0</v>
      </c>
      <c r="S16" s="26">
        <v>0</v>
      </c>
      <c r="T16" s="26">
        <v>1</v>
      </c>
      <c r="U16" s="26">
        <v>0</v>
      </c>
      <c r="V16" s="26">
        <v>0</v>
      </c>
      <c r="W16" s="26">
        <v>0</v>
      </c>
      <c r="X16" s="26">
        <v>0</v>
      </c>
      <c r="Y16" s="26">
        <v>0</v>
      </c>
      <c r="Z16" s="26">
        <v>0</v>
      </c>
      <c r="AA16" s="26">
        <v>0</v>
      </c>
      <c r="AB16" s="26">
        <v>0</v>
      </c>
      <c r="AC16" s="26">
        <v>0</v>
      </c>
      <c r="AD16" s="26">
        <v>0</v>
      </c>
      <c r="AE16" s="26">
        <v>0</v>
      </c>
      <c r="AF16" s="26">
        <v>0</v>
      </c>
      <c r="AG16" s="26">
        <v>1.7</v>
      </c>
      <c r="AH16" s="26">
        <v>1.6</v>
      </c>
      <c r="AI16" s="26">
        <v>1.29</v>
      </c>
      <c r="AJ16" s="26">
        <v>9.1999999999999998E-2</v>
      </c>
      <c r="AK16" s="26">
        <v>0.18</v>
      </c>
      <c r="AL16" s="26">
        <v>1</v>
      </c>
      <c r="AM16" s="26">
        <v>1</v>
      </c>
      <c r="AN16" s="26">
        <v>0.2</v>
      </c>
      <c r="AO16" s="26">
        <v>1.5</v>
      </c>
      <c r="AP16" s="26">
        <v>1</v>
      </c>
      <c r="AQ16" s="26">
        <v>1</v>
      </c>
      <c r="AR16" s="26">
        <v>1</v>
      </c>
      <c r="AS16" s="26">
        <v>1</v>
      </c>
      <c r="AT16" s="26">
        <v>1</v>
      </c>
      <c r="AU16" s="26">
        <v>100</v>
      </c>
      <c r="AV16" s="26">
        <v>1</v>
      </c>
      <c r="AW16" s="26">
        <v>1</v>
      </c>
      <c r="AX16" s="26">
        <v>1</v>
      </c>
    </row>
    <row r="17" spans="1:50">
      <c r="A17" s="26" t="str">
        <f>'Форма 4т'!A208</f>
        <v>6.</v>
      </c>
      <c r="B17" s="26">
        <v>1</v>
      </c>
      <c r="C17" s="26">
        <v>1</v>
      </c>
      <c r="D17" s="26">
        <v>1</v>
      </c>
      <c r="E17" s="26">
        <v>1</v>
      </c>
      <c r="F17" s="26">
        <v>1</v>
      </c>
      <c r="G17" s="26">
        <v>1</v>
      </c>
      <c r="H17" s="26">
        <v>1</v>
      </c>
      <c r="I17" s="26">
        <v>1</v>
      </c>
      <c r="J17" s="26">
        <v>1</v>
      </c>
      <c r="K17" s="26">
        <v>0</v>
      </c>
      <c r="L17" s="26">
        <v>0</v>
      </c>
      <c r="M17" s="26">
        <v>100</v>
      </c>
      <c r="N17" s="26">
        <v>0</v>
      </c>
      <c r="O17" s="26">
        <v>0</v>
      </c>
      <c r="P17" s="26">
        <v>1</v>
      </c>
      <c r="Q17" s="26">
        <v>1</v>
      </c>
      <c r="R17" s="26">
        <v>0</v>
      </c>
      <c r="S17" s="26">
        <v>0</v>
      </c>
      <c r="T17" s="26">
        <v>1</v>
      </c>
      <c r="U17" s="26">
        <v>0</v>
      </c>
      <c r="V17" s="26">
        <v>0</v>
      </c>
      <c r="W17" s="26">
        <v>0</v>
      </c>
      <c r="X17" s="26">
        <v>0</v>
      </c>
      <c r="Y17" s="26">
        <v>0</v>
      </c>
      <c r="Z17" s="26">
        <v>0</v>
      </c>
      <c r="AA17" s="26">
        <v>0</v>
      </c>
      <c r="AB17" s="26">
        <v>0</v>
      </c>
      <c r="AC17" s="26">
        <v>0</v>
      </c>
      <c r="AD17" s="26">
        <v>0</v>
      </c>
      <c r="AE17" s="26">
        <v>0</v>
      </c>
      <c r="AF17" s="26">
        <v>0</v>
      </c>
      <c r="AG17" s="26">
        <v>1.7</v>
      </c>
      <c r="AH17" s="26">
        <v>1.6</v>
      </c>
      <c r="AI17" s="26">
        <v>1.29</v>
      </c>
      <c r="AJ17" s="26">
        <v>9.1999999999999998E-2</v>
      </c>
      <c r="AK17" s="26">
        <v>0.18</v>
      </c>
      <c r="AL17" s="26">
        <v>1</v>
      </c>
      <c r="AM17" s="26">
        <v>1</v>
      </c>
      <c r="AN17" s="26">
        <v>0.2</v>
      </c>
      <c r="AO17" s="26">
        <v>1.5</v>
      </c>
      <c r="AP17" s="26">
        <v>1</v>
      </c>
      <c r="AQ17" s="26">
        <v>1</v>
      </c>
      <c r="AR17" s="26">
        <v>1</v>
      </c>
      <c r="AS17" s="26">
        <v>1</v>
      </c>
      <c r="AT17" s="26">
        <v>1</v>
      </c>
      <c r="AU17" s="26">
        <v>100</v>
      </c>
      <c r="AV17" s="26">
        <v>1</v>
      </c>
      <c r="AW17" s="26">
        <v>1</v>
      </c>
      <c r="AX17" s="26">
        <v>1</v>
      </c>
    </row>
    <row r="19" spans="1:50">
      <c r="B19" s="49" t="s">
        <v>127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</row>
    <row r="20" spans="1:50"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</row>
    <row r="21" spans="1:50">
      <c r="A21" s="26" t="str">
        <f>'Форма 4т'!A319</f>
        <v>7.</v>
      </c>
      <c r="B21" s="26">
        <v>1</v>
      </c>
      <c r="C21" s="26">
        <v>1</v>
      </c>
      <c r="D21" s="26">
        <v>1</v>
      </c>
      <c r="E21" s="26">
        <v>1</v>
      </c>
      <c r="F21" s="26">
        <v>1</v>
      </c>
      <c r="G21" s="26">
        <v>1</v>
      </c>
      <c r="H21" s="26">
        <v>1</v>
      </c>
      <c r="I21" s="26">
        <v>1</v>
      </c>
      <c r="J21" s="26">
        <v>1</v>
      </c>
      <c r="K21" s="26">
        <v>0</v>
      </c>
      <c r="L21" s="26">
        <v>0</v>
      </c>
      <c r="M21" s="26">
        <v>100</v>
      </c>
      <c r="N21" s="26">
        <v>0</v>
      </c>
      <c r="O21" s="26">
        <v>0</v>
      </c>
      <c r="P21" s="26">
        <v>1</v>
      </c>
      <c r="Q21" s="26">
        <v>1</v>
      </c>
      <c r="R21" s="26">
        <v>0</v>
      </c>
      <c r="S21" s="26">
        <v>0</v>
      </c>
      <c r="T21" s="26">
        <v>1</v>
      </c>
      <c r="U21" s="26">
        <v>0</v>
      </c>
      <c r="V21" s="26">
        <v>0</v>
      </c>
      <c r="W21" s="26">
        <v>0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1.7</v>
      </c>
      <c r="AH21" s="26">
        <v>1.6</v>
      </c>
      <c r="AI21" s="26">
        <v>1.29</v>
      </c>
      <c r="AJ21" s="26">
        <v>9.1999999999999998E-2</v>
      </c>
      <c r="AK21" s="26">
        <v>0.18</v>
      </c>
      <c r="AL21" s="26">
        <v>1</v>
      </c>
      <c r="AM21" s="26">
        <v>1</v>
      </c>
      <c r="AN21" s="26">
        <v>0.2</v>
      </c>
      <c r="AO21" s="26">
        <v>1.5</v>
      </c>
      <c r="AP21" s="26">
        <v>1</v>
      </c>
      <c r="AQ21" s="26">
        <v>1</v>
      </c>
      <c r="AR21" s="26">
        <v>1</v>
      </c>
      <c r="AS21" s="26">
        <v>1</v>
      </c>
      <c r="AT21" s="26">
        <v>1</v>
      </c>
      <c r="AU21" s="26">
        <v>100</v>
      </c>
      <c r="AV21" s="26">
        <v>1</v>
      </c>
      <c r="AW21" s="26">
        <v>1</v>
      </c>
      <c r="AX21" s="26">
        <v>1</v>
      </c>
    </row>
    <row r="22" spans="1:50">
      <c r="A22" s="26" t="str">
        <f>'Форма 4т'!A338</f>
        <v>8.</v>
      </c>
      <c r="B22" s="26">
        <v>1</v>
      </c>
      <c r="C22" s="26">
        <v>1</v>
      </c>
      <c r="D22" s="26">
        <v>1.25</v>
      </c>
      <c r="E22" s="26">
        <v>1.25</v>
      </c>
      <c r="F22" s="26">
        <v>1.1499999999999999</v>
      </c>
      <c r="G22" s="26">
        <v>1</v>
      </c>
      <c r="H22" s="26">
        <v>1</v>
      </c>
      <c r="I22" s="26">
        <v>1</v>
      </c>
      <c r="J22" s="26">
        <v>1</v>
      </c>
      <c r="K22" s="26">
        <v>0</v>
      </c>
      <c r="L22" s="26">
        <v>0</v>
      </c>
      <c r="M22" s="26">
        <v>100</v>
      </c>
      <c r="N22" s="26">
        <v>0</v>
      </c>
      <c r="O22" s="26">
        <v>0</v>
      </c>
      <c r="P22" s="26">
        <v>1</v>
      </c>
      <c r="Q22" s="26">
        <v>1</v>
      </c>
      <c r="R22" s="26">
        <v>0</v>
      </c>
      <c r="S22" s="26">
        <v>0</v>
      </c>
      <c r="T22" s="26">
        <v>1</v>
      </c>
      <c r="U22" s="26">
        <v>0</v>
      </c>
      <c r="V22" s="26">
        <v>0</v>
      </c>
      <c r="W22" s="26">
        <v>0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1.7</v>
      </c>
      <c r="AH22" s="26">
        <v>1.6</v>
      </c>
      <c r="AI22" s="26">
        <v>1.29</v>
      </c>
      <c r="AJ22" s="26">
        <v>9.1999999999999998E-2</v>
      </c>
      <c r="AK22" s="26">
        <v>0.18</v>
      </c>
      <c r="AL22" s="26">
        <v>1</v>
      </c>
      <c r="AM22" s="26">
        <v>1</v>
      </c>
      <c r="AN22" s="26">
        <v>0.2</v>
      </c>
      <c r="AO22" s="26">
        <v>1.5</v>
      </c>
      <c r="AP22" s="26">
        <v>1</v>
      </c>
      <c r="AQ22" s="26">
        <v>1</v>
      </c>
      <c r="AR22" s="26">
        <v>1</v>
      </c>
      <c r="AS22" s="26">
        <v>1</v>
      </c>
      <c r="AT22" s="26">
        <v>1</v>
      </c>
      <c r="AU22" s="26">
        <v>100</v>
      </c>
      <c r="AV22" s="26">
        <v>1</v>
      </c>
      <c r="AW22" s="26">
        <v>1</v>
      </c>
      <c r="AX22" s="26">
        <v>1</v>
      </c>
    </row>
    <row r="23" spans="1:50">
      <c r="A23" s="26" t="str">
        <f>'Форма 4т'!A358</f>
        <v>9.</v>
      </c>
      <c r="B23" s="26">
        <v>1</v>
      </c>
      <c r="C23" s="26">
        <v>1</v>
      </c>
      <c r="D23" s="26">
        <v>1</v>
      </c>
      <c r="E23" s="26">
        <v>1</v>
      </c>
      <c r="F23" s="26">
        <v>1</v>
      </c>
      <c r="G23" s="26">
        <v>1</v>
      </c>
      <c r="H23" s="26">
        <v>1</v>
      </c>
      <c r="I23" s="26">
        <v>1</v>
      </c>
      <c r="J23" s="26">
        <v>1</v>
      </c>
      <c r="K23" s="26">
        <v>0</v>
      </c>
      <c r="L23" s="26">
        <v>0</v>
      </c>
      <c r="M23" s="26">
        <v>100</v>
      </c>
      <c r="N23" s="26">
        <v>0</v>
      </c>
      <c r="O23" s="26">
        <v>0</v>
      </c>
      <c r="P23" s="26">
        <v>1</v>
      </c>
      <c r="Q23" s="26">
        <v>1</v>
      </c>
      <c r="R23" s="26">
        <v>0</v>
      </c>
      <c r="S23" s="26">
        <v>0</v>
      </c>
      <c r="T23" s="26">
        <v>1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1.7</v>
      </c>
      <c r="AH23" s="26">
        <v>1.6</v>
      </c>
      <c r="AI23" s="26">
        <v>1.29</v>
      </c>
      <c r="AJ23" s="26">
        <v>9.1999999999999998E-2</v>
      </c>
      <c r="AK23" s="26">
        <v>0.18</v>
      </c>
      <c r="AL23" s="26">
        <v>1</v>
      </c>
      <c r="AM23" s="26">
        <v>1</v>
      </c>
      <c r="AN23" s="26">
        <v>0.2</v>
      </c>
      <c r="AO23" s="26">
        <v>1.5</v>
      </c>
      <c r="AP23" s="26">
        <v>1</v>
      </c>
      <c r="AQ23" s="26">
        <v>1</v>
      </c>
      <c r="AR23" s="26">
        <v>1</v>
      </c>
      <c r="AS23" s="26">
        <v>1</v>
      </c>
      <c r="AT23" s="26">
        <v>1</v>
      </c>
      <c r="AU23" s="26">
        <v>100</v>
      </c>
      <c r="AV23" s="26">
        <v>1</v>
      </c>
      <c r="AW23" s="26">
        <v>1</v>
      </c>
      <c r="AX23" s="26">
        <v>1</v>
      </c>
    </row>
    <row r="24" spans="1:50">
      <c r="A24" s="26" t="str">
        <f>'Форма 4т'!A376</f>
        <v>10.</v>
      </c>
      <c r="B24" s="26">
        <v>1</v>
      </c>
      <c r="C24" s="26">
        <v>1</v>
      </c>
      <c r="D24" s="26">
        <v>1</v>
      </c>
      <c r="E24" s="26">
        <v>1</v>
      </c>
      <c r="F24" s="26">
        <v>1</v>
      </c>
      <c r="G24" s="26">
        <v>1</v>
      </c>
      <c r="H24" s="26">
        <v>1</v>
      </c>
      <c r="I24" s="26">
        <v>1</v>
      </c>
      <c r="J24" s="26">
        <v>1</v>
      </c>
      <c r="K24" s="26">
        <v>0</v>
      </c>
      <c r="L24" s="26">
        <v>0</v>
      </c>
      <c r="M24" s="26">
        <v>100</v>
      </c>
      <c r="N24" s="26">
        <v>0</v>
      </c>
      <c r="O24" s="26">
        <v>0</v>
      </c>
      <c r="P24" s="26">
        <v>1</v>
      </c>
      <c r="Q24" s="26">
        <v>1</v>
      </c>
      <c r="R24" s="26">
        <v>0</v>
      </c>
      <c r="S24" s="26">
        <v>0</v>
      </c>
      <c r="T24" s="26">
        <v>1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1.7</v>
      </c>
      <c r="AH24" s="26">
        <v>1.6</v>
      </c>
      <c r="AI24" s="26">
        <v>1.29</v>
      </c>
      <c r="AJ24" s="26">
        <v>9.1999999999999998E-2</v>
      </c>
      <c r="AK24" s="26">
        <v>0.18</v>
      </c>
      <c r="AL24" s="26">
        <v>1</v>
      </c>
      <c r="AM24" s="26">
        <v>1</v>
      </c>
      <c r="AN24" s="26">
        <v>0.2</v>
      </c>
      <c r="AO24" s="26">
        <v>1.5</v>
      </c>
      <c r="AP24" s="26">
        <v>1</v>
      </c>
      <c r="AQ24" s="26">
        <v>1</v>
      </c>
      <c r="AR24" s="26">
        <v>1</v>
      </c>
      <c r="AS24" s="26">
        <v>1</v>
      </c>
      <c r="AT24" s="26">
        <v>1</v>
      </c>
      <c r="AU24" s="26">
        <v>100</v>
      </c>
      <c r="AV24" s="26">
        <v>1</v>
      </c>
      <c r="AW24" s="26">
        <v>1</v>
      </c>
      <c r="AX24" s="26">
        <v>1</v>
      </c>
    </row>
    <row r="25" spans="1:50">
      <c r="A25" s="26" t="str">
        <f>'Форма 4т'!A395</f>
        <v>11.</v>
      </c>
      <c r="B25" s="26">
        <v>1</v>
      </c>
      <c r="C25" s="26">
        <v>1</v>
      </c>
      <c r="D25" s="26">
        <v>1.25</v>
      </c>
      <c r="E25" s="26">
        <v>1.25</v>
      </c>
      <c r="F25" s="26">
        <v>1.1499999999999999</v>
      </c>
      <c r="G25" s="26">
        <v>1</v>
      </c>
      <c r="H25" s="26">
        <v>1</v>
      </c>
      <c r="I25" s="26">
        <v>1</v>
      </c>
      <c r="J25" s="26">
        <v>1</v>
      </c>
      <c r="K25" s="26">
        <v>0</v>
      </c>
      <c r="L25" s="26">
        <v>0</v>
      </c>
      <c r="M25" s="26">
        <v>100</v>
      </c>
      <c r="N25" s="26">
        <v>0</v>
      </c>
      <c r="O25" s="26">
        <v>0</v>
      </c>
      <c r="P25" s="26">
        <v>1</v>
      </c>
      <c r="Q25" s="26">
        <v>1</v>
      </c>
      <c r="R25" s="26">
        <v>0</v>
      </c>
      <c r="S25" s="26">
        <v>0</v>
      </c>
      <c r="T25" s="26">
        <v>1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1.7</v>
      </c>
      <c r="AH25" s="26">
        <v>1.6</v>
      </c>
      <c r="AI25" s="26">
        <v>1.29</v>
      </c>
      <c r="AJ25" s="26">
        <v>9.1999999999999998E-2</v>
      </c>
      <c r="AK25" s="26">
        <v>0.18</v>
      </c>
      <c r="AL25" s="26">
        <v>1</v>
      </c>
      <c r="AM25" s="26">
        <v>1</v>
      </c>
      <c r="AN25" s="26">
        <v>0.2</v>
      </c>
      <c r="AO25" s="26">
        <v>1.5</v>
      </c>
      <c r="AP25" s="26">
        <v>1</v>
      </c>
      <c r="AQ25" s="26">
        <v>1</v>
      </c>
      <c r="AR25" s="26">
        <v>1</v>
      </c>
      <c r="AS25" s="26">
        <v>1</v>
      </c>
      <c r="AT25" s="26">
        <v>1</v>
      </c>
      <c r="AU25" s="26">
        <v>100</v>
      </c>
      <c r="AV25" s="26">
        <v>1</v>
      </c>
      <c r="AW25" s="26">
        <v>1</v>
      </c>
      <c r="AX25" s="26">
        <v>1</v>
      </c>
    </row>
    <row r="26" spans="1:50">
      <c r="A26" s="26" t="str">
        <f>'Форма 4т'!A415</f>
        <v>12.</v>
      </c>
      <c r="B26" s="26">
        <v>1</v>
      </c>
      <c r="C26" s="26">
        <v>1</v>
      </c>
      <c r="D26" s="26">
        <v>1.25</v>
      </c>
      <c r="E26" s="26">
        <v>1.25</v>
      </c>
      <c r="F26" s="26">
        <v>1.1499999999999999</v>
      </c>
      <c r="G26" s="26">
        <v>1</v>
      </c>
      <c r="H26" s="26">
        <v>1</v>
      </c>
      <c r="I26" s="26">
        <v>1</v>
      </c>
      <c r="J26" s="26">
        <v>1</v>
      </c>
      <c r="K26" s="26">
        <v>0</v>
      </c>
      <c r="L26" s="26">
        <v>0</v>
      </c>
      <c r="M26" s="26">
        <v>100</v>
      </c>
      <c r="N26" s="26">
        <v>0</v>
      </c>
      <c r="O26" s="26">
        <v>0</v>
      </c>
      <c r="P26" s="26">
        <v>1</v>
      </c>
      <c r="Q26" s="26">
        <v>1</v>
      </c>
      <c r="R26" s="26">
        <v>0</v>
      </c>
      <c r="S26" s="26">
        <v>0</v>
      </c>
      <c r="T26" s="26">
        <v>1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1.7</v>
      </c>
      <c r="AH26" s="26">
        <v>1.6</v>
      </c>
      <c r="AI26" s="26">
        <v>1.29</v>
      </c>
      <c r="AJ26" s="26">
        <v>9.1999999999999998E-2</v>
      </c>
      <c r="AK26" s="26">
        <v>0.18</v>
      </c>
      <c r="AL26" s="26">
        <v>1</v>
      </c>
      <c r="AM26" s="26">
        <v>1</v>
      </c>
      <c r="AN26" s="26">
        <v>0.2</v>
      </c>
      <c r="AO26" s="26">
        <v>1.5</v>
      </c>
      <c r="AP26" s="26">
        <v>1</v>
      </c>
      <c r="AQ26" s="26">
        <v>1</v>
      </c>
      <c r="AR26" s="26">
        <v>1</v>
      </c>
      <c r="AS26" s="26">
        <v>1</v>
      </c>
      <c r="AT26" s="26">
        <v>1</v>
      </c>
      <c r="AU26" s="26">
        <v>100</v>
      </c>
      <c r="AV26" s="26">
        <v>1</v>
      </c>
      <c r="AW26" s="26">
        <v>1</v>
      </c>
      <c r="AX26" s="26">
        <v>1</v>
      </c>
    </row>
    <row r="28" spans="1:50">
      <c r="B28" s="49" t="s">
        <v>144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</row>
    <row r="29" spans="1:50"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</row>
    <row r="30" spans="1:50">
      <c r="A30" s="26" t="str">
        <f>'Форма 4т'!A528</f>
        <v>13.</v>
      </c>
      <c r="B30" s="26">
        <v>1</v>
      </c>
      <c r="C30" s="26">
        <v>1</v>
      </c>
      <c r="D30" s="26">
        <v>1</v>
      </c>
      <c r="E30" s="26">
        <v>1</v>
      </c>
      <c r="F30" s="26">
        <v>1</v>
      </c>
      <c r="G30" s="26">
        <v>1</v>
      </c>
      <c r="H30" s="26">
        <v>1</v>
      </c>
      <c r="I30" s="26">
        <v>1</v>
      </c>
      <c r="J30" s="26">
        <v>1</v>
      </c>
      <c r="K30" s="26">
        <v>0</v>
      </c>
      <c r="L30" s="26">
        <v>0</v>
      </c>
      <c r="M30" s="26">
        <v>100</v>
      </c>
      <c r="N30" s="26">
        <v>0</v>
      </c>
      <c r="O30" s="26">
        <v>0</v>
      </c>
      <c r="P30" s="26">
        <v>1</v>
      </c>
      <c r="Q30" s="26">
        <v>1</v>
      </c>
      <c r="R30" s="26">
        <v>0</v>
      </c>
      <c r="S30" s="26">
        <v>0</v>
      </c>
      <c r="T30" s="26">
        <v>1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1.7</v>
      </c>
      <c r="AH30" s="26">
        <v>1.6</v>
      </c>
      <c r="AI30" s="26">
        <v>1.29</v>
      </c>
      <c r="AJ30" s="26">
        <v>9.1999999999999998E-2</v>
      </c>
      <c r="AK30" s="26">
        <v>0.18</v>
      </c>
      <c r="AL30" s="26">
        <v>1</v>
      </c>
      <c r="AM30" s="26">
        <v>1</v>
      </c>
      <c r="AN30" s="26">
        <v>0.2</v>
      </c>
      <c r="AO30" s="26">
        <v>1.5</v>
      </c>
      <c r="AP30" s="26">
        <v>1</v>
      </c>
      <c r="AQ30" s="26">
        <v>1</v>
      </c>
      <c r="AR30" s="26">
        <v>1</v>
      </c>
      <c r="AS30" s="26">
        <v>1</v>
      </c>
      <c r="AT30" s="26">
        <v>1</v>
      </c>
      <c r="AU30" s="26">
        <v>100</v>
      </c>
      <c r="AV30" s="26">
        <v>1</v>
      </c>
      <c r="AW30" s="26">
        <v>1</v>
      </c>
      <c r="AX30" s="26">
        <v>1</v>
      </c>
    </row>
    <row r="31" spans="1:50">
      <c r="A31" s="26" t="str">
        <f>'Форма 4т'!A547</f>
        <v>14.</v>
      </c>
      <c r="B31" s="26">
        <v>1</v>
      </c>
      <c r="C31" s="26">
        <v>1</v>
      </c>
      <c r="D31" s="26">
        <v>1.25</v>
      </c>
      <c r="E31" s="26">
        <v>1.25</v>
      </c>
      <c r="F31" s="26">
        <v>1.1499999999999999</v>
      </c>
      <c r="G31" s="26">
        <v>1</v>
      </c>
      <c r="H31" s="26">
        <v>1</v>
      </c>
      <c r="I31" s="26">
        <v>1</v>
      </c>
      <c r="J31" s="26">
        <v>1</v>
      </c>
      <c r="K31" s="26">
        <v>0</v>
      </c>
      <c r="L31" s="26">
        <v>0</v>
      </c>
      <c r="M31" s="26">
        <v>100</v>
      </c>
      <c r="N31" s="26">
        <v>0</v>
      </c>
      <c r="O31" s="26">
        <v>0</v>
      </c>
      <c r="P31" s="26">
        <v>1</v>
      </c>
      <c r="Q31" s="26">
        <v>1</v>
      </c>
      <c r="R31" s="26">
        <v>0</v>
      </c>
      <c r="S31" s="26">
        <v>0</v>
      </c>
      <c r="T31" s="26">
        <v>1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1.7</v>
      </c>
      <c r="AH31" s="26">
        <v>1.6</v>
      </c>
      <c r="AI31" s="26">
        <v>1.29</v>
      </c>
      <c r="AJ31" s="26">
        <v>9.1999999999999998E-2</v>
      </c>
      <c r="AK31" s="26">
        <v>0.18</v>
      </c>
      <c r="AL31" s="26">
        <v>1</v>
      </c>
      <c r="AM31" s="26">
        <v>1</v>
      </c>
      <c r="AN31" s="26">
        <v>0.2</v>
      </c>
      <c r="AO31" s="26">
        <v>1.5</v>
      </c>
      <c r="AP31" s="26">
        <v>1</v>
      </c>
      <c r="AQ31" s="26">
        <v>1</v>
      </c>
      <c r="AR31" s="26">
        <v>1</v>
      </c>
      <c r="AS31" s="26">
        <v>1</v>
      </c>
      <c r="AT31" s="26">
        <v>1</v>
      </c>
      <c r="AU31" s="26">
        <v>100</v>
      </c>
      <c r="AV31" s="26">
        <v>1</v>
      </c>
      <c r="AW31" s="26">
        <v>1</v>
      </c>
      <c r="AX31" s="26">
        <v>1</v>
      </c>
    </row>
    <row r="32" spans="1:50">
      <c r="A32" s="26" t="str">
        <f>'Форма 4т'!A567</f>
        <v>15.</v>
      </c>
      <c r="B32" s="26">
        <v>1</v>
      </c>
      <c r="C32" s="26">
        <v>1</v>
      </c>
      <c r="D32" s="26">
        <v>1.25</v>
      </c>
      <c r="E32" s="26">
        <v>1.25</v>
      </c>
      <c r="F32" s="26">
        <v>1.1499999999999999</v>
      </c>
      <c r="G32" s="26">
        <v>1</v>
      </c>
      <c r="H32" s="26">
        <v>1</v>
      </c>
      <c r="I32" s="26">
        <v>1</v>
      </c>
      <c r="J32" s="26">
        <v>1</v>
      </c>
      <c r="K32" s="26">
        <v>0</v>
      </c>
      <c r="L32" s="26">
        <v>0</v>
      </c>
      <c r="M32" s="26">
        <v>100</v>
      </c>
      <c r="N32" s="26">
        <v>0</v>
      </c>
      <c r="O32" s="26">
        <v>0</v>
      </c>
      <c r="P32" s="26">
        <v>1</v>
      </c>
      <c r="Q32" s="26">
        <v>1</v>
      </c>
      <c r="R32" s="26">
        <v>0</v>
      </c>
      <c r="S32" s="26">
        <v>0</v>
      </c>
      <c r="T32" s="26">
        <v>1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1.7</v>
      </c>
      <c r="AH32" s="26">
        <v>1.6</v>
      </c>
      <c r="AI32" s="26">
        <v>1.29</v>
      </c>
      <c r="AJ32" s="26">
        <v>9.1999999999999998E-2</v>
      </c>
      <c r="AK32" s="26">
        <v>0.18</v>
      </c>
      <c r="AL32" s="26">
        <v>1</v>
      </c>
      <c r="AM32" s="26">
        <v>1</v>
      </c>
      <c r="AN32" s="26">
        <v>0.2</v>
      </c>
      <c r="AO32" s="26">
        <v>1.5</v>
      </c>
      <c r="AP32" s="26">
        <v>1</v>
      </c>
      <c r="AQ32" s="26">
        <v>1</v>
      </c>
      <c r="AR32" s="26">
        <v>1</v>
      </c>
      <c r="AS32" s="26">
        <v>1</v>
      </c>
      <c r="AT32" s="26">
        <v>1</v>
      </c>
      <c r="AU32" s="26">
        <v>100</v>
      </c>
      <c r="AV32" s="26">
        <v>1</v>
      </c>
      <c r="AW32" s="26">
        <v>1</v>
      </c>
      <c r="AX32" s="26">
        <v>1</v>
      </c>
    </row>
  </sheetData>
  <mergeCells count="8">
    <mergeCell ref="B19:N20"/>
    <mergeCell ref="B28:N29"/>
    <mergeCell ref="A2:N2"/>
    <mergeCell ref="B3:N3"/>
    <mergeCell ref="B4:N4"/>
    <mergeCell ref="A5:N5"/>
    <mergeCell ref="B7:N8"/>
    <mergeCell ref="B13:N14"/>
  </mergeCell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N32"/>
  <sheetViews>
    <sheetView workbookViewId="0"/>
  </sheetViews>
  <sheetFormatPr defaultRowHeight="10.5"/>
  <cols>
    <col min="1" max="1" width="4.7109375" style="32" customWidth="1"/>
    <col min="2" max="16384" width="9.140625" style="31"/>
  </cols>
  <sheetData>
    <row r="1" spans="1:14" s="27" customFormat="1">
      <c r="B1" s="27" t="s">
        <v>248</v>
      </c>
      <c r="C1" s="27" t="s">
        <v>249</v>
      </c>
      <c r="D1" s="27" t="s">
        <v>250</v>
      </c>
      <c r="E1" s="27" t="s">
        <v>251</v>
      </c>
      <c r="F1" s="27" t="s">
        <v>252</v>
      </c>
      <c r="G1" s="27" t="s">
        <v>253</v>
      </c>
      <c r="H1" s="27" t="s">
        <v>254</v>
      </c>
      <c r="I1" s="27" t="s">
        <v>255</v>
      </c>
      <c r="J1" s="27" t="s">
        <v>256</v>
      </c>
    </row>
    <row r="2" spans="1:14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</row>
    <row r="3" spans="1:14">
      <c r="A3" s="33"/>
      <c r="B3" s="66" t="s">
        <v>197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</row>
    <row r="4" spans="1:14">
      <c r="A4" s="33"/>
      <c r="B4" s="66" t="s">
        <v>198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</row>
    <row r="5" spans="1:14">
      <c r="A5" s="64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</row>
    <row r="7" spans="1:14">
      <c r="B7" s="63" t="s">
        <v>26</v>
      </c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</row>
    <row r="8" spans="1:14"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</row>
    <row r="9" spans="1:14">
      <c r="A9" s="32" t="str">
        <f>'Форма 4т'!A19</f>
        <v>1.</v>
      </c>
      <c r="B9" s="31" t="s">
        <v>257</v>
      </c>
      <c r="C9" s="31" t="s">
        <v>257</v>
      </c>
      <c r="D9" s="31" t="s">
        <v>258</v>
      </c>
      <c r="E9" s="31" t="s">
        <v>258</v>
      </c>
      <c r="F9" s="31" t="s">
        <v>259</v>
      </c>
      <c r="G9" s="31" t="s">
        <v>258</v>
      </c>
      <c r="H9" s="31" t="s">
        <v>258</v>
      </c>
      <c r="I9" s="31" t="s">
        <v>260</v>
      </c>
      <c r="J9" s="31" t="s">
        <v>258</v>
      </c>
    </row>
    <row r="10" spans="1:14">
      <c r="A10" s="32" t="str">
        <f>'Форма 4т'!A38</f>
        <v>2.</v>
      </c>
      <c r="B10" s="31" t="s">
        <v>257</v>
      </c>
      <c r="C10" s="31" t="s">
        <v>257</v>
      </c>
      <c r="D10" s="31" t="s">
        <v>258</v>
      </c>
      <c r="E10" s="31" t="s">
        <v>258</v>
      </c>
      <c r="F10" s="31" t="s">
        <v>259</v>
      </c>
      <c r="G10" s="31" t="s">
        <v>258</v>
      </c>
      <c r="H10" s="31" t="s">
        <v>258</v>
      </c>
      <c r="I10" s="31" t="s">
        <v>260</v>
      </c>
      <c r="J10" s="31" t="s">
        <v>258</v>
      </c>
    </row>
    <row r="11" spans="1:14">
      <c r="A11" s="32" t="str">
        <f>'Форма 4т'!A58</f>
        <v>3.</v>
      </c>
      <c r="B11" s="31" t="s">
        <v>257</v>
      </c>
      <c r="C11" s="31" t="s">
        <v>257</v>
      </c>
      <c r="D11" s="31" t="s">
        <v>258</v>
      </c>
      <c r="E11" s="31" t="s">
        <v>258</v>
      </c>
      <c r="F11" s="31" t="s">
        <v>259</v>
      </c>
      <c r="G11" s="31" t="s">
        <v>258</v>
      </c>
      <c r="H11" s="31" t="s">
        <v>258</v>
      </c>
      <c r="I11" s="31" t="s">
        <v>260</v>
      </c>
      <c r="J11" s="31" t="s">
        <v>258</v>
      </c>
    </row>
    <row r="13" spans="1:14">
      <c r="B13" s="63" t="s">
        <v>114</v>
      </c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</row>
    <row r="14" spans="1:14"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</row>
    <row r="15" spans="1:14">
      <c r="A15" s="32" t="str">
        <f>'Форма 4т'!A169</f>
        <v>4.</v>
      </c>
      <c r="B15" s="31" t="s">
        <v>257</v>
      </c>
      <c r="C15" s="31" t="s">
        <v>257</v>
      </c>
      <c r="D15" s="31" t="s">
        <v>258</v>
      </c>
      <c r="E15" s="31" t="s">
        <v>258</v>
      </c>
      <c r="F15" s="31" t="s">
        <v>259</v>
      </c>
      <c r="G15" s="31" t="s">
        <v>258</v>
      </c>
      <c r="H15" s="31" t="s">
        <v>258</v>
      </c>
      <c r="I15" s="31" t="s">
        <v>260</v>
      </c>
      <c r="J15" s="31" t="s">
        <v>258</v>
      </c>
    </row>
    <row r="16" spans="1:14">
      <c r="A16" s="32" t="str">
        <f>'Форма 4т'!A188</f>
        <v>5.</v>
      </c>
      <c r="B16" s="31" t="s">
        <v>257</v>
      </c>
      <c r="C16" s="31" t="s">
        <v>257</v>
      </c>
      <c r="D16" s="31" t="s">
        <v>258</v>
      </c>
      <c r="E16" s="31" t="s">
        <v>258</v>
      </c>
      <c r="F16" s="31" t="s">
        <v>257</v>
      </c>
      <c r="G16" s="31" t="s">
        <v>258</v>
      </c>
      <c r="H16" s="31" t="s">
        <v>258</v>
      </c>
      <c r="I16" s="31" t="s">
        <v>261</v>
      </c>
      <c r="J16" s="31" t="s">
        <v>258</v>
      </c>
    </row>
    <row r="17" spans="1:14">
      <c r="A17" s="32" t="str">
        <f>'Форма 4т'!A208</f>
        <v>6.</v>
      </c>
      <c r="B17" s="31" t="s">
        <v>257</v>
      </c>
      <c r="C17" s="31" t="s">
        <v>257</v>
      </c>
      <c r="D17" s="31" t="s">
        <v>258</v>
      </c>
      <c r="E17" s="31" t="s">
        <v>258</v>
      </c>
      <c r="F17" s="31" t="s">
        <v>259</v>
      </c>
      <c r="G17" s="31" t="s">
        <v>257</v>
      </c>
      <c r="H17" s="31" t="s">
        <v>258</v>
      </c>
      <c r="I17" s="31" t="s">
        <v>260</v>
      </c>
      <c r="J17" s="31" t="s">
        <v>258</v>
      </c>
    </row>
    <row r="19" spans="1:14">
      <c r="B19" s="63" t="s">
        <v>127</v>
      </c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</row>
    <row r="20" spans="1:14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</row>
    <row r="21" spans="1:14">
      <c r="A21" s="32" t="str">
        <f>'Форма 4т'!A319</f>
        <v>7.</v>
      </c>
      <c r="B21" s="31" t="s">
        <v>257</v>
      </c>
      <c r="C21" s="31" t="s">
        <v>257</v>
      </c>
      <c r="D21" s="31" t="s">
        <v>258</v>
      </c>
      <c r="E21" s="31" t="s">
        <v>258</v>
      </c>
      <c r="F21" s="31" t="s">
        <v>259</v>
      </c>
      <c r="G21" s="31" t="s">
        <v>258</v>
      </c>
      <c r="H21" s="31" t="s">
        <v>258</v>
      </c>
      <c r="I21" s="31" t="s">
        <v>260</v>
      </c>
      <c r="J21" s="31" t="s">
        <v>258</v>
      </c>
    </row>
    <row r="22" spans="1:14">
      <c r="A22" s="32" t="str">
        <f>'Форма 4т'!A338</f>
        <v>8.</v>
      </c>
      <c r="B22" s="31" t="s">
        <v>257</v>
      </c>
      <c r="C22" s="31" t="s">
        <v>257</v>
      </c>
      <c r="D22" s="31" t="s">
        <v>258</v>
      </c>
      <c r="E22" s="31" t="s">
        <v>258</v>
      </c>
      <c r="F22" s="31" t="s">
        <v>257</v>
      </c>
      <c r="G22" s="31" t="s">
        <v>258</v>
      </c>
      <c r="H22" s="31" t="s">
        <v>258</v>
      </c>
      <c r="I22" s="31" t="s">
        <v>261</v>
      </c>
      <c r="J22" s="31" t="s">
        <v>258</v>
      </c>
    </row>
    <row r="23" spans="1:14">
      <c r="A23" s="32" t="str">
        <f>'Форма 4т'!A358</f>
        <v>9.</v>
      </c>
      <c r="B23" s="31" t="s">
        <v>257</v>
      </c>
      <c r="C23" s="31" t="s">
        <v>257</v>
      </c>
      <c r="D23" s="31" t="s">
        <v>258</v>
      </c>
      <c r="E23" s="31" t="s">
        <v>258</v>
      </c>
      <c r="F23" s="31" t="s">
        <v>259</v>
      </c>
      <c r="G23" s="31" t="s">
        <v>257</v>
      </c>
      <c r="H23" s="31" t="s">
        <v>258</v>
      </c>
      <c r="I23" s="31" t="s">
        <v>260</v>
      </c>
      <c r="J23" s="31" t="s">
        <v>258</v>
      </c>
    </row>
    <row r="24" spans="1:14">
      <c r="A24" s="32" t="str">
        <f>'Форма 4т'!A376</f>
        <v>10.</v>
      </c>
      <c r="B24" s="31" t="s">
        <v>257</v>
      </c>
      <c r="C24" s="31" t="s">
        <v>257</v>
      </c>
      <c r="D24" s="31" t="s">
        <v>258</v>
      </c>
      <c r="E24" s="31" t="s">
        <v>258</v>
      </c>
      <c r="F24" s="31" t="s">
        <v>259</v>
      </c>
      <c r="G24" s="31" t="s">
        <v>258</v>
      </c>
      <c r="H24" s="31" t="s">
        <v>258</v>
      </c>
      <c r="I24" s="31" t="s">
        <v>260</v>
      </c>
      <c r="J24" s="31" t="s">
        <v>258</v>
      </c>
    </row>
    <row r="25" spans="1:14">
      <c r="A25" s="32" t="str">
        <f>'Форма 4т'!A395</f>
        <v>11.</v>
      </c>
      <c r="B25" s="31" t="s">
        <v>257</v>
      </c>
      <c r="C25" s="31" t="s">
        <v>257</v>
      </c>
      <c r="D25" s="31" t="s">
        <v>258</v>
      </c>
      <c r="E25" s="31" t="s">
        <v>258</v>
      </c>
      <c r="F25" s="31" t="s">
        <v>259</v>
      </c>
      <c r="G25" s="31" t="s">
        <v>258</v>
      </c>
      <c r="H25" s="31" t="s">
        <v>258</v>
      </c>
      <c r="I25" s="31" t="s">
        <v>260</v>
      </c>
      <c r="J25" s="31" t="s">
        <v>258</v>
      </c>
    </row>
    <row r="26" spans="1:14">
      <c r="A26" s="32" t="str">
        <f>'Форма 4т'!A415</f>
        <v>12.</v>
      </c>
      <c r="B26" s="31" t="s">
        <v>257</v>
      </c>
      <c r="C26" s="31" t="s">
        <v>257</v>
      </c>
      <c r="D26" s="31" t="s">
        <v>258</v>
      </c>
      <c r="E26" s="31" t="s">
        <v>258</v>
      </c>
      <c r="F26" s="31" t="s">
        <v>259</v>
      </c>
      <c r="G26" s="31" t="s">
        <v>258</v>
      </c>
      <c r="H26" s="31" t="s">
        <v>258</v>
      </c>
      <c r="I26" s="31" t="s">
        <v>260</v>
      </c>
      <c r="J26" s="31" t="s">
        <v>258</v>
      </c>
    </row>
    <row r="28" spans="1:14">
      <c r="B28" s="63" t="s">
        <v>144</v>
      </c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</row>
    <row r="29" spans="1:14"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</row>
    <row r="30" spans="1:14">
      <c r="A30" s="32" t="str">
        <f>'Форма 4т'!A528</f>
        <v>13.</v>
      </c>
      <c r="B30" s="31" t="s">
        <v>257</v>
      </c>
      <c r="C30" s="31" t="s">
        <v>257</v>
      </c>
      <c r="D30" s="31" t="s">
        <v>258</v>
      </c>
      <c r="E30" s="31" t="s">
        <v>258</v>
      </c>
      <c r="F30" s="31" t="s">
        <v>259</v>
      </c>
      <c r="G30" s="31" t="s">
        <v>258</v>
      </c>
      <c r="H30" s="31" t="s">
        <v>258</v>
      </c>
      <c r="I30" s="31" t="s">
        <v>260</v>
      </c>
      <c r="J30" s="31" t="s">
        <v>258</v>
      </c>
    </row>
    <row r="31" spans="1:14">
      <c r="A31" s="32" t="str">
        <f>'Форма 4т'!A547</f>
        <v>14.</v>
      </c>
      <c r="B31" s="31" t="s">
        <v>257</v>
      </c>
      <c r="C31" s="31" t="s">
        <v>257</v>
      </c>
      <c r="D31" s="31" t="s">
        <v>258</v>
      </c>
      <c r="E31" s="31" t="s">
        <v>258</v>
      </c>
      <c r="F31" s="31" t="s">
        <v>259</v>
      </c>
      <c r="G31" s="31" t="s">
        <v>258</v>
      </c>
      <c r="H31" s="31" t="s">
        <v>258</v>
      </c>
      <c r="I31" s="31" t="s">
        <v>260</v>
      </c>
      <c r="J31" s="31" t="s">
        <v>258</v>
      </c>
    </row>
    <row r="32" spans="1:14">
      <c r="A32" s="32" t="str">
        <f>'Форма 4т'!A567</f>
        <v>15.</v>
      </c>
      <c r="B32" s="31" t="s">
        <v>257</v>
      </c>
      <c r="C32" s="31" t="s">
        <v>257</v>
      </c>
      <c r="D32" s="31" t="s">
        <v>258</v>
      </c>
      <c r="E32" s="31" t="s">
        <v>258</v>
      </c>
      <c r="F32" s="31" t="s">
        <v>259</v>
      </c>
      <c r="G32" s="31" t="s">
        <v>258</v>
      </c>
      <c r="H32" s="31" t="s">
        <v>258</v>
      </c>
      <c r="I32" s="31" t="s">
        <v>260</v>
      </c>
      <c r="J32" s="31" t="s">
        <v>258</v>
      </c>
    </row>
  </sheetData>
  <mergeCells count="8">
    <mergeCell ref="B19:N20"/>
    <mergeCell ref="B28:N29"/>
    <mergeCell ref="A2:N2"/>
    <mergeCell ref="B3:N3"/>
    <mergeCell ref="B4:N4"/>
    <mergeCell ref="A5:N5"/>
    <mergeCell ref="B7:N8"/>
    <mergeCell ref="B13:N14"/>
  </mergeCells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2:N457"/>
  <sheetViews>
    <sheetView workbookViewId="0"/>
  </sheetViews>
  <sheetFormatPr defaultRowHeight="10.5"/>
  <cols>
    <col min="1" max="1" width="4.7109375" style="26" customWidth="1"/>
    <col min="2" max="2" width="44.42578125" style="9" customWidth="1"/>
    <col min="3" max="3" width="3.42578125" style="31" customWidth="1"/>
    <col min="4" max="4" width="6" style="34" customWidth="1"/>
    <col min="5" max="5" width="6" style="9" customWidth="1"/>
    <col min="6" max="9" width="10.7109375" style="34" customWidth="1"/>
    <col min="10" max="11" width="18.7109375" style="34" customWidth="1"/>
    <col min="12" max="12" width="10.7109375" style="34" customWidth="1"/>
    <col min="13" max="13" width="9.140625" style="34" customWidth="1"/>
    <col min="14" max="14" width="3.42578125" style="31" hidden="1" customWidth="1"/>
    <col min="15" max="16384" width="9.140625" style="34"/>
  </cols>
  <sheetData>
    <row r="2" spans="1:14">
      <c r="A2" s="60"/>
      <c r="B2" s="67"/>
      <c r="C2" s="67"/>
      <c r="D2" s="68"/>
      <c r="E2" s="67"/>
      <c r="F2" s="68"/>
      <c r="G2" s="68"/>
      <c r="H2" s="68"/>
      <c r="I2" s="68"/>
      <c r="J2" s="68"/>
      <c r="K2" s="68"/>
      <c r="L2" s="68"/>
      <c r="M2" s="68"/>
      <c r="N2" s="67"/>
    </row>
    <row r="3" spans="1:14">
      <c r="A3" s="28"/>
      <c r="B3" s="62" t="s">
        <v>197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1:14">
      <c r="A4" s="28"/>
      <c r="B4" s="62" t="s">
        <v>198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</row>
    <row r="5" spans="1:14">
      <c r="A5" s="60"/>
      <c r="B5" s="67"/>
      <c r="C5" s="67"/>
      <c r="D5" s="68"/>
      <c r="E5" s="67"/>
      <c r="F5" s="68"/>
      <c r="G5" s="68"/>
      <c r="H5" s="68"/>
      <c r="I5" s="68"/>
      <c r="J5" s="68"/>
      <c r="K5" s="68"/>
      <c r="L5" s="68"/>
      <c r="M5" s="68"/>
      <c r="N5" s="67"/>
    </row>
    <row r="7" spans="1:14">
      <c r="B7" s="49" t="s">
        <v>26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14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14" s="27" customFormat="1">
      <c r="A9" s="7"/>
      <c r="B9" s="27" t="s">
        <v>262</v>
      </c>
      <c r="C9" s="27" t="s">
        <v>263</v>
      </c>
      <c r="D9" s="35" t="s">
        <v>264</v>
      </c>
      <c r="E9" s="27" t="s">
        <v>265</v>
      </c>
      <c r="F9" s="27" t="s">
        <v>266</v>
      </c>
      <c r="G9" s="27" t="s">
        <v>267</v>
      </c>
      <c r="H9" s="27" t="s">
        <v>268</v>
      </c>
      <c r="I9" s="27" t="s">
        <v>269</v>
      </c>
      <c r="J9" s="27" t="s">
        <v>270</v>
      </c>
      <c r="K9" s="27" t="s">
        <v>271</v>
      </c>
      <c r="L9" s="27" t="s">
        <v>272</v>
      </c>
      <c r="M9" s="27" t="s">
        <v>273</v>
      </c>
    </row>
    <row r="10" spans="1:14">
      <c r="A10" s="26">
        <v>1</v>
      </c>
      <c r="B10" s="9" t="s">
        <v>153</v>
      </c>
      <c r="C10" s="31" t="s">
        <v>274</v>
      </c>
      <c r="D10" s="34">
        <v>0</v>
      </c>
      <c r="E10" s="34"/>
      <c r="F10" s="29">
        <f>ROUND(SUM('Базовые цены с учетом расхода'!B9:B11),0)</f>
        <v>5563</v>
      </c>
      <c r="G10" s="29">
        <f>ROUND(SUM('Базовые цены с учетом расхода'!C9:C11),0)</f>
        <v>366</v>
      </c>
      <c r="H10" s="29">
        <f>ROUND(SUM('Базовые цены с учетом расхода'!D9:D11),0)</f>
        <v>45</v>
      </c>
      <c r="I10" s="29">
        <f>ROUND(SUM('Базовые цены с учетом расхода'!E9:E11),0)</f>
        <v>3</v>
      </c>
      <c r="J10" s="30" t="e">
        <f ca="1">ROUND(SUM('Базовые цены с учетом расхода'!I9:I11),8)</f>
        <v>#NAME?</v>
      </c>
      <c r="K10" s="30" t="e">
        <f ca="1">ROUND(SUM('Базовые цены с учетом расхода'!K9:K11),8)</f>
        <v>#NAME?</v>
      </c>
      <c r="L10" s="29">
        <f>ROUND(SUM('Базовые цены с учетом расхода'!F9:F11),0)</f>
        <v>5152</v>
      </c>
      <c r="N10" s="34"/>
    </row>
    <row r="11" spans="1:14">
      <c r="A11" s="26">
        <v>2</v>
      </c>
      <c r="B11" s="9" t="s">
        <v>59</v>
      </c>
      <c r="C11" s="31" t="s">
        <v>275</v>
      </c>
      <c r="D11" s="34">
        <v>0</v>
      </c>
      <c r="F11" s="29">
        <f>ROUND(SUMIF(Определители!I9:I11,"= ",'Базовые цены с учетом расхода'!B9:B11),0)</f>
        <v>0</v>
      </c>
      <c r="G11" s="29">
        <f>ROUND(SUMIF(Определители!I9:I11,"= ",'Базовые цены с учетом расхода'!C9:C11),0)</f>
        <v>0</v>
      </c>
      <c r="H11" s="29">
        <f>ROUND(SUMIF(Определители!I9:I11,"= ",'Базовые цены с учетом расхода'!D9:D11),0)</f>
        <v>0</v>
      </c>
      <c r="I11" s="29">
        <f>ROUND(SUMIF(Определители!I9:I11,"= ",'Базовые цены с учетом расхода'!E9:E11),0)</f>
        <v>0</v>
      </c>
      <c r="J11" s="30">
        <f>ROUND(SUMIF(Определители!I9:I11,"= ",'Базовые цены с учетом расхода'!I9:I11),8)</f>
        <v>0</v>
      </c>
      <c r="K11" s="30">
        <f>ROUND(SUMIF(Определители!I9:I11,"= ",'Базовые цены с учетом расхода'!K9:K11),8)</f>
        <v>0</v>
      </c>
      <c r="L11" s="29">
        <f>ROUND(SUMIF(Определители!I9:I11,"= ",'Базовые цены с учетом расхода'!F9:F11),0)</f>
        <v>0</v>
      </c>
    </row>
    <row r="12" spans="1:14">
      <c r="A12" s="26">
        <v>3</v>
      </c>
      <c r="B12" s="9" t="s">
        <v>60</v>
      </c>
      <c r="C12" s="31" t="s">
        <v>275</v>
      </c>
      <c r="D12" s="34">
        <v>0</v>
      </c>
      <c r="F12" s="29" t="e">
        <f ca="1">ROUND(СУММПРОИЗВЕСЛИ(0.01,Определители!I9:I11," ",'Базовые цены с учетом расхода'!B9:B11,Начисления!X9:X11,0),0)</f>
        <v>#NAME?</v>
      </c>
      <c r="G12" s="29"/>
      <c r="H12" s="29"/>
      <c r="I12" s="29"/>
      <c r="J12" s="30"/>
      <c r="K12" s="30"/>
      <c r="L12" s="29"/>
    </row>
    <row r="13" spans="1:14">
      <c r="A13" s="26">
        <v>4</v>
      </c>
      <c r="B13" s="9" t="s">
        <v>61</v>
      </c>
      <c r="C13" s="31" t="s">
        <v>275</v>
      </c>
      <c r="D13" s="34">
        <v>0</v>
      </c>
      <c r="F13" s="29" t="e">
        <f ca="1">ROUND(СУММПРОИЗВЕСЛИ(0.01,Определители!I9:I11," ",'Базовые цены с учетом расхода'!B9:B11,Начисления!Y9:Y11,0),0)</f>
        <v>#NAME?</v>
      </c>
      <c r="G13" s="29"/>
      <c r="H13" s="29"/>
      <c r="I13" s="29"/>
      <c r="J13" s="30"/>
      <c r="K13" s="30"/>
      <c r="L13" s="29"/>
    </row>
    <row r="14" spans="1:14">
      <c r="A14" s="26">
        <v>5</v>
      </c>
      <c r="B14" s="9" t="s">
        <v>62</v>
      </c>
      <c r="C14" s="31" t="s">
        <v>275</v>
      </c>
      <c r="D14" s="34">
        <v>0</v>
      </c>
      <c r="F14" s="29" t="e">
        <f ca="1">ROUND(ТРАНСПРАСХОД(Определители!B9:B11,Определители!H9:H11,Определители!I9:I11,'Базовые цены с учетом расхода'!B9:B11,Начисления!Z9:Z11,Начисления!AA9:AA11),0)</f>
        <v>#NAME?</v>
      </c>
      <c r="G14" s="29"/>
      <c r="H14" s="29"/>
      <c r="I14" s="29"/>
      <c r="J14" s="30"/>
      <c r="K14" s="30"/>
      <c r="L14" s="29"/>
    </row>
    <row r="15" spans="1:14">
      <c r="A15" s="26">
        <v>6</v>
      </c>
      <c r="B15" s="9" t="s">
        <v>63</v>
      </c>
      <c r="C15" s="31" t="s">
        <v>275</v>
      </c>
      <c r="D15" s="34">
        <v>0</v>
      </c>
      <c r="F15" s="29" t="e">
        <f ca="1">ROUND(СУММПРОИЗВЕСЛИ(0.01,Определители!I9:I11," ",'Базовые цены с учетом расхода'!B9:B11,Начисления!AC9:AC11,0),0)</f>
        <v>#NAME?</v>
      </c>
      <c r="G15" s="29"/>
      <c r="H15" s="29"/>
      <c r="I15" s="29"/>
      <c r="J15" s="30"/>
      <c r="K15" s="30"/>
      <c r="L15" s="29"/>
    </row>
    <row r="16" spans="1:14">
      <c r="A16" s="26">
        <v>7</v>
      </c>
      <c r="B16" s="9" t="s">
        <v>64</v>
      </c>
      <c r="C16" s="31" t="s">
        <v>275</v>
      </c>
      <c r="D16" s="34">
        <v>0</v>
      </c>
      <c r="F16" s="29" t="e">
        <f ca="1">ROUND(СУММПРОИЗВЕСЛИ(0.01,Определители!I9:I11," ",'Базовые цены с учетом расхода'!B9:B11,Начисления!AF9:AF11,0),0)</f>
        <v>#NAME?</v>
      </c>
      <c r="G16" s="29"/>
      <c r="H16" s="29"/>
      <c r="I16" s="29"/>
      <c r="J16" s="30"/>
      <c r="K16" s="30"/>
      <c r="L16" s="29"/>
    </row>
    <row r="17" spans="1:12">
      <c r="A17" s="26">
        <v>8</v>
      </c>
      <c r="B17" s="9" t="s">
        <v>65</v>
      </c>
      <c r="C17" s="31" t="s">
        <v>275</v>
      </c>
      <c r="D17" s="34">
        <v>0</v>
      </c>
      <c r="F17" s="29" t="e">
        <f ca="1">ROUND(ЗАГОТСКЛАДРАСХОД(Определители!B9:B11,Определители!H9:H11,Определители!I9:I11,'Базовые цены с учетом расхода'!B9:B11,Начисления!X9:X11,Начисления!Y9:Y11,Начисления!Z9:Z11,Начисления!AA9:AA11,Начисления!AB9:AB11,Начисления!AC9:AC11,Начисления!AF9:AF11),0)</f>
        <v>#NAME?</v>
      </c>
      <c r="G17" s="29"/>
      <c r="H17" s="29"/>
      <c r="I17" s="29"/>
      <c r="J17" s="30"/>
      <c r="K17" s="30"/>
      <c r="L17" s="29"/>
    </row>
    <row r="18" spans="1:12">
      <c r="A18" s="26">
        <v>9</v>
      </c>
      <c r="B18" s="9" t="s">
        <v>66</v>
      </c>
      <c r="C18" s="31" t="s">
        <v>275</v>
      </c>
      <c r="D18" s="34">
        <v>0</v>
      </c>
      <c r="F18" s="29" t="e">
        <f ca="1">ROUND(СУММПРОИЗВЕСЛИ(1,Определители!I9:I11," ",'Базовые цены с учетом расхода'!M9:M11,Начисления!I9:I11,0),0)</f>
        <v>#NAME?</v>
      </c>
      <c r="G18" s="29"/>
      <c r="H18" s="29"/>
      <c r="I18" s="29"/>
      <c r="J18" s="30"/>
      <c r="K18" s="30"/>
      <c r="L18" s="29"/>
    </row>
    <row r="19" spans="1:12">
      <c r="A19" s="26">
        <v>10</v>
      </c>
      <c r="B19" s="9" t="s">
        <v>67</v>
      </c>
      <c r="C19" s="31" t="s">
        <v>276</v>
      </c>
      <c r="D19" s="34">
        <v>0</v>
      </c>
      <c r="F19" s="29" t="e">
        <f ca="1">ROUND((F18+F29+F49),0)</f>
        <v>#NAME?</v>
      </c>
      <c r="G19" s="29"/>
      <c r="H19" s="29"/>
      <c r="I19" s="29"/>
      <c r="J19" s="30"/>
      <c r="K19" s="30"/>
      <c r="L19" s="29"/>
    </row>
    <row r="20" spans="1:12">
      <c r="A20" s="26">
        <v>11</v>
      </c>
      <c r="B20" s="9" t="s">
        <v>68</v>
      </c>
      <c r="C20" s="31" t="s">
        <v>276</v>
      </c>
      <c r="D20" s="34">
        <v>0</v>
      </c>
      <c r="F20" s="29" t="e">
        <f ca="1">ROUND((F11+F12+F13+F14+F15+F16+F17+F19),0)</f>
        <v>#NAME?</v>
      </c>
      <c r="G20" s="29"/>
      <c r="H20" s="29"/>
      <c r="I20" s="29"/>
      <c r="J20" s="30"/>
      <c r="K20" s="30"/>
      <c r="L20" s="29"/>
    </row>
    <row r="21" spans="1:12">
      <c r="A21" s="26">
        <v>12</v>
      </c>
      <c r="B21" s="9" t="s">
        <v>69</v>
      </c>
      <c r="C21" s="31" t="s">
        <v>275</v>
      </c>
      <c r="D21" s="34">
        <v>0</v>
      </c>
      <c r="F21" s="29">
        <f>ROUND(SUMIF(Определители!I9:I11,"=1",'Базовые цены с учетом расхода'!B9:B11),0)</f>
        <v>0</v>
      </c>
      <c r="G21" s="29">
        <f>ROUND(SUMIF(Определители!I9:I11,"=1",'Базовые цены с учетом расхода'!C9:C11),0)</f>
        <v>0</v>
      </c>
      <c r="H21" s="29">
        <f>ROUND(SUMIF(Определители!I9:I11,"=1",'Базовые цены с учетом расхода'!D9:D11),0)</f>
        <v>0</v>
      </c>
      <c r="I21" s="29">
        <f>ROUND(SUMIF(Определители!I9:I11,"=1",'Базовые цены с учетом расхода'!E9:E11),0)</f>
        <v>0</v>
      </c>
      <c r="J21" s="30">
        <f>ROUND(SUMIF(Определители!I9:I11,"=1",'Базовые цены с учетом расхода'!I9:I11),8)</f>
        <v>0</v>
      </c>
      <c r="K21" s="30">
        <f>ROUND(SUMIF(Определители!I9:I11,"=1",'Базовые цены с учетом расхода'!K9:K11),8)</f>
        <v>0</v>
      </c>
      <c r="L21" s="29">
        <f>ROUND(SUMIF(Определители!I9:I11,"=1",'Базовые цены с учетом расхода'!F9:F11),0)</f>
        <v>0</v>
      </c>
    </row>
    <row r="22" spans="1:12">
      <c r="A22" s="26">
        <v>13</v>
      </c>
      <c r="B22" s="9" t="s">
        <v>70</v>
      </c>
      <c r="C22" s="31" t="s">
        <v>275</v>
      </c>
      <c r="D22" s="34">
        <v>0</v>
      </c>
      <c r="F22" s="29"/>
      <c r="G22" s="29"/>
      <c r="H22" s="29"/>
      <c r="I22" s="29"/>
      <c r="J22" s="30"/>
      <c r="K22" s="30"/>
      <c r="L22" s="29"/>
    </row>
    <row r="23" spans="1:12">
      <c r="A23" s="26">
        <v>14</v>
      </c>
      <c r="B23" s="9" t="s">
        <v>71</v>
      </c>
      <c r="C23" s="31" t="s">
        <v>275</v>
      </c>
      <c r="D23" s="34">
        <v>0</v>
      </c>
      <c r="F23" s="29"/>
      <c r="G23" s="29">
        <f>ROUND(SUMIF(Определители!I9:I11,"=1",'Базовые цены с учетом расхода'!T9:T11),0)</f>
        <v>0</v>
      </c>
      <c r="H23" s="29"/>
      <c r="I23" s="29"/>
      <c r="J23" s="30"/>
      <c r="K23" s="30"/>
      <c r="L23" s="29"/>
    </row>
    <row r="24" spans="1:12">
      <c r="A24" s="26">
        <v>15</v>
      </c>
      <c r="B24" s="9" t="s">
        <v>72</v>
      </c>
      <c r="C24" s="31" t="s">
        <v>275</v>
      </c>
      <c r="D24" s="34">
        <v>0</v>
      </c>
      <c r="F24" s="29">
        <f>ROUND(SUMIF(Определители!I9:I11,"=1",'Базовые цены с учетом расхода'!U9:U11),0)</f>
        <v>0</v>
      </c>
      <c r="G24" s="29"/>
      <c r="H24" s="29"/>
      <c r="I24" s="29"/>
      <c r="J24" s="30"/>
      <c r="K24" s="30"/>
      <c r="L24" s="29"/>
    </row>
    <row r="25" spans="1:12">
      <c r="A25" s="26">
        <v>16</v>
      </c>
      <c r="B25" s="9" t="s">
        <v>73</v>
      </c>
      <c r="C25" s="31" t="s">
        <v>275</v>
      </c>
      <c r="D25" s="34">
        <v>0</v>
      </c>
      <c r="F25" s="29" t="e">
        <f ca="1">ROUND(СУММЕСЛИ2(Определители!I9:I11,"1",Определители!G9:G11,"1",'Базовые цены с учетом расхода'!B9:B11),0)</f>
        <v>#NAME?</v>
      </c>
      <c r="G25" s="29"/>
      <c r="H25" s="29"/>
      <c r="I25" s="29"/>
      <c r="J25" s="30"/>
      <c r="K25" s="30"/>
      <c r="L25" s="29"/>
    </row>
    <row r="26" spans="1:12">
      <c r="A26" s="26">
        <v>17</v>
      </c>
      <c r="B26" s="9" t="s">
        <v>74</v>
      </c>
      <c r="C26" s="31" t="s">
        <v>275</v>
      </c>
      <c r="D26" s="34">
        <v>0</v>
      </c>
      <c r="F26" s="29">
        <f>ROUND(SUMIF(Определители!I9:I11,"=1",'Базовые цены с учетом расхода'!H9:H11),0)</f>
        <v>0</v>
      </c>
      <c r="G26" s="29"/>
      <c r="H26" s="29"/>
      <c r="I26" s="29"/>
      <c r="J26" s="30"/>
      <c r="K26" s="30"/>
      <c r="L26" s="29"/>
    </row>
    <row r="27" spans="1:12">
      <c r="A27" s="26">
        <v>18</v>
      </c>
      <c r="B27" s="9" t="s">
        <v>75</v>
      </c>
      <c r="C27" s="31" t="s">
        <v>275</v>
      </c>
      <c r="D27" s="34">
        <v>0</v>
      </c>
      <c r="F27" s="29">
        <f>ROUND(SUMIF(Определители!I9:I11,"=1",'Базовые цены с учетом расхода'!N9:N11),0)</f>
        <v>0</v>
      </c>
      <c r="G27" s="29"/>
      <c r="H27" s="29"/>
      <c r="I27" s="29"/>
      <c r="J27" s="30"/>
      <c r="K27" s="30"/>
      <c r="L27" s="29"/>
    </row>
    <row r="28" spans="1:12">
      <c r="A28" s="26">
        <v>19</v>
      </c>
      <c r="B28" s="9" t="s">
        <v>76</v>
      </c>
      <c r="C28" s="31" t="s">
        <v>275</v>
      </c>
      <c r="D28" s="34">
        <v>0</v>
      </c>
      <c r="F28" s="29">
        <f>ROUND(SUMIF(Определители!I9:I11,"=1",'Базовые цены с учетом расхода'!O9:O11),0)</f>
        <v>0</v>
      </c>
      <c r="G28" s="29"/>
      <c r="H28" s="29"/>
      <c r="I28" s="29"/>
      <c r="J28" s="30"/>
      <c r="K28" s="30"/>
      <c r="L28" s="29"/>
    </row>
    <row r="29" spans="1:12">
      <c r="A29" s="26">
        <v>20</v>
      </c>
      <c r="B29" s="9" t="s">
        <v>67</v>
      </c>
      <c r="C29" s="31" t="s">
        <v>275</v>
      </c>
      <c r="D29" s="34">
        <v>0</v>
      </c>
      <c r="F29" s="29" t="e">
        <f ca="1">ROUND(СУММПРОИЗВЕСЛИ(1,Определители!I9:I11," ",'Базовые цены с учетом расхода'!M9:M11,Начисления!I9:I11,0),0)</f>
        <v>#NAME?</v>
      </c>
      <c r="G29" s="29"/>
      <c r="H29" s="29"/>
      <c r="I29" s="29"/>
      <c r="J29" s="30"/>
      <c r="K29" s="30"/>
      <c r="L29" s="29"/>
    </row>
    <row r="30" spans="1:12">
      <c r="A30" s="26">
        <v>21</v>
      </c>
      <c r="B30" s="9" t="s">
        <v>77</v>
      </c>
      <c r="C30" s="31" t="s">
        <v>276</v>
      </c>
      <c r="D30" s="34">
        <v>0</v>
      </c>
      <c r="F30" s="29">
        <f>ROUND((F21+F27+F28),0)</f>
        <v>0</v>
      </c>
      <c r="G30" s="29"/>
      <c r="H30" s="29"/>
      <c r="I30" s="29"/>
      <c r="J30" s="30"/>
      <c r="K30" s="30"/>
      <c r="L30" s="29"/>
    </row>
    <row r="31" spans="1:12">
      <c r="A31" s="26">
        <v>22</v>
      </c>
      <c r="B31" s="9" t="s">
        <v>78</v>
      </c>
      <c r="C31" s="31" t="s">
        <v>275</v>
      </c>
      <c r="D31" s="34">
        <v>0</v>
      </c>
      <c r="F31" s="29">
        <f>ROUND(SUMIF(Определители!I9:I11,"=2",'Базовые цены с учетом расхода'!B9:B11),0)</f>
        <v>5563</v>
      </c>
      <c r="G31" s="29">
        <f>ROUND(SUMIF(Определители!I9:I11,"=2",'Базовые цены с учетом расхода'!C9:C11),0)</f>
        <v>366</v>
      </c>
      <c r="H31" s="29">
        <f>ROUND(SUMIF(Определители!I9:I11,"=2",'Базовые цены с учетом расхода'!D9:D11),0)</f>
        <v>45</v>
      </c>
      <c r="I31" s="29">
        <f>ROUND(SUMIF(Определители!I9:I11,"=2",'Базовые цены с учетом расхода'!E9:E11),0)</f>
        <v>3</v>
      </c>
      <c r="J31" s="30" t="e">
        <f ca="1">ROUND(SUMIF(Определители!I9:I11,"=2",'Базовые цены с учетом расхода'!I9:I11),8)</f>
        <v>#NAME?</v>
      </c>
      <c r="K31" s="30" t="e">
        <f ca="1">ROUND(SUMIF(Определители!I9:I11,"=2",'Базовые цены с учетом расхода'!K9:K11),8)</f>
        <v>#NAME?</v>
      </c>
      <c r="L31" s="29">
        <f>ROUND(SUMIF(Определители!I9:I11,"=2",'Базовые цены с учетом расхода'!F9:F11),0)</f>
        <v>5152</v>
      </c>
    </row>
    <row r="32" spans="1:12">
      <c r="A32" s="26">
        <v>23</v>
      </c>
      <c r="B32" s="9" t="s">
        <v>70</v>
      </c>
      <c r="C32" s="31" t="s">
        <v>275</v>
      </c>
      <c r="D32" s="34">
        <v>0</v>
      </c>
      <c r="F32" s="29"/>
      <c r="G32" s="29"/>
      <c r="H32" s="29"/>
      <c r="I32" s="29"/>
      <c r="J32" s="30"/>
      <c r="K32" s="30"/>
      <c r="L32" s="29"/>
    </row>
    <row r="33" spans="1:12">
      <c r="A33" s="26">
        <v>24</v>
      </c>
      <c r="B33" s="9" t="s">
        <v>79</v>
      </c>
      <c r="C33" s="31" t="s">
        <v>275</v>
      </c>
      <c r="D33" s="34">
        <v>0</v>
      </c>
      <c r="F33" s="29" t="e">
        <f ca="1">ROUND(СУММЕСЛИ2(Определители!I9:I11,"2",Определители!G9:G11,"1",'Базовые цены с учетом расхода'!B9:B11),0)</f>
        <v>#NAME?</v>
      </c>
      <c r="G33" s="29"/>
      <c r="H33" s="29"/>
      <c r="I33" s="29"/>
      <c r="J33" s="30"/>
      <c r="K33" s="30"/>
      <c r="L33" s="29"/>
    </row>
    <row r="34" spans="1:12">
      <c r="A34" s="26">
        <v>25</v>
      </c>
      <c r="B34" s="9" t="s">
        <v>74</v>
      </c>
      <c r="C34" s="31" t="s">
        <v>275</v>
      </c>
      <c r="D34" s="34">
        <v>0</v>
      </c>
      <c r="F34" s="29">
        <f>ROUND(SUMIF(Определители!I9:I11,"=2",'Базовые цены с учетом расхода'!H9:H11),0)</f>
        <v>0</v>
      </c>
      <c r="G34" s="29"/>
      <c r="H34" s="29"/>
      <c r="I34" s="29"/>
      <c r="J34" s="30"/>
      <c r="K34" s="30"/>
      <c r="L34" s="29"/>
    </row>
    <row r="35" spans="1:12">
      <c r="A35" s="26">
        <v>26</v>
      </c>
      <c r="B35" s="9" t="s">
        <v>75</v>
      </c>
      <c r="C35" s="31" t="s">
        <v>275</v>
      </c>
      <c r="D35" s="34">
        <v>0</v>
      </c>
      <c r="F35" s="29">
        <f>ROUND(SUMIF(Определители!I9:I11,"=2",'Базовые цены с учетом расхода'!N9:N11),0)</f>
        <v>317</v>
      </c>
      <c r="G35" s="29"/>
      <c r="H35" s="29"/>
      <c r="I35" s="29"/>
      <c r="J35" s="30"/>
      <c r="K35" s="30"/>
      <c r="L35" s="29"/>
    </row>
    <row r="36" spans="1:12">
      <c r="A36" s="26">
        <v>27</v>
      </c>
      <c r="B36" s="9" t="s">
        <v>76</v>
      </c>
      <c r="C36" s="31" t="s">
        <v>275</v>
      </c>
      <c r="D36" s="34">
        <v>0</v>
      </c>
      <c r="F36" s="29">
        <f>ROUND(SUMIF(Определители!I9:I11,"=2",'Базовые цены с учетом расхода'!O9:O11),0)</f>
        <v>234</v>
      </c>
      <c r="G36" s="29"/>
      <c r="H36" s="29"/>
      <c r="I36" s="29"/>
      <c r="J36" s="30"/>
      <c r="K36" s="30"/>
      <c r="L36" s="29"/>
    </row>
    <row r="37" spans="1:12">
      <c r="A37" s="26">
        <v>28</v>
      </c>
      <c r="B37" s="9" t="s">
        <v>82</v>
      </c>
      <c r="C37" s="31" t="s">
        <v>276</v>
      </c>
      <c r="D37" s="34">
        <v>0</v>
      </c>
      <c r="F37" s="29">
        <f>ROUND((F31+F35+F36),0)</f>
        <v>6114</v>
      </c>
      <c r="G37" s="29"/>
      <c r="H37" s="29"/>
      <c r="I37" s="29"/>
      <c r="J37" s="30"/>
      <c r="K37" s="30"/>
      <c r="L37" s="29"/>
    </row>
    <row r="38" spans="1:12">
      <c r="A38" s="26">
        <v>29</v>
      </c>
      <c r="B38" s="9" t="s">
        <v>83</v>
      </c>
      <c r="C38" s="31" t="s">
        <v>275</v>
      </c>
      <c r="D38" s="34">
        <v>0</v>
      </c>
      <c r="F38" s="29">
        <f>ROUND(SUMIF(Определители!I9:I11,"=3",'Базовые цены с учетом расхода'!B9:B11),0)</f>
        <v>0</v>
      </c>
      <c r="G38" s="29">
        <f>ROUND(SUMIF(Определители!I9:I11,"=3",'Базовые цены с учетом расхода'!C9:C11),0)</f>
        <v>0</v>
      </c>
      <c r="H38" s="29">
        <f>ROUND(SUMIF(Определители!I9:I11,"=3",'Базовые цены с учетом расхода'!D9:D11),0)</f>
        <v>0</v>
      </c>
      <c r="I38" s="29">
        <f>ROUND(SUMIF(Определители!I9:I11,"=3",'Базовые цены с учетом расхода'!E9:E11),0)</f>
        <v>0</v>
      </c>
      <c r="J38" s="30">
        <f>ROUND(SUMIF(Определители!I9:I11,"=3",'Базовые цены с учетом расхода'!I9:I11),8)</f>
        <v>0</v>
      </c>
      <c r="K38" s="30">
        <f>ROUND(SUMIF(Определители!I9:I11,"=3",'Базовые цены с учетом расхода'!K9:K11),8)</f>
        <v>0</v>
      </c>
      <c r="L38" s="29">
        <f>ROUND(SUMIF(Определители!I9:I11,"=3",'Базовые цены с учетом расхода'!F9:F11),0)</f>
        <v>0</v>
      </c>
    </row>
    <row r="39" spans="1:12">
      <c r="A39" s="26">
        <v>30</v>
      </c>
      <c r="B39" s="9" t="s">
        <v>74</v>
      </c>
      <c r="C39" s="31" t="s">
        <v>275</v>
      </c>
      <c r="D39" s="34">
        <v>0</v>
      </c>
      <c r="F39" s="29">
        <f>ROUND(SUMIF(Определители!I9:I11,"=3",'Базовые цены с учетом расхода'!H9:H11),0)</f>
        <v>0</v>
      </c>
      <c r="G39" s="29"/>
      <c r="H39" s="29"/>
      <c r="I39" s="29"/>
      <c r="J39" s="30"/>
      <c r="K39" s="30"/>
      <c r="L39" s="29"/>
    </row>
    <row r="40" spans="1:12">
      <c r="A40" s="26">
        <v>31</v>
      </c>
      <c r="B40" s="9" t="s">
        <v>75</v>
      </c>
      <c r="C40" s="31" t="s">
        <v>275</v>
      </c>
      <c r="D40" s="34">
        <v>0</v>
      </c>
      <c r="F40" s="29">
        <f>ROUND(SUMIF(Определители!I9:I11,"=3",'Базовые цены с учетом расхода'!N9:N11),0)</f>
        <v>0</v>
      </c>
      <c r="G40" s="29"/>
      <c r="H40" s="29"/>
      <c r="I40" s="29"/>
      <c r="J40" s="30"/>
      <c r="K40" s="30"/>
      <c r="L40" s="29"/>
    </row>
    <row r="41" spans="1:12">
      <c r="A41" s="26">
        <v>32</v>
      </c>
      <c r="B41" s="9" t="s">
        <v>76</v>
      </c>
      <c r="C41" s="31" t="s">
        <v>275</v>
      </c>
      <c r="D41" s="34">
        <v>0</v>
      </c>
      <c r="F41" s="29">
        <f>ROUND(SUMIF(Определители!I9:I11,"=3",'Базовые цены с учетом расхода'!O9:O11),0)</f>
        <v>0</v>
      </c>
      <c r="G41" s="29"/>
      <c r="H41" s="29"/>
      <c r="I41" s="29"/>
      <c r="J41" s="30"/>
      <c r="K41" s="30"/>
      <c r="L41" s="29"/>
    </row>
    <row r="42" spans="1:12">
      <c r="A42" s="26">
        <v>33</v>
      </c>
      <c r="B42" s="9" t="s">
        <v>84</v>
      </c>
      <c r="C42" s="31" t="s">
        <v>276</v>
      </c>
      <c r="D42" s="34">
        <v>0</v>
      </c>
      <c r="F42" s="29">
        <f>ROUND((F38+F40+F41),0)</f>
        <v>0</v>
      </c>
      <c r="G42" s="29"/>
      <c r="H42" s="29"/>
      <c r="I42" s="29"/>
      <c r="J42" s="30"/>
      <c r="K42" s="30"/>
      <c r="L42" s="29"/>
    </row>
    <row r="43" spans="1:12">
      <c r="A43" s="26">
        <v>34</v>
      </c>
      <c r="B43" s="9" t="s">
        <v>85</v>
      </c>
      <c r="C43" s="31" t="s">
        <v>275</v>
      </c>
      <c r="D43" s="34">
        <v>0</v>
      </c>
      <c r="F43" s="29">
        <f>ROUND(SUMIF(Определители!I9:I11,"=4",'Базовые цены с учетом расхода'!B9:B11),0)</f>
        <v>0</v>
      </c>
      <c r="G43" s="29">
        <f>ROUND(SUMIF(Определители!I9:I11,"=4",'Базовые цены с учетом расхода'!C9:C11),0)</f>
        <v>0</v>
      </c>
      <c r="H43" s="29">
        <f>ROUND(SUMIF(Определители!I9:I11,"=4",'Базовые цены с учетом расхода'!D9:D11),0)</f>
        <v>0</v>
      </c>
      <c r="I43" s="29">
        <f>ROUND(SUMIF(Определители!I9:I11,"=4",'Базовые цены с учетом расхода'!E9:E11),0)</f>
        <v>0</v>
      </c>
      <c r="J43" s="30">
        <f>ROUND(SUMIF(Определители!I9:I11,"=4",'Базовые цены с учетом расхода'!I9:I11),8)</f>
        <v>0</v>
      </c>
      <c r="K43" s="30">
        <f>ROUND(SUMIF(Определители!I9:I11,"=4",'Базовые цены с учетом расхода'!K9:K11),8)</f>
        <v>0</v>
      </c>
      <c r="L43" s="29">
        <f>ROUND(SUMIF(Определители!I9:I11,"=4",'Базовые цены с учетом расхода'!F9:F11),0)</f>
        <v>0</v>
      </c>
    </row>
    <row r="44" spans="1:12">
      <c r="A44" s="26">
        <v>35</v>
      </c>
      <c r="B44" s="9" t="s">
        <v>70</v>
      </c>
      <c r="C44" s="31" t="s">
        <v>275</v>
      </c>
      <c r="D44" s="34">
        <v>0</v>
      </c>
      <c r="F44" s="29"/>
      <c r="G44" s="29"/>
      <c r="H44" s="29"/>
      <c r="I44" s="29"/>
      <c r="J44" s="30"/>
      <c r="K44" s="30"/>
      <c r="L44" s="29"/>
    </row>
    <row r="45" spans="1:12">
      <c r="A45" s="26">
        <v>36</v>
      </c>
      <c r="B45" s="9" t="s">
        <v>86</v>
      </c>
      <c r="C45" s="31" t="s">
        <v>275</v>
      </c>
      <c r="D45" s="34">
        <v>0</v>
      </c>
      <c r="F45" s="29">
        <f>ROUND(SUMIF(Определители!I9:I11,"=4",'Базовые цены с учетом расхода'!AJ9:AJ11),0)</f>
        <v>0</v>
      </c>
      <c r="G45" s="29">
        <f>ROUND(SUMIF(Определители!I9:I11,"=4",'Базовые цены с учетом расхода'!AI9:AI11),0)</f>
        <v>0</v>
      </c>
      <c r="H45" s="29">
        <f>ROUND(SUMIF(Определители!I9:I11,"=4",'Базовые цены с учетом расхода'!AH9:AH11),0)</f>
        <v>0</v>
      </c>
      <c r="I45" s="29">
        <f>ROUND(SUMIF(Определители!I9:I11,"=4",'Базовые цены с учетом расхода'!V9:V11),0)</f>
        <v>0</v>
      </c>
      <c r="J45" s="30"/>
      <c r="K45" s="30"/>
      <c r="L45" s="29"/>
    </row>
    <row r="46" spans="1:12">
      <c r="A46" s="26">
        <v>37</v>
      </c>
      <c r="B46" s="9" t="s">
        <v>74</v>
      </c>
      <c r="C46" s="31" t="s">
        <v>275</v>
      </c>
      <c r="D46" s="34">
        <v>0</v>
      </c>
      <c r="F46" s="29">
        <f>ROUND(SUMIF(Определители!I9:I11,"=4",'Базовые цены с учетом расхода'!H9:H11),0)</f>
        <v>0</v>
      </c>
      <c r="G46" s="29"/>
      <c r="H46" s="29"/>
      <c r="I46" s="29"/>
      <c r="J46" s="30"/>
      <c r="K46" s="30"/>
      <c r="L46" s="29"/>
    </row>
    <row r="47" spans="1:12">
      <c r="A47" s="26">
        <v>38</v>
      </c>
      <c r="B47" s="9" t="s">
        <v>75</v>
      </c>
      <c r="C47" s="31" t="s">
        <v>275</v>
      </c>
      <c r="D47" s="34">
        <v>0</v>
      </c>
      <c r="F47" s="29">
        <f>ROUND(SUMIF(Определители!I9:I11,"=4",'Базовые цены с учетом расхода'!N9:N11),0)</f>
        <v>0</v>
      </c>
      <c r="G47" s="29"/>
      <c r="H47" s="29"/>
      <c r="I47" s="29"/>
      <c r="J47" s="30"/>
      <c r="K47" s="30"/>
      <c r="L47" s="29"/>
    </row>
    <row r="48" spans="1:12">
      <c r="A48" s="26">
        <v>39</v>
      </c>
      <c r="B48" s="9" t="s">
        <v>76</v>
      </c>
      <c r="C48" s="31" t="s">
        <v>275</v>
      </c>
      <c r="D48" s="34">
        <v>0</v>
      </c>
      <c r="F48" s="29">
        <f>ROUND(SUMIF(Определители!I9:I11,"=4",'Базовые цены с учетом расхода'!O9:O11),0)</f>
        <v>0</v>
      </c>
      <c r="G48" s="29"/>
      <c r="H48" s="29"/>
      <c r="I48" s="29"/>
      <c r="J48" s="30"/>
      <c r="K48" s="30"/>
      <c r="L48" s="29"/>
    </row>
    <row r="49" spans="1:12">
      <c r="A49" s="26">
        <v>40</v>
      </c>
      <c r="B49" s="9" t="s">
        <v>67</v>
      </c>
      <c r="C49" s="31" t="s">
        <v>275</v>
      </c>
      <c r="D49" s="34">
        <v>0</v>
      </c>
      <c r="F49" s="29" t="e">
        <f ca="1">ROUND(СУММПРОИЗВЕСЛИ(1,Определители!I9:I11," ",'Базовые цены с учетом расхода'!M9:M11,Начисления!I9:I11,0),0)</f>
        <v>#NAME?</v>
      </c>
      <c r="G49" s="29"/>
      <c r="H49" s="29"/>
      <c r="I49" s="29"/>
      <c r="J49" s="30"/>
      <c r="K49" s="30"/>
      <c r="L49" s="29"/>
    </row>
    <row r="50" spans="1:12">
      <c r="A50" s="26">
        <v>41</v>
      </c>
      <c r="B50" s="9" t="s">
        <v>87</v>
      </c>
      <c r="C50" s="31" t="s">
        <v>276</v>
      </c>
      <c r="D50" s="34">
        <v>0</v>
      </c>
      <c r="F50" s="29">
        <f>ROUND((F43+F47+F48),0)</f>
        <v>0</v>
      </c>
      <c r="G50" s="29"/>
      <c r="H50" s="29"/>
      <c r="I50" s="29"/>
      <c r="J50" s="30"/>
      <c r="K50" s="30"/>
      <c r="L50" s="29"/>
    </row>
    <row r="51" spans="1:12">
      <c r="A51" s="26">
        <v>42</v>
      </c>
      <c r="B51" s="9" t="s">
        <v>88</v>
      </c>
      <c r="C51" s="31" t="s">
        <v>275</v>
      </c>
      <c r="D51" s="34">
        <v>0</v>
      </c>
      <c r="F51" s="29">
        <f>ROUND(SUMIF(Определители!I9:I11,"=5",'Базовые цены с учетом расхода'!B9:B11),0)</f>
        <v>0</v>
      </c>
      <c r="G51" s="29">
        <f>ROUND(SUMIF(Определители!I9:I11,"=5",'Базовые цены с учетом расхода'!C9:C11),0)</f>
        <v>0</v>
      </c>
      <c r="H51" s="29">
        <f>ROUND(SUMIF(Определители!I9:I11,"=5",'Базовые цены с учетом расхода'!D9:D11),0)</f>
        <v>0</v>
      </c>
      <c r="I51" s="29">
        <f>ROUND(SUMIF(Определители!I9:I11,"=5",'Базовые цены с учетом расхода'!E9:E11),0)</f>
        <v>0</v>
      </c>
      <c r="J51" s="30">
        <f>ROUND(SUMIF(Определители!I9:I11,"=5",'Базовые цены с учетом расхода'!I9:I11),8)</f>
        <v>0</v>
      </c>
      <c r="K51" s="30">
        <f>ROUND(SUMIF(Определители!I9:I11,"=5",'Базовые цены с учетом расхода'!K9:K11),8)</f>
        <v>0</v>
      </c>
      <c r="L51" s="29">
        <f>ROUND(SUMIF(Определители!I9:I11,"=5",'Базовые цены с учетом расхода'!F9:F11),0)</f>
        <v>0</v>
      </c>
    </row>
    <row r="52" spans="1:12">
      <c r="A52" s="26">
        <v>43</v>
      </c>
      <c r="B52" s="9" t="s">
        <v>74</v>
      </c>
      <c r="C52" s="31" t="s">
        <v>275</v>
      </c>
      <c r="D52" s="34">
        <v>0</v>
      </c>
      <c r="F52" s="29">
        <f>ROUND(SUMIF(Определители!I9:I11,"=5",'Базовые цены с учетом расхода'!H9:H11),0)</f>
        <v>0</v>
      </c>
      <c r="G52" s="29"/>
      <c r="H52" s="29"/>
      <c r="I52" s="29"/>
      <c r="J52" s="30"/>
      <c r="K52" s="30"/>
      <c r="L52" s="29"/>
    </row>
    <row r="53" spans="1:12">
      <c r="A53" s="26">
        <v>44</v>
      </c>
      <c r="B53" s="9" t="s">
        <v>75</v>
      </c>
      <c r="C53" s="31" t="s">
        <v>275</v>
      </c>
      <c r="D53" s="34">
        <v>0</v>
      </c>
      <c r="F53" s="29">
        <f>ROUND(SUMIF(Определители!I9:I11,"=5",'Базовые цены с учетом расхода'!N9:N11),0)</f>
        <v>0</v>
      </c>
      <c r="G53" s="29"/>
      <c r="H53" s="29"/>
      <c r="I53" s="29"/>
      <c r="J53" s="30"/>
      <c r="K53" s="30"/>
      <c r="L53" s="29"/>
    </row>
    <row r="54" spans="1:12">
      <c r="A54" s="26">
        <v>45</v>
      </c>
      <c r="B54" s="9" t="s">
        <v>76</v>
      </c>
      <c r="C54" s="31" t="s">
        <v>275</v>
      </c>
      <c r="D54" s="34">
        <v>0</v>
      </c>
      <c r="F54" s="29">
        <f>ROUND(SUMIF(Определители!I9:I11,"=5",'Базовые цены с учетом расхода'!O9:O11),0)</f>
        <v>0</v>
      </c>
      <c r="G54" s="29"/>
      <c r="H54" s="29"/>
      <c r="I54" s="29"/>
      <c r="J54" s="30"/>
      <c r="K54" s="30"/>
      <c r="L54" s="29"/>
    </row>
    <row r="55" spans="1:12">
      <c r="A55" s="26">
        <v>46</v>
      </c>
      <c r="B55" s="9" t="s">
        <v>89</v>
      </c>
      <c r="C55" s="31" t="s">
        <v>276</v>
      </c>
      <c r="D55" s="34">
        <v>0</v>
      </c>
      <c r="F55" s="29">
        <f>ROUND((F51+F53+F54),0)</f>
        <v>0</v>
      </c>
      <c r="G55" s="29"/>
      <c r="H55" s="29"/>
      <c r="I55" s="29"/>
      <c r="J55" s="30"/>
      <c r="K55" s="30"/>
      <c r="L55" s="29"/>
    </row>
    <row r="56" spans="1:12">
      <c r="A56" s="26">
        <v>47</v>
      </c>
      <c r="B56" s="9" t="s">
        <v>90</v>
      </c>
      <c r="C56" s="31" t="s">
        <v>275</v>
      </c>
      <c r="D56" s="34">
        <v>0</v>
      </c>
      <c r="F56" s="29">
        <f>ROUND(SUMIF(Определители!I9:I11,"=6",'Базовые цены с учетом расхода'!B9:B11),0)</f>
        <v>0</v>
      </c>
      <c r="G56" s="29">
        <f>ROUND(SUMIF(Определители!I9:I11,"=6",'Базовые цены с учетом расхода'!C9:C11),0)</f>
        <v>0</v>
      </c>
      <c r="H56" s="29">
        <f>ROUND(SUMIF(Определители!I9:I11,"=6",'Базовые цены с учетом расхода'!D9:D11),0)</f>
        <v>0</v>
      </c>
      <c r="I56" s="29">
        <f>ROUND(SUMIF(Определители!I9:I11,"=6",'Базовые цены с учетом расхода'!E9:E11),0)</f>
        <v>0</v>
      </c>
      <c r="J56" s="30">
        <f>ROUND(SUMIF(Определители!I9:I11,"=6",'Базовые цены с учетом расхода'!I9:I11),8)</f>
        <v>0</v>
      </c>
      <c r="K56" s="30">
        <f>ROUND(SUMIF(Определители!I9:I11,"=6",'Базовые цены с учетом расхода'!K9:K11),8)</f>
        <v>0</v>
      </c>
      <c r="L56" s="29">
        <f>ROUND(SUMIF(Определители!I9:I11,"=6",'Базовые цены с учетом расхода'!F9:F11),0)</f>
        <v>0</v>
      </c>
    </row>
    <row r="57" spans="1:12">
      <c r="A57" s="26">
        <v>48</v>
      </c>
      <c r="B57" s="9" t="s">
        <v>74</v>
      </c>
      <c r="C57" s="31" t="s">
        <v>275</v>
      </c>
      <c r="D57" s="34">
        <v>0</v>
      </c>
      <c r="F57" s="29">
        <f>ROUND(SUMIF(Определители!I9:I11,"=6",'Базовые цены с учетом расхода'!H9:H11),0)</f>
        <v>0</v>
      </c>
      <c r="G57" s="29"/>
      <c r="H57" s="29"/>
      <c r="I57" s="29"/>
      <c r="J57" s="30"/>
      <c r="K57" s="30"/>
      <c r="L57" s="29"/>
    </row>
    <row r="58" spans="1:12">
      <c r="A58" s="26">
        <v>49</v>
      </c>
      <c r="B58" s="9" t="s">
        <v>75</v>
      </c>
      <c r="C58" s="31" t="s">
        <v>275</v>
      </c>
      <c r="D58" s="34">
        <v>0</v>
      </c>
      <c r="F58" s="29">
        <f>ROUND(SUMIF(Определители!I9:I11,"=6",'Базовые цены с учетом расхода'!N9:N11),0)</f>
        <v>0</v>
      </c>
      <c r="G58" s="29"/>
      <c r="H58" s="29"/>
      <c r="I58" s="29"/>
      <c r="J58" s="30"/>
      <c r="K58" s="30"/>
      <c r="L58" s="29"/>
    </row>
    <row r="59" spans="1:12">
      <c r="A59" s="26">
        <v>50</v>
      </c>
      <c r="B59" s="9" t="s">
        <v>76</v>
      </c>
      <c r="C59" s="31" t="s">
        <v>275</v>
      </c>
      <c r="D59" s="34">
        <v>0</v>
      </c>
      <c r="F59" s="29">
        <f>ROUND(SUMIF(Определители!I9:I11,"=6",'Базовые цены с учетом расхода'!O9:O11),0)</f>
        <v>0</v>
      </c>
      <c r="G59" s="29"/>
      <c r="H59" s="29"/>
      <c r="I59" s="29"/>
      <c r="J59" s="30"/>
      <c r="K59" s="30"/>
      <c r="L59" s="29"/>
    </row>
    <row r="60" spans="1:12">
      <c r="A60" s="26">
        <v>51</v>
      </c>
      <c r="B60" s="9" t="s">
        <v>91</v>
      </c>
      <c r="C60" s="31" t="s">
        <v>276</v>
      </c>
      <c r="D60" s="34">
        <v>0</v>
      </c>
      <c r="F60" s="29">
        <f>ROUND((F56+F58+F59),0)</f>
        <v>0</v>
      </c>
      <c r="G60" s="29"/>
      <c r="H60" s="29"/>
      <c r="I60" s="29"/>
      <c r="J60" s="30"/>
      <c r="K60" s="30"/>
      <c r="L60" s="29"/>
    </row>
    <row r="61" spans="1:12">
      <c r="A61" s="26">
        <v>52</v>
      </c>
      <c r="B61" s="9" t="s">
        <v>92</v>
      </c>
      <c r="C61" s="31" t="s">
        <v>275</v>
      </c>
      <c r="D61" s="34">
        <v>0</v>
      </c>
      <c r="F61" s="29">
        <f>ROUND(SUMIF(Определители!I9:I11,"=7",'Базовые цены с учетом расхода'!B9:B11),0)</f>
        <v>0</v>
      </c>
      <c r="G61" s="29">
        <f>ROUND(SUMIF(Определители!I9:I11,"=7",'Базовые цены с учетом расхода'!C9:C11),0)</f>
        <v>0</v>
      </c>
      <c r="H61" s="29">
        <f>ROUND(SUMIF(Определители!I9:I11,"=7",'Базовые цены с учетом расхода'!D9:D11),0)</f>
        <v>0</v>
      </c>
      <c r="I61" s="29">
        <f>ROUND(SUMIF(Определители!I9:I11,"=7",'Базовые цены с учетом расхода'!E9:E11),0)</f>
        <v>0</v>
      </c>
      <c r="J61" s="30">
        <f>ROUND(SUMIF(Определители!I9:I11,"=7",'Базовые цены с учетом расхода'!I9:I11),8)</f>
        <v>0</v>
      </c>
      <c r="K61" s="30">
        <f>ROUND(SUMIF(Определители!I9:I11,"=7",'Базовые цены с учетом расхода'!K9:K11),8)</f>
        <v>0</v>
      </c>
      <c r="L61" s="29">
        <f>ROUND(SUMIF(Определители!I9:I11,"=7",'Базовые цены с учетом расхода'!F9:F11),0)</f>
        <v>0</v>
      </c>
    </row>
    <row r="62" spans="1:12">
      <c r="A62" s="26">
        <v>53</v>
      </c>
      <c r="B62" s="9" t="s">
        <v>70</v>
      </c>
      <c r="C62" s="31" t="s">
        <v>275</v>
      </c>
      <c r="D62" s="34">
        <v>0</v>
      </c>
      <c r="F62" s="29"/>
      <c r="G62" s="29"/>
      <c r="H62" s="29"/>
      <c r="I62" s="29"/>
      <c r="J62" s="30"/>
      <c r="K62" s="30"/>
      <c r="L62" s="29"/>
    </row>
    <row r="63" spans="1:12">
      <c r="A63" s="26">
        <v>54</v>
      </c>
      <c r="B63" s="9" t="s">
        <v>79</v>
      </c>
      <c r="C63" s="31" t="s">
        <v>275</v>
      </c>
      <c r="D63" s="34">
        <v>0</v>
      </c>
      <c r="F63" s="29" t="e">
        <f ca="1">ROUND(СУММЕСЛИ2(Определители!I9:I11,"2",Определители!G9:G11,"1",'Базовые цены с учетом расхода'!B9:B11),0)</f>
        <v>#NAME?</v>
      </c>
      <c r="G63" s="29"/>
      <c r="H63" s="29"/>
      <c r="I63" s="29"/>
      <c r="J63" s="30"/>
      <c r="K63" s="30"/>
      <c r="L63" s="29"/>
    </row>
    <row r="64" spans="1:12">
      <c r="A64" s="26">
        <v>55</v>
      </c>
      <c r="B64" s="9" t="s">
        <v>74</v>
      </c>
      <c r="C64" s="31" t="s">
        <v>275</v>
      </c>
      <c r="D64" s="34">
        <v>0</v>
      </c>
      <c r="F64" s="29">
        <f>ROUND(SUMIF(Определители!I9:I11,"=7",'Базовые цены с учетом расхода'!H9:H11),0)</f>
        <v>0</v>
      </c>
      <c r="G64" s="29"/>
      <c r="H64" s="29"/>
      <c r="I64" s="29"/>
      <c r="J64" s="30"/>
      <c r="K64" s="30"/>
      <c r="L64" s="29"/>
    </row>
    <row r="65" spans="1:12">
      <c r="A65" s="26">
        <v>56</v>
      </c>
      <c r="B65" s="9" t="s">
        <v>75</v>
      </c>
      <c r="C65" s="31" t="s">
        <v>275</v>
      </c>
      <c r="D65" s="34">
        <v>0</v>
      </c>
      <c r="F65" s="29">
        <f>ROUND(SUMIF(Определители!I9:I11,"=7",'Базовые цены с учетом расхода'!N9:N11),0)</f>
        <v>0</v>
      </c>
      <c r="G65" s="29"/>
      <c r="H65" s="29"/>
      <c r="I65" s="29"/>
      <c r="J65" s="30"/>
      <c r="K65" s="30"/>
      <c r="L65" s="29"/>
    </row>
    <row r="66" spans="1:12">
      <c r="A66" s="26">
        <v>57</v>
      </c>
      <c r="B66" s="9" t="s">
        <v>76</v>
      </c>
      <c r="C66" s="31" t="s">
        <v>275</v>
      </c>
      <c r="D66" s="34">
        <v>0</v>
      </c>
      <c r="F66" s="29">
        <f>ROUND(SUMIF(Определители!I9:I11,"=7",'Базовые цены с учетом расхода'!O9:O11),0)</f>
        <v>0</v>
      </c>
      <c r="G66" s="29"/>
      <c r="H66" s="29"/>
      <c r="I66" s="29"/>
      <c r="J66" s="30"/>
      <c r="K66" s="30"/>
      <c r="L66" s="29"/>
    </row>
    <row r="67" spans="1:12">
      <c r="A67" s="26">
        <v>58</v>
      </c>
      <c r="B67" s="9" t="s">
        <v>93</v>
      </c>
      <c r="C67" s="31" t="s">
        <v>276</v>
      </c>
      <c r="D67" s="34">
        <v>0</v>
      </c>
      <c r="F67" s="29">
        <f>ROUND((F61+F65+F66),0)</f>
        <v>0</v>
      </c>
      <c r="G67" s="29"/>
      <c r="H67" s="29"/>
      <c r="I67" s="29"/>
      <c r="J67" s="30"/>
      <c r="K67" s="30"/>
      <c r="L67" s="29"/>
    </row>
    <row r="68" spans="1:12">
      <c r="A68" s="26">
        <v>59</v>
      </c>
      <c r="B68" s="9" t="s">
        <v>94</v>
      </c>
      <c r="C68" s="31" t="s">
        <v>275</v>
      </c>
      <c r="D68" s="34">
        <v>0</v>
      </c>
      <c r="F68" s="29">
        <f>ROUND(SUMIF(Определители!I9:I11,"=;",'Базовые цены с учетом расхода'!B9:B11),0)</f>
        <v>0</v>
      </c>
      <c r="G68" s="29">
        <f>ROUND(SUMIF(Определители!I9:I11,"=;",'Базовые цены с учетом расхода'!C9:C11),0)</f>
        <v>0</v>
      </c>
      <c r="H68" s="29">
        <f>ROUND(SUMIF(Определители!I9:I11,"=;",'Базовые цены с учетом расхода'!D9:D11),0)</f>
        <v>0</v>
      </c>
      <c r="I68" s="29">
        <f>ROUND(SUMIF(Определители!I9:I11,"=;",'Базовые цены с учетом расхода'!E9:E11),0)</f>
        <v>0</v>
      </c>
      <c r="J68" s="30">
        <f>ROUND(SUMIF(Определители!I9:I11,"=;",'Базовые цены с учетом расхода'!I9:I11),8)</f>
        <v>0</v>
      </c>
      <c r="K68" s="30">
        <f>ROUND(SUMIF(Определители!I9:I11,"=;",'Базовые цены с учетом расхода'!K9:K11),8)</f>
        <v>0</v>
      </c>
      <c r="L68" s="29">
        <f>ROUND(SUMIF(Определители!I9:I11,"=;",'Базовые цены с учетом расхода'!F9:F11),0)</f>
        <v>0</v>
      </c>
    </row>
    <row r="69" spans="1:12">
      <c r="A69" s="26">
        <v>60</v>
      </c>
      <c r="B69" s="9" t="s">
        <v>95</v>
      </c>
      <c r="C69" s="31" t="s">
        <v>275</v>
      </c>
      <c r="D69" s="34">
        <v>0</v>
      </c>
      <c r="F69" s="29">
        <f>ROUND(SUMIF(Определители!I9:I11,"=;",'Базовые цены с учетом расхода'!AF9:AF11),0)</f>
        <v>0</v>
      </c>
      <c r="G69" s="29"/>
      <c r="H69" s="29"/>
      <c r="I69" s="29"/>
      <c r="J69" s="30"/>
      <c r="K69" s="30"/>
      <c r="L69" s="29"/>
    </row>
    <row r="70" spans="1:12">
      <c r="A70" s="26">
        <v>61</v>
      </c>
      <c r="B70" s="9" t="s">
        <v>96</v>
      </c>
      <c r="C70" s="31" t="s">
        <v>275</v>
      </c>
      <c r="D70" s="34">
        <v>0</v>
      </c>
      <c r="F70" s="29">
        <f>ROUND(SUMIF(Определители!I9:I11,"=;",'Базовые цены с учетом расхода'!AG9:AG11),0)</f>
        <v>0</v>
      </c>
      <c r="G70" s="29"/>
      <c r="H70" s="29"/>
      <c r="I70" s="29"/>
      <c r="J70" s="30"/>
      <c r="K70" s="30"/>
      <c r="L70" s="29"/>
    </row>
    <row r="71" spans="1:12">
      <c r="A71" s="26">
        <v>62</v>
      </c>
      <c r="B71" s="9" t="s">
        <v>75</v>
      </c>
      <c r="C71" s="31" t="s">
        <v>275</v>
      </c>
      <c r="D71" s="34">
        <v>0</v>
      </c>
      <c r="F71" s="29">
        <f>ROUND(SUMIF(Определители!I9:I11,"=;",'Базовые цены с учетом расхода'!N9:N11),0)</f>
        <v>0</v>
      </c>
      <c r="G71" s="29"/>
      <c r="H71" s="29"/>
      <c r="I71" s="29"/>
      <c r="J71" s="30"/>
      <c r="K71" s="30"/>
      <c r="L71" s="29"/>
    </row>
    <row r="72" spans="1:12">
      <c r="A72" s="26">
        <v>63</v>
      </c>
      <c r="B72" s="9" t="s">
        <v>76</v>
      </c>
      <c r="C72" s="31" t="s">
        <v>275</v>
      </c>
      <c r="D72" s="34">
        <v>0</v>
      </c>
      <c r="F72" s="29">
        <f>ROUND(SUMIF(Определители!I9:I11,"=;",'Базовые цены с учетом расхода'!O9:O11),0)</f>
        <v>0</v>
      </c>
      <c r="G72" s="29"/>
      <c r="H72" s="29"/>
      <c r="I72" s="29"/>
      <c r="J72" s="30"/>
      <c r="K72" s="30"/>
      <c r="L72" s="29"/>
    </row>
    <row r="73" spans="1:12">
      <c r="A73" s="26">
        <v>64</v>
      </c>
      <c r="B73" s="9" t="s">
        <v>97</v>
      </c>
      <c r="C73" s="31" t="s">
        <v>276</v>
      </c>
      <c r="D73" s="34">
        <v>0</v>
      </c>
      <c r="F73" s="29">
        <f>ROUND((F68+F71+F72),0)</f>
        <v>0</v>
      </c>
      <c r="G73" s="29"/>
      <c r="H73" s="29"/>
      <c r="I73" s="29"/>
      <c r="J73" s="30"/>
      <c r="K73" s="30"/>
      <c r="L73" s="29"/>
    </row>
    <row r="74" spans="1:12">
      <c r="A74" s="26">
        <v>65</v>
      </c>
      <c r="B74" s="9" t="s">
        <v>98</v>
      </c>
      <c r="C74" s="31" t="s">
        <v>275</v>
      </c>
      <c r="D74" s="34">
        <v>0</v>
      </c>
      <c r="F74" s="29">
        <f>ROUND(SUMIF(Определители!I9:I11,"=9",'Базовые цены с учетом расхода'!B9:B11),0)</f>
        <v>0</v>
      </c>
      <c r="G74" s="29">
        <f>ROUND(SUMIF(Определители!I9:I11,"=9",'Базовые цены с учетом расхода'!C9:C11),0)</f>
        <v>0</v>
      </c>
      <c r="H74" s="29">
        <f>ROUND(SUMIF(Определители!I9:I11,"=9",'Базовые цены с учетом расхода'!D9:D11),0)</f>
        <v>0</v>
      </c>
      <c r="I74" s="29">
        <f>ROUND(SUMIF(Определители!I9:I11,"=9",'Базовые цены с учетом расхода'!E9:E11),0)</f>
        <v>0</v>
      </c>
      <c r="J74" s="30">
        <f>ROUND(SUMIF(Определители!I9:I11,"=9",'Базовые цены с учетом расхода'!I9:I11),8)</f>
        <v>0</v>
      </c>
      <c r="K74" s="30">
        <f>ROUND(SUMIF(Определители!I9:I11,"=9",'Базовые цены с учетом расхода'!K9:K11),8)</f>
        <v>0</v>
      </c>
      <c r="L74" s="29">
        <f>ROUND(SUMIF(Определители!I9:I11,"=9",'Базовые цены с учетом расхода'!F9:F11),0)</f>
        <v>0</v>
      </c>
    </row>
    <row r="75" spans="1:12">
      <c r="A75" s="26">
        <v>66</v>
      </c>
      <c r="B75" s="9" t="s">
        <v>75</v>
      </c>
      <c r="C75" s="31" t="s">
        <v>275</v>
      </c>
      <c r="D75" s="34">
        <v>0</v>
      </c>
      <c r="F75" s="29">
        <f>ROUND(SUMIF(Определители!I9:I11,"=9",'Базовые цены с учетом расхода'!N9:N11),0)</f>
        <v>0</v>
      </c>
      <c r="G75" s="29"/>
      <c r="H75" s="29"/>
      <c r="I75" s="29"/>
      <c r="J75" s="30"/>
      <c r="K75" s="30"/>
      <c r="L75" s="29"/>
    </row>
    <row r="76" spans="1:12">
      <c r="A76" s="26">
        <v>67</v>
      </c>
      <c r="B76" s="9" t="s">
        <v>76</v>
      </c>
      <c r="C76" s="31" t="s">
        <v>275</v>
      </c>
      <c r="D76" s="34">
        <v>0</v>
      </c>
      <c r="F76" s="29">
        <f>ROUND(SUMIF(Определители!I9:I11,"=9",'Базовые цены с учетом расхода'!O9:O11),0)</f>
        <v>0</v>
      </c>
      <c r="G76" s="29"/>
      <c r="H76" s="29"/>
      <c r="I76" s="29"/>
      <c r="J76" s="30"/>
      <c r="K76" s="30"/>
      <c r="L76" s="29"/>
    </row>
    <row r="77" spans="1:12">
      <c r="A77" s="26">
        <v>68</v>
      </c>
      <c r="B77" s="9" t="s">
        <v>99</v>
      </c>
      <c r="C77" s="31" t="s">
        <v>276</v>
      </c>
      <c r="D77" s="34">
        <v>0</v>
      </c>
      <c r="F77" s="29">
        <f>ROUND((F74+F75+F76),0)</f>
        <v>0</v>
      </c>
      <c r="G77" s="29"/>
      <c r="H77" s="29"/>
      <c r="I77" s="29"/>
      <c r="J77" s="30"/>
      <c r="K77" s="30"/>
      <c r="L77" s="29"/>
    </row>
    <row r="78" spans="1:12">
      <c r="A78" s="26">
        <v>69</v>
      </c>
      <c r="B78" s="9" t="s">
        <v>100</v>
      </c>
      <c r="C78" s="31" t="s">
        <v>275</v>
      </c>
      <c r="D78" s="34">
        <v>0</v>
      </c>
      <c r="F78" s="29">
        <f>ROUND(SUMIF(Определители!I9:I11,"=:",'Базовые цены с учетом расхода'!B9:B11),0)</f>
        <v>0</v>
      </c>
      <c r="G78" s="29">
        <f>ROUND(SUMIF(Определители!I9:I11,"=:",'Базовые цены с учетом расхода'!C9:C11),0)</f>
        <v>0</v>
      </c>
      <c r="H78" s="29">
        <f>ROUND(SUMIF(Определители!I9:I11,"=:",'Базовые цены с учетом расхода'!D9:D11),0)</f>
        <v>0</v>
      </c>
      <c r="I78" s="29">
        <f>ROUND(SUMIF(Определители!I9:I11,"=:",'Базовые цены с учетом расхода'!E9:E11),0)</f>
        <v>0</v>
      </c>
      <c r="J78" s="30">
        <f>ROUND(SUMIF(Определители!I9:I11,"=:",'Базовые цены с учетом расхода'!I9:I11),8)</f>
        <v>0</v>
      </c>
      <c r="K78" s="30">
        <f>ROUND(SUMIF(Определители!I9:I11,"=:",'Базовые цены с учетом расхода'!K9:K11),8)</f>
        <v>0</v>
      </c>
      <c r="L78" s="29">
        <f>ROUND(SUMIF(Определители!I9:I11,"=:",'Базовые цены с учетом расхода'!F9:F11),0)</f>
        <v>0</v>
      </c>
    </row>
    <row r="79" spans="1:12">
      <c r="A79" s="26">
        <v>70</v>
      </c>
      <c r="B79" s="9" t="s">
        <v>74</v>
      </c>
      <c r="C79" s="31" t="s">
        <v>275</v>
      </c>
      <c r="D79" s="34">
        <v>0</v>
      </c>
      <c r="F79" s="29">
        <f>ROUND(SUMIF(Определители!I9:I11,"=:",'Базовые цены с учетом расхода'!H9:H11),0)</f>
        <v>0</v>
      </c>
      <c r="G79" s="29"/>
      <c r="H79" s="29"/>
      <c r="I79" s="29"/>
      <c r="J79" s="30"/>
      <c r="K79" s="30"/>
      <c r="L79" s="29"/>
    </row>
    <row r="80" spans="1:12">
      <c r="A80" s="26">
        <v>71</v>
      </c>
      <c r="B80" s="9" t="s">
        <v>75</v>
      </c>
      <c r="C80" s="31" t="s">
        <v>275</v>
      </c>
      <c r="D80" s="34">
        <v>0</v>
      </c>
      <c r="F80" s="29">
        <f>ROUND(SUMIF(Определители!I9:I11,"=:",'Базовые цены с учетом расхода'!N9:N11),0)</f>
        <v>0</v>
      </c>
      <c r="G80" s="29"/>
      <c r="H80" s="29"/>
      <c r="I80" s="29"/>
      <c r="J80" s="30"/>
      <c r="K80" s="30"/>
      <c r="L80" s="29"/>
    </row>
    <row r="81" spans="1:12">
      <c r="A81" s="26">
        <v>72</v>
      </c>
      <c r="B81" s="9" t="s">
        <v>76</v>
      </c>
      <c r="C81" s="31" t="s">
        <v>275</v>
      </c>
      <c r="D81" s="34">
        <v>0</v>
      </c>
      <c r="F81" s="29">
        <f>ROUND(SUMIF(Определители!I9:I11,"=:",'Базовые цены с учетом расхода'!O9:O11),0)</f>
        <v>0</v>
      </c>
      <c r="G81" s="29"/>
      <c r="H81" s="29"/>
      <c r="I81" s="29"/>
      <c r="J81" s="30"/>
      <c r="K81" s="30"/>
      <c r="L81" s="29"/>
    </row>
    <row r="82" spans="1:12">
      <c r="A82" s="26">
        <v>73</v>
      </c>
      <c r="B82" s="9" t="s">
        <v>101</v>
      </c>
      <c r="C82" s="31" t="s">
        <v>276</v>
      </c>
      <c r="D82" s="34">
        <v>0</v>
      </c>
      <c r="F82" s="29">
        <f>ROUND((F78+F80+F81),0)</f>
        <v>0</v>
      </c>
      <c r="G82" s="29"/>
      <c r="H82" s="29"/>
      <c r="I82" s="29"/>
      <c r="J82" s="30"/>
      <c r="K82" s="30"/>
      <c r="L82" s="29"/>
    </row>
    <row r="83" spans="1:12">
      <c r="A83" s="26">
        <v>74</v>
      </c>
      <c r="B83" s="9" t="s">
        <v>102</v>
      </c>
      <c r="C83" s="31" t="s">
        <v>275</v>
      </c>
      <c r="D83" s="34">
        <v>0</v>
      </c>
      <c r="F83" s="29">
        <f>ROUND(SUMIF(Определители!I9:I11,"=8",'Базовые цены с учетом расхода'!B9:B11),0)</f>
        <v>0</v>
      </c>
      <c r="G83" s="29">
        <f>ROUND(SUMIF(Определители!I9:I11,"=8",'Базовые цены с учетом расхода'!C9:C11),0)</f>
        <v>0</v>
      </c>
      <c r="H83" s="29">
        <f>ROUND(SUMIF(Определители!I9:I11,"=8",'Базовые цены с учетом расхода'!D9:D11),0)</f>
        <v>0</v>
      </c>
      <c r="I83" s="29">
        <f>ROUND(SUMIF(Определители!I9:I11,"=8",'Базовые цены с учетом расхода'!E9:E11),0)</f>
        <v>0</v>
      </c>
      <c r="J83" s="30">
        <f>ROUND(SUMIF(Определители!I9:I11,"=8",'Базовые цены с учетом расхода'!I9:I11),8)</f>
        <v>0</v>
      </c>
      <c r="K83" s="30">
        <f>ROUND(SUMIF(Определители!I9:I11,"=8",'Базовые цены с учетом расхода'!K9:K11),8)</f>
        <v>0</v>
      </c>
      <c r="L83" s="29">
        <f>ROUND(SUMIF(Определители!I9:I11,"=8",'Базовые цены с учетом расхода'!F9:F11),0)</f>
        <v>0</v>
      </c>
    </row>
    <row r="84" spans="1:12">
      <c r="A84" s="26">
        <v>75</v>
      </c>
      <c r="B84" s="9" t="s">
        <v>74</v>
      </c>
      <c r="C84" s="31" t="s">
        <v>275</v>
      </c>
      <c r="D84" s="34">
        <v>0</v>
      </c>
      <c r="F84" s="29">
        <f>ROUND(SUMIF(Определители!I9:I11,"=8",'Базовые цены с учетом расхода'!H9:H11),0)</f>
        <v>0</v>
      </c>
      <c r="G84" s="29"/>
      <c r="H84" s="29"/>
      <c r="I84" s="29"/>
      <c r="J84" s="30"/>
      <c r="K84" s="30"/>
      <c r="L84" s="29"/>
    </row>
    <row r="85" spans="1:12">
      <c r="A85" s="26">
        <v>76</v>
      </c>
      <c r="B85" s="9" t="s">
        <v>158</v>
      </c>
      <c r="C85" s="31" t="s">
        <v>276</v>
      </c>
      <c r="D85" s="34">
        <v>0</v>
      </c>
      <c r="F85" s="29" t="e">
        <f ca="1">ROUND((F20+F30+F37+F42+F50+F55+F60+F67+F77+F82+F83+F73),0)</f>
        <v>#NAME?</v>
      </c>
      <c r="G85" s="29">
        <f>ROUND((G20+G30+G37+G42+G50+G55+G60+G67+G77+G82+G83+G73),0)</f>
        <v>0</v>
      </c>
      <c r="H85" s="29">
        <f>ROUND((H20+H30+H37+H42+H50+H55+H60+H67+H77+H82+H83+H73),0)</f>
        <v>0</v>
      </c>
      <c r="I85" s="29">
        <f>ROUND((I20+I30+I37+I42+I50+I55+I60+I67+I77+I82+I83+I73),0)</f>
        <v>0</v>
      </c>
      <c r="J85" s="30">
        <f>ROUND((J20+J30+J37+J42+J50+J55+J60+J67+J77+J82+J83+J73),8)</f>
        <v>0</v>
      </c>
      <c r="K85" s="30">
        <f>ROUND((K20+K30+K37+K42+K50+K55+K60+K67+K77+K82+K83+K73),8)</f>
        <v>0</v>
      </c>
      <c r="L85" s="29">
        <f>ROUND((L20+L30+L37+L42+L50+L55+L60+L67+L77+L82+L83+L73),0)</f>
        <v>0</v>
      </c>
    </row>
    <row r="86" spans="1:12">
      <c r="A86" s="26">
        <v>77</v>
      </c>
      <c r="B86" s="9" t="s">
        <v>104</v>
      </c>
      <c r="C86" s="31" t="s">
        <v>276</v>
      </c>
      <c r="D86" s="34">
        <v>0</v>
      </c>
      <c r="F86" s="29">
        <f>ROUND((F26+F34+F39+F46+F52+F57+F64+F79+F84),0)</f>
        <v>0</v>
      </c>
      <c r="G86" s="29"/>
      <c r="H86" s="29"/>
      <c r="I86" s="29"/>
      <c r="J86" s="30"/>
      <c r="K86" s="30"/>
      <c r="L86" s="29"/>
    </row>
    <row r="87" spans="1:12">
      <c r="A87" s="26">
        <v>78</v>
      </c>
      <c r="B87" s="9" t="s">
        <v>105</v>
      </c>
      <c r="C87" s="31" t="s">
        <v>276</v>
      </c>
      <c r="D87" s="34">
        <v>0</v>
      </c>
      <c r="F87" s="29">
        <f>ROUND((F27+F35+F40+F47+F53+F58+F65+F75+F80+F71),0)</f>
        <v>317</v>
      </c>
      <c r="G87" s="29"/>
      <c r="H87" s="29"/>
      <c r="I87" s="29"/>
      <c r="J87" s="30"/>
      <c r="K87" s="30"/>
      <c r="L87" s="29"/>
    </row>
    <row r="88" spans="1:12">
      <c r="A88" s="26">
        <v>79</v>
      </c>
      <c r="B88" s="9" t="s">
        <v>106</v>
      </c>
      <c r="C88" s="31" t="s">
        <v>276</v>
      </c>
      <c r="D88" s="34">
        <v>0</v>
      </c>
      <c r="F88" s="29">
        <f>ROUND((F28+F36+F41+F48+F54+F59+F66+F76+F81+F72),0)</f>
        <v>234</v>
      </c>
      <c r="G88" s="29"/>
      <c r="H88" s="29"/>
      <c r="I88" s="29"/>
      <c r="J88" s="30"/>
      <c r="K88" s="30"/>
      <c r="L88" s="29"/>
    </row>
    <row r="89" spans="1:12">
      <c r="A89" s="26">
        <v>80</v>
      </c>
      <c r="B89" s="9" t="s">
        <v>33</v>
      </c>
      <c r="C89" s="31" t="s">
        <v>277</v>
      </c>
      <c r="D89" s="34">
        <v>0</v>
      </c>
      <c r="F89" s="29">
        <f>ROUND(SUM('Базовые цены с учетом расхода'!X9:X11),0)</f>
        <v>0</v>
      </c>
      <c r="G89" s="29"/>
      <c r="H89" s="29"/>
      <c r="I89" s="29"/>
      <c r="J89" s="30"/>
      <c r="K89" s="30"/>
      <c r="L89" s="29">
        <f>ROUND(SUM('Базовые цены с учетом расхода'!X9:X11),0)</f>
        <v>0</v>
      </c>
    </row>
    <row r="90" spans="1:12">
      <c r="A90" s="26">
        <v>81</v>
      </c>
      <c r="B90" s="9" t="s">
        <v>107</v>
      </c>
      <c r="C90" s="31" t="s">
        <v>277</v>
      </c>
      <c r="D90" s="34">
        <v>0</v>
      </c>
      <c r="F90" s="29">
        <f>ROUND(SUM(G90:N90),0)</f>
        <v>0</v>
      </c>
      <c r="G90" s="29"/>
      <c r="H90" s="29"/>
      <c r="I90" s="29"/>
      <c r="J90" s="30"/>
      <c r="K90" s="30"/>
      <c r="L90" s="29">
        <f>ROUND(SUM('Базовые цены с учетом расхода'!AE9:AE11),0)</f>
        <v>0</v>
      </c>
    </row>
    <row r="91" spans="1:12">
      <c r="A91" s="26">
        <v>82</v>
      </c>
      <c r="B91" s="9" t="s">
        <v>108</v>
      </c>
      <c r="C91" s="31" t="s">
        <v>277</v>
      </c>
      <c r="D91" s="34">
        <v>0</v>
      </c>
      <c r="F91" s="29">
        <f>ROUND(SUM('Базовые цены с учетом расхода'!C9:C11),0)</f>
        <v>366</v>
      </c>
      <c r="G91" s="29"/>
      <c r="H91" s="29"/>
      <c r="I91" s="29"/>
      <c r="J91" s="30"/>
      <c r="K91" s="30"/>
      <c r="L91" s="29"/>
    </row>
    <row r="92" spans="1:12">
      <c r="A92" s="26">
        <v>83</v>
      </c>
      <c r="B92" s="9" t="s">
        <v>109</v>
      </c>
      <c r="C92" s="31" t="s">
        <v>277</v>
      </c>
      <c r="D92" s="34">
        <v>0</v>
      </c>
      <c r="F92" s="29">
        <f>ROUND(SUM('Базовые цены с учетом расхода'!E9:E11),0)</f>
        <v>3</v>
      </c>
      <c r="G92" s="29"/>
      <c r="H92" s="29"/>
      <c r="I92" s="29"/>
      <c r="J92" s="30"/>
      <c r="K92" s="30"/>
      <c r="L92" s="29"/>
    </row>
    <row r="93" spans="1:12">
      <c r="A93" s="26">
        <v>84</v>
      </c>
      <c r="B93" s="9" t="s">
        <v>110</v>
      </c>
      <c r="C93" s="31" t="s">
        <v>278</v>
      </c>
      <c r="D93" s="34">
        <v>0</v>
      </c>
      <c r="F93" s="29">
        <f>ROUND((F91+F92),0)</f>
        <v>369</v>
      </c>
      <c r="G93" s="29"/>
      <c r="H93" s="29"/>
      <c r="I93" s="29"/>
      <c r="J93" s="30"/>
      <c r="K93" s="30"/>
      <c r="L93" s="29"/>
    </row>
    <row r="94" spans="1:12">
      <c r="A94" s="26">
        <v>85</v>
      </c>
      <c r="B94" s="9" t="s">
        <v>111</v>
      </c>
      <c r="C94" s="31" t="s">
        <v>277</v>
      </c>
      <c r="D94" s="34">
        <v>0</v>
      </c>
      <c r="F94" s="29"/>
      <c r="G94" s="29"/>
      <c r="H94" s="29"/>
      <c r="I94" s="29"/>
      <c r="J94" s="30" t="e">
        <f ca="1">ROUND(SUM('Базовые цены с учетом расхода'!I9:I11),8)</f>
        <v>#NAME?</v>
      </c>
      <c r="K94" s="30"/>
      <c r="L94" s="29"/>
    </row>
    <row r="95" spans="1:12">
      <c r="A95" s="26">
        <v>86</v>
      </c>
      <c r="B95" s="9" t="s">
        <v>112</v>
      </c>
      <c r="C95" s="31" t="s">
        <v>277</v>
      </c>
      <c r="D95" s="34">
        <v>0</v>
      </c>
      <c r="F95" s="29"/>
      <c r="G95" s="29"/>
      <c r="H95" s="29"/>
      <c r="I95" s="29"/>
      <c r="J95" s="30" t="e">
        <f ca="1">ROUND(SUM('Базовые цены с учетом расхода'!K9:K11),8)</f>
        <v>#NAME?</v>
      </c>
      <c r="K95" s="30"/>
      <c r="L95" s="29"/>
    </row>
    <row r="96" spans="1:12">
      <c r="A96" s="26">
        <v>87</v>
      </c>
      <c r="B96" s="9" t="s">
        <v>113</v>
      </c>
      <c r="C96" s="31" t="s">
        <v>278</v>
      </c>
      <c r="D96" s="34">
        <v>0</v>
      </c>
      <c r="F96" s="29"/>
      <c r="G96" s="29"/>
      <c r="H96" s="29"/>
      <c r="I96" s="29"/>
      <c r="J96" s="30" t="e">
        <f ca="1">ROUND((J94+J95),8)</f>
        <v>#NAME?</v>
      </c>
      <c r="K96" s="30"/>
      <c r="L96" s="29"/>
    </row>
    <row r="98" spans="1:14">
      <c r="B98" s="49" t="s">
        <v>114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</row>
    <row r="99" spans="1:14"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</row>
    <row r="100" spans="1:14" s="27" customFormat="1">
      <c r="A100" s="7"/>
      <c r="B100" s="27" t="s">
        <v>262</v>
      </c>
      <c r="C100" s="27" t="s">
        <v>263</v>
      </c>
      <c r="D100" s="35" t="s">
        <v>264</v>
      </c>
      <c r="E100" s="27" t="s">
        <v>265</v>
      </c>
      <c r="F100" s="27" t="s">
        <v>266</v>
      </c>
      <c r="G100" s="27" t="s">
        <v>267</v>
      </c>
      <c r="H100" s="27" t="s">
        <v>268</v>
      </c>
      <c r="I100" s="27" t="s">
        <v>269</v>
      </c>
      <c r="J100" s="27" t="s">
        <v>270</v>
      </c>
      <c r="K100" s="27" t="s">
        <v>271</v>
      </c>
      <c r="L100" s="27" t="s">
        <v>272</v>
      </c>
      <c r="M100" s="27" t="s">
        <v>273</v>
      </c>
    </row>
    <row r="101" spans="1:14">
      <c r="A101" s="26">
        <v>1</v>
      </c>
      <c r="B101" s="9" t="s">
        <v>153</v>
      </c>
      <c r="C101" s="31" t="s">
        <v>274</v>
      </c>
      <c r="D101" s="34">
        <v>0</v>
      </c>
      <c r="E101" s="34"/>
      <c r="F101" s="29">
        <f>ROUND(SUM('Базовые цены с учетом расхода'!B15:B17),0)</f>
        <v>4256</v>
      </c>
      <c r="G101" s="29">
        <f>ROUND(SUM('Базовые цены с учетом расхода'!C15:C17),0)</f>
        <v>164</v>
      </c>
      <c r="H101" s="29">
        <f>ROUND(SUM('Базовые цены с учетом расхода'!D15:D17),0)</f>
        <v>242</v>
      </c>
      <c r="I101" s="29">
        <f>ROUND(SUM('Базовые цены с учетом расхода'!E15:E17),0)</f>
        <v>18</v>
      </c>
      <c r="J101" s="30" t="e">
        <f ca="1">ROUND(SUM('Базовые цены с учетом расхода'!I15:I17),8)</f>
        <v>#NAME?</v>
      </c>
      <c r="K101" s="30" t="e">
        <f ca="1">ROUND(SUM('Базовые цены с учетом расхода'!K15:K17),8)</f>
        <v>#NAME?</v>
      </c>
      <c r="L101" s="29">
        <f>ROUND(SUM('Базовые цены с учетом расхода'!F15:F17),0)</f>
        <v>3850</v>
      </c>
      <c r="N101" s="34"/>
    </row>
    <row r="102" spans="1:14">
      <c r="A102" s="26">
        <v>2</v>
      </c>
      <c r="B102" s="9" t="s">
        <v>59</v>
      </c>
      <c r="C102" s="31" t="s">
        <v>275</v>
      </c>
      <c r="D102" s="34">
        <v>0</v>
      </c>
      <c r="F102" s="29">
        <f>ROUND(SUMIF(Определители!I15:I17,"= ",'Базовые цены с учетом расхода'!B15:B17),0)</f>
        <v>0</v>
      </c>
      <c r="G102" s="29">
        <f>ROUND(SUMIF(Определители!I15:I17,"= ",'Базовые цены с учетом расхода'!C15:C17),0)</f>
        <v>0</v>
      </c>
      <c r="H102" s="29">
        <f>ROUND(SUMIF(Определители!I15:I17,"= ",'Базовые цены с учетом расхода'!D15:D17),0)</f>
        <v>0</v>
      </c>
      <c r="I102" s="29">
        <f>ROUND(SUMIF(Определители!I15:I17,"= ",'Базовые цены с учетом расхода'!E15:E17),0)</f>
        <v>0</v>
      </c>
      <c r="J102" s="30">
        <f>ROUND(SUMIF(Определители!I15:I17,"= ",'Базовые цены с учетом расхода'!I15:I17),8)</f>
        <v>0</v>
      </c>
      <c r="K102" s="30">
        <f>ROUND(SUMIF(Определители!I15:I17,"= ",'Базовые цены с учетом расхода'!K15:K17),8)</f>
        <v>0</v>
      </c>
      <c r="L102" s="29">
        <f>ROUND(SUMIF(Определители!I15:I17,"= ",'Базовые цены с учетом расхода'!F15:F17),0)</f>
        <v>0</v>
      </c>
    </row>
    <row r="103" spans="1:14">
      <c r="A103" s="26">
        <v>3</v>
      </c>
      <c r="B103" s="9" t="s">
        <v>60</v>
      </c>
      <c r="C103" s="31" t="s">
        <v>275</v>
      </c>
      <c r="D103" s="34">
        <v>0</v>
      </c>
      <c r="F103" s="29" t="e">
        <f ca="1">ROUND(СУММПРОИЗВЕСЛИ(0.01,Определители!I15:I17," ",'Базовые цены с учетом расхода'!B15:B17,Начисления!X15:X17,0),0)</f>
        <v>#NAME?</v>
      </c>
      <c r="G103" s="29"/>
      <c r="H103" s="29"/>
      <c r="I103" s="29"/>
      <c r="J103" s="30"/>
      <c r="K103" s="30"/>
      <c r="L103" s="29"/>
    </row>
    <row r="104" spans="1:14">
      <c r="A104" s="26">
        <v>4</v>
      </c>
      <c r="B104" s="9" t="s">
        <v>61</v>
      </c>
      <c r="C104" s="31" t="s">
        <v>275</v>
      </c>
      <c r="D104" s="34">
        <v>0</v>
      </c>
      <c r="F104" s="29" t="e">
        <f ca="1">ROUND(СУММПРОИЗВЕСЛИ(0.01,Определители!I15:I17," ",'Базовые цены с учетом расхода'!B15:B17,Начисления!Y15:Y17,0),0)</f>
        <v>#NAME?</v>
      </c>
      <c r="G104" s="29"/>
      <c r="H104" s="29"/>
      <c r="I104" s="29"/>
      <c r="J104" s="30"/>
      <c r="K104" s="30"/>
      <c r="L104" s="29"/>
    </row>
    <row r="105" spans="1:14">
      <c r="A105" s="26">
        <v>5</v>
      </c>
      <c r="B105" s="9" t="s">
        <v>62</v>
      </c>
      <c r="C105" s="31" t="s">
        <v>275</v>
      </c>
      <c r="D105" s="34">
        <v>0</v>
      </c>
      <c r="F105" s="29" t="e">
        <f ca="1">ROUND(ТРАНСПРАСХОД(Определители!B15:B17,Определители!H15:H17,Определители!I15:I17,'Базовые цены с учетом расхода'!B15:B17,Начисления!Z15:Z17,Начисления!AA15:AA17),0)</f>
        <v>#NAME?</v>
      </c>
      <c r="G105" s="29"/>
      <c r="H105" s="29"/>
      <c r="I105" s="29"/>
      <c r="J105" s="30"/>
      <c r="K105" s="30"/>
      <c r="L105" s="29"/>
    </row>
    <row r="106" spans="1:14">
      <c r="A106" s="26">
        <v>6</v>
      </c>
      <c r="B106" s="9" t="s">
        <v>63</v>
      </c>
      <c r="C106" s="31" t="s">
        <v>275</v>
      </c>
      <c r="D106" s="34">
        <v>0</v>
      </c>
      <c r="F106" s="29" t="e">
        <f ca="1">ROUND(СУММПРОИЗВЕСЛИ(0.01,Определители!I15:I17," ",'Базовые цены с учетом расхода'!B15:B17,Начисления!AC15:AC17,0),0)</f>
        <v>#NAME?</v>
      </c>
      <c r="G106" s="29"/>
      <c r="H106" s="29"/>
      <c r="I106" s="29"/>
      <c r="J106" s="30"/>
      <c r="K106" s="30"/>
      <c r="L106" s="29"/>
    </row>
    <row r="107" spans="1:14">
      <c r="A107" s="26">
        <v>7</v>
      </c>
      <c r="B107" s="9" t="s">
        <v>64</v>
      </c>
      <c r="C107" s="31" t="s">
        <v>275</v>
      </c>
      <c r="D107" s="34">
        <v>0</v>
      </c>
      <c r="F107" s="29" t="e">
        <f ca="1">ROUND(СУММПРОИЗВЕСЛИ(0.01,Определители!I15:I17," ",'Базовые цены с учетом расхода'!B15:B17,Начисления!AF15:AF17,0),0)</f>
        <v>#NAME?</v>
      </c>
      <c r="G107" s="29"/>
      <c r="H107" s="29"/>
      <c r="I107" s="29"/>
      <c r="J107" s="30"/>
      <c r="K107" s="30"/>
      <c r="L107" s="29"/>
    </row>
    <row r="108" spans="1:14">
      <c r="A108" s="26">
        <v>8</v>
      </c>
      <c r="B108" s="9" t="s">
        <v>65</v>
      </c>
      <c r="C108" s="31" t="s">
        <v>275</v>
      </c>
      <c r="D108" s="34">
        <v>0</v>
      </c>
      <c r="F108" s="29" t="e">
        <f ca="1">ROUND(ЗАГОТСКЛАДРАСХОД(Определители!B15:B17,Определители!H15:H17,Определители!I15:I17,'Базовые цены с учетом расхода'!B15:B17,Начисления!X15:X17,Начисления!Y15:Y17,Начисления!Z15:Z17,Начисления!AA15:AA17,Начисления!AB15:AB17,Начисления!AC15:AC17,Начисления!AF15:AF17),0)</f>
        <v>#NAME?</v>
      </c>
      <c r="G108" s="29"/>
      <c r="H108" s="29"/>
      <c r="I108" s="29"/>
      <c r="J108" s="30"/>
      <c r="K108" s="30"/>
      <c r="L108" s="29"/>
    </row>
    <row r="109" spans="1:14">
      <c r="A109" s="26">
        <v>9</v>
      </c>
      <c r="B109" s="9" t="s">
        <v>66</v>
      </c>
      <c r="C109" s="31" t="s">
        <v>275</v>
      </c>
      <c r="D109" s="34">
        <v>0</v>
      </c>
      <c r="F109" s="29" t="e">
        <f ca="1">ROUND(СУММПРОИЗВЕСЛИ(1,Определители!I15:I17," ",'Базовые цены с учетом расхода'!M15:M17,Начисления!I15:I17,0),0)</f>
        <v>#NAME?</v>
      </c>
      <c r="G109" s="29"/>
      <c r="H109" s="29"/>
      <c r="I109" s="29"/>
      <c r="J109" s="30"/>
      <c r="K109" s="30"/>
      <c r="L109" s="29"/>
    </row>
    <row r="110" spans="1:14">
      <c r="A110" s="26">
        <v>10</v>
      </c>
      <c r="B110" s="9" t="s">
        <v>67</v>
      </c>
      <c r="C110" s="31" t="s">
        <v>276</v>
      </c>
      <c r="D110" s="34">
        <v>0</v>
      </c>
      <c r="F110" s="29" t="e">
        <f ca="1">ROUND((F109+F120+F140),0)</f>
        <v>#NAME?</v>
      </c>
      <c r="G110" s="29"/>
      <c r="H110" s="29"/>
      <c r="I110" s="29"/>
      <c r="J110" s="30"/>
      <c r="K110" s="30"/>
      <c r="L110" s="29"/>
    </row>
    <row r="111" spans="1:14">
      <c r="A111" s="26">
        <v>11</v>
      </c>
      <c r="B111" s="9" t="s">
        <v>68</v>
      </c>
      <c r="C111" s="31" t="s">
        <v>276</v>
      </c>
      <c r="D111" s="34">
        <v>0</v>
      </c>
      <c r="F111" s="29" t="e">
        <f ca="1">ROUND((F102+F103+F104+F105+F106+F107+F108+F110),0)</f>
        <v>#NAME?</v>
      </c>
      <c r="G111" s="29"/>
      <c r="H111" s="29"/>
      <c r="I111" s="29"/>
      <c r="J111" s="30"/>
      <c r="K111" s="30"/>
      <c r="L111" s="29"/>
    </row>
    <row r="112" spans="1:14">
      <c r="A112" s="26">
        <v>12</v>
      </c>
      <c r="B112" s="9" t="s">
        <v>69</v>
      </c>
      <c r="C112" s="31" t="s">
        <v>275</v>
      </c>
      <c r="D112" s="34">
        <v>0</v>
      </c>
      <c r="F112" s="29">
        <f>ROUND(SUMIF(Определители!I15:I17,"=1",'Базовые цены с учетом расхода'!B15:B17),0)</f>
        <v>0</v>
      </c>
      <c r="G112" s="29">
        <f>ROUND(SUMIF(Определители!I15:I17,"=1",'Базовые цены с учетом расхода'!C15:C17),0)</f>
        <v>0</v>
      </c>
      <c r="H112" s="29">
        <f>ROUND(SUMIF(Определители!I15:I17,"=1",'Базовые цены с учетом расхода'!D15:D17),0)</f>
        <v>0</v>
      </c>
      <c r="I112" s="29">
        <f>ROUND(SUMIF(Определители!I15:I17,"=1",'Базовые цены с учетом расхода'!E15:E17),0)</f>
        <v>0</v>
      </c>
      <c r="J112" s="30">
        <f>ROUND(SUMIF(Определители!I15:I17,"=1",'Базовые цены с учетом расхода'!I15:I17),8)</f>
        <v>0</v>
      </c>
      <c r="K112" s="30">
        <f>ROUND(SUMIF(Определители!I15:I17,"=1",'Базовые цены с учетом расхода'!K15:K17),8)</f>
        <v>0</v>
      </c>
      <c r="L112" s="29">
        <f>ROUND(SUMIF(Определители!I15:I17,"=1",'Базовые цены с учетом расхода'!F15:F17),0)</f>
        <v>0</v>
      </c>
    </row>
    <row r="113" spans="1:12">
      <c r="A113" s="26">
        <v>13</v>
      </c>
      <c r="B113" s="9" t="s">
        <v>70</v>
      </c>
      <c r="C113" s="31" t="s">
        <v>275</v>
      </c>
      <c r="D113" s="34">
        <v>0</v>
      </c>
      <c r="F113" s="29"/>
      <c r="G113" s="29"/>
      <c r="H113" s="29"/>
      <c r="I113" s="29"/>
      <c r="J113" s="30"/>
      <c r="K113" s="30"/>
      <c r="L113" s="29"/>
    </row>
    <row r="114" spans="1:12">
      <c r="A114" s="26">
        <v>14</v>
      </c>
      <c r="B114" s="9" t="s">
        <v>71</v>
      </c>
      <c r="C114" s="31" t="s">
        <v>275</v>
      </c>
      <c r="D114" s="34">
        <v>0</v>
      </c>
      <c r="F114" s="29"/>
      <c r="G114" s="29">
        <f>ROUND(SUMIF(Определители!I15:I17,"=1",'Базовые цены с учетом расхода'!T15:T17),0)</f>
        <v>0</v>
      </c>
      <c r="H114" s="29"/>
      <c r="I114" s="29"/>
      <c r="J114" s="30"/>
      <c r="K114" s="30"/>
      <c r="L114" s="29"/>
    </row>
    <row r="115" spans="1:12">
      <c r="A115" s="26">
        <v>15</v>
      </c>
      <c r="B115" s="9" t="s">
        <v>72</v>
      </c>
      <c r="C115" s="31" t="s">
        <v>275</v>
      </c>
      <c r="D115" s="34">
        <v>0</v>
      </c>
      <c r="F115" s="29">
        <f>ROUND(SUMIF(Определители!I15:I17,"=1",'Базовые цены с учетом расхода'!U15:U17),0)</f>
        <v>0</v>
      </c>
      <c r="G115" s="29"/>
      <c r="H115" s="29"/>
      <c r="I115" s="29"/>
      <c r="J115" s="30"/>
      <c r="K115" s="30"/>
      <c r="L115" s="29"/>
    </row>
    <row r="116" spans="1:12">
      <c r="A116" s="26">
        <v>16</v>
      </c>
      <c r="B116" s="9" t="s">
        <v>73</v>
      </c>
      <c r="C116" s="31" t="s">
        <v>275</v>
      </c>
      <c r="D116" s="34">
        <v>0</v>
      </c>
      <c r="F116" s="29" t="e">
        <f ca="1">ROUND(СУММЕСЛИ2(Определители!I15:I17,"1",Определители!G15:G17,"1",'Базовые цены с учетом расхода'!B15:B17),0)</f>
        <v>#NAME?</v>
      </c>
      <c r="G116" s="29"/>
      <c r="H116" s="29"/>
      <c r="I116" s="29"/>
      <c r="J116" s="30"/>
      <c r="K116" s="30"/>
      <c r="L116" s="29"/>
    </row>
    <row r="117" spans="1:12">
      <c r="A117" s="26">
        <v>17</v>
      </c>
      <c r="B117" s="9" t="s">
        <v>74</v>
      </c>
      <c r="C117" s="31" t="s">
        <v>275</v>
      </c>
      <c r="D117" s="34">
        <v>0</v>
      </c>
      <c r="F117" s="29">
        <f>ROUND(SUMIF(Определители!I15:I17,"=1",'Базовые цены с учетом расхода'!H15:H17),0)</f>
        <v>0</v>
      </c>
      <c r="G117" s="29"/>
      <c r="H117" s="29"/>
      <c r="I117" s="29"/>
      <c r="J117" s="30"/>
      <c r="K117" s="30"/>
      <c r="L117" s="29"/>
    </row>
    <row r="118" spans="1:12">
      <c r="A118" s="26">
        <v>18</v>
      </c>
      <c r="B118" s="9" t="s">
        <v>75</v>
      </c>
      <c r="C118" s="31" t="s">
        <v>275</v>
      </c>
      <c r="D118" s="34">
        <v>0</v>
      </c>
      <c r="F118" s="29">
        <f>ROUND(SUMIF(Определители!I15:I17,"=1",'Базовые цены с учетом расхода'!N15:N17),0)</f>
        <v>0</v>
      </c>
      <c r="G118" s="29"/>
      <c r="H118" s="29"/>
      <c r="I118" s="29"/>
      <c r="J118" s="30"/>
      <c r="K118" s="30"/>
      <c r="L118" s="29"/>
    </row>
    <row r="119" spans="1:12">
      <c r="A119" s="26">
        <v>19</v>
      </c>
      <c r="B119" s="9" t="s">
        <v>76</v>
      </c>
      <c r="C119" s="31" t="s">
        <v>275</v>
      </c>
      <c r="D119" s="34">
        <v>0</v>
      </c>
      <c r="F119" s="29">
        <f>ROUND(SUMIF(Определители!I15:I17,"=1",'Базовые цены с учетом расхода'!O15:O17),0)</f>
        <v>0</v>
      </c>
      <c r="G119" s="29"/>
      <c r="H119" s="29"/>
      <c r="I119" s="29"/>
      <c r="J119" s="30"/>
      <c r="K119" s="30"/>
      <c r="L119" s="29"/>
    </row>
    <row r="120" spans="1:12">
      <c r="A120" s="26">
        <v>20</v>
      </c>
      <c r="B120" s="9" t="s">
        <v>67</v>
      </c>
      <c r="C120" s="31" t="s">
        <v>275</v>
      </c>
      <c r="D120" s="34">
        <v>0</v>
      </c>
      <c r="F120" s="29" t="e">
        <f ca="1">ROUND(СУММПРОИЗВЕСЛИ(1,Определители!I15:I17," ",'Базовые цены с учетом расхода'!M15:M17,Начисления!I15:I17,0),0)</f>
        <v>#NAME?</v>
      </c>
      <c r="G120" s="29"/>
      <c r="H120" s="29"/>
      <c r="I120" s="29"/>
      <c r="J120" s="30"/>
      <c r="K120" s="30"/>
      <c r="L120" s="29"/>
    </row>
    <row r="121" spans="1:12">
      <c r="A121" s="26">
        <v>21</v>
      </c>
      <c r="B121" s="9" t="s">
        <v>77</v>
      </c>
      <c r="C121" s="31" t="s">
        <v>276</v>
      </c>
      <c r="D121" s="34">
        <v>0</v>
      </c>
      <c r="F121" s="29">
        <f>ROUND((F112+F118+F119),0)</f>
        <v>0</v>
      </c>
      <c r="G121" s="29"/>
      <c r="H121" s="29"/>
      <c r="I121" s="29"/>
      <c r="J121" s="30"/>
      <c r="K121" s="30"/>
      <c r="L121" s="29"/>
    </row>
    <row r="122" spans="1:12">
      <c r="A122" s="26">
        <v>22</v>
      </c>
      <c r="B122" s="9" t="s">
        <v>78</v>
      </c>
      <c r="C122" s="31" t="s">
        <v>275</v>
      </c>
      <c r="D122" s="34">
        <v>0</v>
      </c>
      <c r="F122" s="29">
        <f>ROUND(SUMIF(Определители!I15:I17,"=2",'Базовые цены с учетом расхода'!B15:B17),0)</f>
        <v>3818</v>
      </c>
      <c r="G122" s="29">
        <f>ROUND(SUMIF(Определители!I15:I17,"=2",'Базовые цены с учетом расхода'!C15:C17),0)</f>
        <v>26</v>
      </c>
      <c r="H122" s="29">
        <f>ROUND(SUMIF(Определители!I15:I17,"=2",'Базовые цены с учетом расхода'!D15:D17),0)</f>
        <v>5</v>
      </c>
      <c r="I122" s="29">
        <f>ROUND(SUMIF(Определители!I15:I17,"=2",'Базовые цены с учетом расхода'!E15:E17),0)</f>
        <v>0</v>
      </c>
      <c r="J122" s="30" t="e">
        <f ca="1">ROUND(SUMIF(Определители!I15:I17,"=2",'Базовые цены с учетом расхода'!I15:I17),8)</f>
        <v>#NAME?</v>
      </c>
      <c r="K122" s="30" t="e">
        <f ca="1">ROUND(SUMIF(Определители!I15:I17,"=2",'Базовые цены с учетом расхода'!K15:K17),8)</f>
        <v>#NAME?</v>
      </c>
      <c r="L122" s="29">
        <f>ROUND(SUMIF(Определители!I15:I17,"=2",'Базовые цены с учетом расхода'!F15:F17),0)</f>
        <v>3787</v>
      </c>
    </row>
    <row r="123" spans="1:12">
      <c r="A123" s="26">
        <v>23</v>
      </c>
      <c r="B123" s="9" t="s">
        <v>70</v>
      </c>
      <c r="C123" s="31" t="s">
        <v>275</v>
      </c>
      <c r="D123" s="34">
        <v>0</v>
      </c>
      <c r="F123" s="29"/>
      <c r="G123" s="29"/>
      <c r="H123" s="29"/>
      <c r="I123" s="29"/>
      <c r="J123" s="30"/>
      <c r="K123" s="30"/>
      <c r="L123" s="29"/>
    </row>
    <row r="124" spans="1:12">
      <c r="A124" s="26">
        <v>24</v>
      </c>
      <c r="B124" s="9" t="s">
        <v>79</v>
      </c>
      <c r="C124" s="31" t="s">
        <v>275</v>
      </c>
      <c r="D124" s="34">
        <v>0</v>
      </c>
      <c r="F124" s="29" t="e">
        <f ca="1">ROUND(СУММЕСЛИ2(Определители!I15:I17,"2",Определители!G15:G17,"1",'Базовые цены с учетом расхода'!B15:B17),0)</f>
        <v>#NAME?</v>
      </c>
      <c r="G124" s="29"/>
      <c r="H124" s="29"/>
      <c r="I124" s="29"/>
      <c r="J124" s="30"/>
      <c r="K124" s="30"/>
      <c r="L124" s="29"/>
    </row>
    <row r="125" spans="1:12">
      <c r="A125" s="26">
        <v>25</v>
      </c>
      <c r="B125" s="9" t="s">
        <v>74</v>
      </c>
      <c r="C125" s="31" t="s">
        <v>275</v>
      </c>
      <c r="D125" s="34">
        <v>0</v>
      </c>
      <c r="F125" s="29">
        <f>ROUND(SUMIF(Определители!I15:I17,"=2",'Базовые цены с учетом расхода'!H15:H17),0)</f>
        <v>0</v>
      </c>
      <c r="G125" s="29"/>
      <c r="H125" s="29"/>
      <c r="I125" s="29"/>
      <c r="J125" s="30"/>
      <c r="K125" s="30"/>
      <c r="L125" s="29"/>
    </row>
    <row r="126" spans="1:12">
      <c r="A126" s="26">
        <v>26</v>
      </c>
      <c r="B126" s="9" t="s">
        <v>75</v>
      </c>
      <c r="C126" s="31" t="s">
        <v>275</v>
      </c>
      <c r="D126" s="34">
        <v>0</v>
      </c>
      <c r="F126" s="29">
        <f>ROUND(SUMIF(Определители!I15:I17,"=2",'Базовые цены с учетом расхода'!N15:N17),0)</f>
        <v>26</v>
      </c>
      <c r="G126" s="29"/>
      <c r="H126" s="29"/>
      <c r="I126" s="29"/>
      <c r="J126" s="30"/>
      <c r="K126" s="30"/>
      <c r="L126" s="29"/>
    </row>
    <row r="127" spans="1:12">
      <c r="A127" s="26">
        <v>27</v>
      </c>
      <c r="B127" s="9" t="s">
        <v>76</v>
      </c>
      <c r="C127" s="31" t="s">
        <v>275</v>
      </c>
      <c r="D127" s="34">
        <v>0</v>
      </c>
      <c r="F127" s="29">
        <f>ROUND(SUMIF(Определители!I15:I17,"=2",'Базовые цены с учетом расхода'!O15:O17),0)</f>
        <v>16</v>
      </c>
      <c r="G127" s="29"/>
      <c r="H127" s="29"/>
      <c r="I127" s="29"/>
      <c r="J127" s="30"/>
      <c r="K127" s="30"/>
      <c r="L127" s="29"/>
    </row>
    <row r="128" spans="1:12">
      <c r="A128" s="26">
        <v>28</v>
      </c>
      <c r="B128" s="9" t="s">
        <v>82</v>
      </c>
      <c r="C128" s="31" t="s">
        <v>276</v>
      </c>
      <c r="D128" s="34">
        <v>0</v>
      </c>
      <c r="F128" s="29">
        <f>ROUND((F122+F126+F127),0)</f>
        <v>3860</v>
      </c>
      <c r="G128" s="29"/>
      <c r="H128" s="29"/>
      <c r="I128" s="29"/>
      <c r="J128" s="30"/>
      <c r="K128" s="30"/>
      <c r="L128" s="29"/>
    </row>
    <row r="129" spans="1:12">
      <c r="A129" s="26">
        <v>29</v>
      </c>
      <c r="B129" s="9" t="s">
        <v>83</v>
      </c>
      <c r="C129" s="31" t="s">
        <v>275</v>
      </c>
      <c r="D129" s="34">
        <v>0</v>
      </c>
      <c r="F129" s="29">
        <f>ROUND(SUMIF(Определители!I15:I17,"=3",'Базовые цены с учетом расхода'!B15:B17),0)</f>
        <v>438</v>
      </c>
      <c r="G129" s="29">
        <f>ROUND(SUMIF(Определители!I15:I17,"=3",'Базовые цены с учетом расхода'!C15:C17),0)</f>
        <v>138</v>
      </c>
      <c r="H129" s="29">
        <f>ROUND(SUMIF(Определители!I15:I17,"=3",'Базовые цены с учетом расхода'!D15:D17),0)</f>
        <v>237</v>
      </c>
      <c r="I129" s="29">
        <f>ROUND(SUMIF(Определители!I15:I17,"=3",'Базовые цены с учетом расхода'!E15:E17),0)</f>
        <v>18</v>
      </c>
      <c r="J129" s="30" t="e">
        <f ca="1">ROUND(SUMIF(Определители!I15:I17,"=3",'Базовые цены с учетом расхода'!I15:I17),8)</f>
        <v>#NAME?</v>
      </c>
      <c r="K129" s="30" t="e">
        <f ca="1">ROUND(SUMIF(Определители!I15:I17,"=3",'Базовые цены с учетом расхода'!K15:K17),8)</f>
        <v>#NAME?</v>
      </c>
      <c r="L129" s="29">
        <f>ROUND(SUMIF(Определители!I15:I17,"=3",'Базовые цены с учетом расхода'!F15:F17),0)</f>
        <v>63</v>
      </c>
    </row>
    <row r="130" spans="1:12">
      <c r="A130" s="26">
        <v>30</v>
      </c>
      <c r="B130" s="9" t="s">
        <v>74</v>
      </c>
      <c r="C130" s="31" t="s">
        <v>275</v>
      </c>
      <c r="D130" s="34">
        <v>0</v>
      </c>
      <c r="F130" s="29">
        <f>ROUND(SUMIF(Определители!I15:I17,"=3",'Базовые цены с учетом расхода'!H15:H17),0)</f>
        <v>0</v>
      </c>
      <c r="G130" s="29"/>
      <c r="H130" s="29"/>
      <c r="I130" s="29"/>
      <c r="J130" s="30"/>
      <c r="K130" s="30"/>
      <c r="L130" s="29"/>
    </row>
    <row r="131" spans="1:12">
      <c r="A131" s="26">
        <v>31</v>
      </c>
      <c r="B131" s="9" t="s">
        <v>75</v>
      </c>
      <c r="C131" s="31" t="s">
        <v>275</v>
      </c>
      <c r="D131" s="34">
        <v>0</v>
      </c>
      <c r="F131" s="29">
        <f>ROUND(SUMIF(Определители!I15:I17,"=3",'Базовые цены с учетом расхода'!N15:N17),0)</f>
        <v>126</v>
      </c>
      <c r="G131" s="29"/>
      <c r="H131" s="29"/>
      <c r="I131" s="29"/>
      <c r="J131" s="30"/>
      <c r="K131" s="30"/>
      <c r="L131" s="29"/>
    </row>
    <row r="132" spans="1:12">
      <c r="A132" s="26">
        <v>32</v>
      </c>
      <c r="B132" s="9" t="s">
        <v>76</v>
      </c>
      <c r="C132" s="31" t="s">
        <v>275</v>
      </c>
      <c r="D132" s="34">
        <v>0</v>
      </c>
      <c r="F132" s="29">
        <f>ROUND(SUMIF(Определители!I15:I17,"=3",'Базовые цены с учетом расхода'!O15:O17),0)</f>
        <v>112</v>
      </c>
      <c r="G132" s="29"/>
      <c r="H132" s="29"/>
      <c r="I132" s="29"/>
      <c r="J132" s="30"/>
      <c r="K132" s="30"/>
      <c r="L132" s="29"/>
    </row>
    <row r="133" spans="1:12">
      <c r="A133" s="26">
        <v>33</v>
      </c>
      <c r="B133" s="9" t="s">
        <v>84</v>
      </c>
      <c r="C133" s="31" t="s">
        <v>276</v>
      </c>
      <c r="D133" s="34">
        <v>0</v>
      </c>
      <c r="F133" s="29">
        <f>ROUND((F129+F131+F132),0)</f>
        <v>676</v>
      </c>
      <c r="G133" s="29"/>
      <c r="H133" s="29"/>
      <c r="I133" s="29"/>
      <c r="J133" s="30"/>
      <c r="K133" s="30"/>
      <c r="L133" s="29"/>
    </row>
    <row r="134" spans="1:12">
      <c r="A134" s="26">
        <v>34</v>
      </c>
      <c r="B134" s="9" t="s">
        <v>85</v>
      </c>
      <c r="C134" s="31" t="s">
        <v>275</v>
      </c>
      <c r="D134" s="34">
        <v>0</v>
      </c>
      <c r="F134" s="29">
        <f>ROUND(SUMIF(Определители!I15:I17,"=4",'Базовые цены с учетом расхода'!B15:B17),0)</f>
        <v>0</v>
      </c>
      <c r="G134" s="29">
        <f>ROUND(SUMIF(Определители!I15:I17,"=4",'Базовые цены с учетом расхода'!C15:C17),0)</f>
        <v>0</v>
      </c>
      <c r="H134" s="29">
        <f>ROUND(SUMIF(Определители!I15:I17,"=4",'Базовые цены с учетом расхода'!D15:D17),0)</f>
        <v>0</v>
      </c>
      <c r="I134" s="29">
        <f>ROUND(SUMIF(Определители!I15:I17,"=4",'Базовые цены с учетом расхода'!E15:E17),0)</f>
        <v>0</v>
      </c>
      <c r="J134" s="30">
        <f>ROUND(SUMIF(Определители!I15:I17,"=4",'Базовые цены с учетом расхода'!I15:I17),8)</f>
        <v>0</v>
      </c>
      <c r="K134" s="30">
        <f>ROUND(SUMIF(Определители!I15:I17,"=4",'Базовые цены с учетом расхода'!K15:K17),8)</f>
        <v>0</v>
      </c>
      <c r="L134" s="29">
        <f>ROUND(SUMIF(Определители!I15:I17,"=4",'Базовые цены с учетом расхода'!F15:F17),0)</f>
        <v>0</v>
      </c>
    </row>
    <row r="135" spans="1:12">
      <c r="A135" s="26">
        <v>35</v>
      </c>
      <c r="B135" s="9" t="s">
        <v>70</v>
      </c>
      <c r="C135" s="31" t="s">
        <v>275</v>
      </c>
      <c r="D135" s="34">
        <v>0</v>
      </c>
      <c r="F135" s="29"/>
      <c r="G135" s="29"/>
      <c r="H135" s="29"/>
      <c r="I135" s="29"/>
      <c r="J135" s="30"/>
      <c r="K135" s="30"/>
      <c r="L135" s="29"/>
    </row>
    <row r="136" spans="1:12">
      <c r="A136" s="26">
        <v>36</v>
      </c>
      <c r="B136" s="9" t="s">
        <v>86</v>
      </c>
      <c r="C136" s="31" t="s">
        <v>275</v>
      </c>
      <c r="D136" s="34">
        <v>0</v>
      </c>
      <c r="F136" s="29">
        <f>ROUND(SUMIF(Определители!I15:I17,"=4",'Базовые цены с учетом расхода'!AJ15:AJ17),0)</f>
        <v>0</v>
      </c>
      <c r="G136" s="29">
        <f>ROUND(SUMIF(Определители!I15:I17,"=4",'Базовые цены с учетом расхода'!AI15:AI17),0)</f>
        <v>0</v>
      </c>
      <c r="H136" s="29">
        <f>ROUND(SUMIF(Определители!I15:I17,"=4",'Базовые цены с учетом расхода'!AH15:AH17),0)</f>
        <v>0</v>
      </c>
      <c r="I136" s="29">
        <f>ROUND(SUMIF(Определители!I15:I17,"=4",'Базовые цены с учетом расхода'!V15:V17),0)</f>
        <v>0</v>
      </c>
      <c r="J136" s="30"/>
      <c r="K136" s="30"/>
      <c r="L136" s="29"/>
    </row>
    <row r="137" spans="1:12">
      <c r="A137" s="26">
        <v>37</v>
      </c>
      <c r="B137" s="9" t="s">
        <v>74</v>
      </c>
      <c r="C137" s="31" t="s">
        <v>275</v>
      </c>
      <c r="D137" s="34">
        <v>0</v>
      </c>
      <c r="F137" s="29">
        <f>ROUND(SUMIF(Определители!I15:I17,"=4",'Базовые цены с учетом расхода'!H15:H17),0)</f>
        <v>0</v>
      </c>
      <c r="G137" s="29"/>
      <c r="H137" s="29"/>
      <c r="I137" s="29"/>
      <c r="J137" s="30"/>
      <c r="K137" s="30"/>
      <c r="L137" s="29"/>
    </row>
    <row r="138" spans="1:12">
      <c r="A138" s="26">
        <v>38</v>
      </c>
      <c r="B138" s="9" t="s">
        <v>75</v>
      </c>
      <c r="C138" s="31" t="s">
        <v>275</v>
      </c>
      <c r="D138" s="34">
        <v>0</v>
      </c>
      <c r="F138" s="29">
        <f>ROUND(SUMIF(Определители!I15:I17,"=4",'Базовые цены с учетом расхода'!N15:N17),0)</f>
        <v>0</v>
      </c>
      <c r="G138" s="29"/>
      <c r="H138" s="29"/>
      <c r="I138" s="29"/>
      <c r="J138" s="30"/>
      <c r="K138" s="30"/>
      <c r="L138" s="29"/>
    </row>
    <row r="139" spans="1:12">
      <c r="A139" s="26">
        <v>39</v>
      </c>
      <c r="B139" s="9" t="s">
        <v>76</v>
      </c>
      <c r="C139" s="31" t="s">
        <v>275</v>
      </c>
      <c r="D139" s="34">
        <v>0</v>
      </c>
      <c r="F139" s="29">
        <f>ROUND(SUMIF(Определители!I15:I17,"=4",'Базовые цены с учетом расхода'!O15:O17),0)</f>
        <v>0</v>
      </c>
      <c r="G139" s="29"/>
      <c r="H139" s="29"/>
      <c r="I139" s="29"/>
      <c r="J139" s="30"/>
      <c r="K139" s="30"/>
      <c r="L139" s="29"/>
    </row>
    <row r="140" spans="1:12">
      <c r="A140" s="26">
        <v>40</v>
      </c>
      <c r="B140" s="9" t="s">
        <v>67</v>
      </c>
      <c r="C140" s="31" t="s">
        <v>275</v>
      </c>
      <c r="D140" s="34">
        <v>0</v>
      </c>
      <c r="F140" s="29" t="e">
        <f ca="1">ROUND(СУММПРОИЗВЕСЛИ(1,Определители!I15:I17," ",'Базовые цены с учетом расхода'!M15:M17,Начисления!I15:I17,0),0)</f>
        <v>#NAME?</v>
      </c>
      <c r="G140" s="29"/>
      <c r="H140" s="29"/>
      <c r="I140" s="29"/>
      <c r="J140" s="30"/>
      <c r="K140" s="30"/>
      <c r="L140" s="29"/>
    </row>
    <row r="141" spans="1:12">
      <c r="A141" s="26">
        <v>41</v>
      </c>
      <c r="B141" s="9" t="s">
        <v>87</v>
      </c>
      <c r="C141" s="31" t="s">
        <v>276</v>
      </c>
      <c r="D141" s="34">
        <v>0</v>
      </c>
      <c r="F141" s="29">
        <f>ROUND((F134+F138+F139),0)</f>
        <v>0</v>
      </c>
      <c r="G141" s="29"/>
      <c r="H141" s="29"/>
      <c r="I141" s="29"/>
      <c r="J141" s="30"/>
      <c r="K141" s="30"/>
      <c r="L141" s="29"/>
    </row>
    <row r="142" spans="1:12">
      <c r="A142" s="26">
        <v>42</v>
      </c>
      <c r="B142" s="9" t="s">
        <v>88</v>
      </c>
      <c r="C142" s="31" t="s">
        <v>275</v>
      </c>
      <c r="D142" s="34">
        <v>0</v>
      </c>
      <c r="F142" s="29">
        <f>ROUND(SUMIF(Определители!I15:I17,"=5",'Базовые цены с учетом расхода'!B15:B17),0)</f>
        <v>0</v>
      </c>
      <c r="G142" s="29">
        <f>ROUND(SUMIF(Определители!I15:I17,"=5",'Базовые цены с учетом расхода'!C15:C17),0)</f>
        <v>0</v>
      </c>
      <c r="H142" s="29">
        <f>ROUND(SUMIF(Определители!I15:I17,"=5",'Базовые цены с учетом расхода'!D15:D17),0)</f>
        <v>0</v>
      </c>
      <c r="I142" s="29">
        <f>ROUND(SUMIF(Определители!I15:I17,"=5",'Базовые цены с учетом расхода'!E15:E17),0)</f>
        <v>0</v>
      </c>
      <c r="J142" s="30">
        <f>ROUND(SUMIF(Определители!I15:I17,"=5",'Базовые цены с учетом расхода'!I15:I17),8)</f>
        <v>0</v>
      </c>
      <c r="K142" s="30">
        <f>ROUND(SUMIF(Определители!I15:I17,"=5",'Базовые цены с учетом расхода'!K15:K17),8)</f>
        <v>0</v>
      </c>
      <c r="L142" s="29">
        <f>ROUND(SUMIF(Определители!I15:I17,"=5",'Базовые цены с учетом расхода'!F15:F17),0)</f>
        <v>0</v>
      </c>
    </row>
    <row r="143" spans="1:12">
      <c r="A143" s="26">
        <v>43</v>
      </c>
      <c r="B143" s="9" t="s">
        <v>74</v>
      </c>
      <c r="C143" s="31" t="s">
        <v>275</v>
      </c>
      <c r="D143" s="34">
        <v>0</v>
      </c>
      <c r="F143" s="29">
        <f>ROUND(SUMIF(Определители!I15:I17,"=5",'Базовые цены с учетом расхода'!H15:H17),0)</f>
        <v>0</v>
      </c>
      <c r="G143" s="29"/>
      <c r="H143" s="29"/>
      <c r="I143" s="29"/>
      <c r="J143" s="30"/>
      <c r="K143" s="30"/>
      <c r="L143" s="29"/>
    </row>
    <row r="144" spans="1:12">
      <c r="A144" s="26">
        <v>44</v>
      </c>
      <c r="B144" s="9" t="s">
        <v>75</v>
      </c>
      <c r="C144" s="31" t="s">
        <v>275</v>
      </c>
      <c r="D144" s="34">
        <v>0</v>
      </c>
      <c r="F144" s="29">
        <f>ROUND(SUMIF(Определители!I15:I17,"=5",'Базовые цены с учетом расхода'!N15:N17),0)</f>
        <v>0</v>
      </c>
      <c r="G144" s="29"/>
      <c r="H144" s="29"/>
      <c r="I144" s="29"/>
      <c r="J144" s="30"/>
      <c r="K144" s="30"/>
      <c r="L144" s="29"/>
    </row>
    <row r="145" spans="1:12">
      <c r="A145" s="26">
        <v>45</v>
      </c>
      <c r="B145" s="9" t="s">
        <v>76</v>
      </c>
      <c r="C145" s="31" t="s">
        <v>275</v>
      </c>
      <c r="D145" s="34">
        <v>0</v>
      </c>
      <c r="F145" s="29">
        <f>ROUND(SUMIF(Определители!I15:I17,"=5",'Базовые цены с учетом расхода'!O15:O17),0)</f>
        <v>0</v>
      </c>
      <c r="G145" s="29"/>
      <c r="H145" s="29"/>
      <c r="I145" s="29"/>
      <c r="J145" s="30"/>
      <c r="K145" s="30"/>
      <c r="L145" s="29"/>
    </row>
    <row r="146" spans="1:12">
      <c r="A146" s="26">
        <v>46</v>
      </c>
      <c r="B146" s="9" t="s">
        <v>89</v>
      </c>
      <c r="C146" s="31" t="s">
        <v>276</v>
      </c>
      <c r="D146" s="34">
        <v>0</v>
      </c>
      <c r="F146" s="29">
        <f>ROUND((F142+F144+F145),0)</f>
        <v>0</v>
      </c>
      <c r="G146" s="29"/>
      <c r="H146" s="29"/>
      <c r="I146" s="29"/>
      <c r="J146" s="30"/>
      <c r="K146" s="30"/>
      <c r="L146" s="29"/>
    </row>
    <row r="147" spans="1:12">
      <c r="A147" s="26">
        <v>47</v>
      </c>
      <c r="B147" s="9" t="s">
        <v>90</v>
      </c>
      <c r="C147" s="31" t="s">
        <v>275</v>
      </c>
      <c r="D147" s="34">
        <v>0</v>
      </c>
      <c r="F147" s="29">
        <f>ROUND(SUMIF(Определители!I15:I17,"=6",'Базовые цены с учетом расхода'!B15:B17),0)</f>
        <v>0</v>
      </c>
      <c r="G147" s="29">
        <f>ROUND(SUMIF(Определители!I15:I17,"=6",'Базовые цены с учетом расхода'!C15:C17),0)</f>
        <v>0</v>
      </c>
      <c r="H147" s="29">
        <f>ROUND(SUMIF(Определители!I15:I17,"=6",'Базовые цены с учетом расхода'!D15:D17),0)</f>
        <v>0</v>
      </c>
      <c r="I147" s="29">
        <f>ROUND(SUMIF(Определители!I15:I17,"=6",'Базовые цены с учетом расхода'!E15:E17),0)</f>
        <v>0</v>
      </c>
      <c r="J147" s="30">
        <f>ROUND(SUMIF(Определители!I15:I17,"=6",'Базовые цены с учетом расхода'!I15:I17),8)</f>
        <v>0</v>
      </c>
      <c r="K147" s="30">
        <f>ROUND(SUMIF(Определители!I15:I17,"=6",'Базовые цены с учетом расхода'!K15:K17),8)</f>
        <v>0</v>
      </c>
      <c r="L147" s="29">
        <f>ROUND(SUMIF(Определители!I15:I17,"=6",'Базовые цены с учетом расхода'!F15:F17),0)</f>
        <v>0</v>
      </c>
    </row>
    <row r="148" spans="1:12">
      <c r="A148" s="26">
        <v>48</v>
      </c>
      <c r="B148" s="9" t="s">
        <v>74</v>
      </c>
      <c r="C148" s="31" t="s">
        <v>275</v>
      </c>
      <c r="D148" s="34">
        <v>0</v>
      </c>
      <c r="F148" s="29">
        <f>ROUND(SUMIF(Определители!I15:I17,"=6",'Базовые цены с учетом расхода'!H15:H17),0)</f>
        <v>0</v>
      </c>
      <c r="G148" s="29"/>
      <c r="H148" s="29"/>
      <c r="I148" s="29"/>
      <c r="J148" s="30"/>
      <c r="K148" s="30"/>
      <c r="L148" s="29"/>
    </row>
    <row r="149" spans="1:12">
      <c r="A149" s="26">
        <v>49</v>
      </c>
      <c r="B149" s="9" t="s">
        <v>75</v>
      </c>
      <c r="C149" s="31" t="s">
        <v>275</v>
      </c>
      <c r="D149" s="34">
        <v>0</v>
      </c>
      <c r="F149" s="29">
        <f>ROUND(SUMIF(Определители!I15:I17,"=6",'Базовые цены с учетом расхода'!N15:N17),0)</f>
        <v>0</v>
      </c>
      <c r="G149" s="29"/>
      <c r="H149" s="29"/>
      <c r="I149" s="29"/>
      <c r="J149" s="30"/>
      <c r="K149" s="30"/>
      <c r="L149" s="29"/>
    </row>
    <row r="150" spans="1:12">
      <c r="A150" s="26">
        <v>50</v>
      </c>
      <c r="B150" s="9" t="s">
        <v>76</v>
      </c>
      <c r="C150" s="31" t="s">
        <v>275</v>
      </c>
      <c r="D150" s="34">
        <v>0</v>
      </c>
      <c r="F150" s="29">
        <f>ROUND(SUMIF(Определители!I15:I17,"=6",'Базовые цены с учетом расхода'!O15:O17),0)</f>
        <v>0</v>
      </c>
      <c r="G150" s="29"/>
      <c r="H150" s="29"/>
      <c r="I150" s="29"/>
      <c r="J150" s="30"/>
      <c r="K150" s="30"/>
      <c r="L150" s="29"/>
    </row>
    <row r="151" spans="1:12">
      <c r="A151" s="26">
        <v>51</v>
      </c>
      <c r="B151" s="9" t="s">
        <v>91</v>
      </c>
      <c r="C151" s="31" t="s">
        <v>276</v>
      </c>
      <c r="D151" s="34">
        <v>0</v>
      </c>
      <c r="F151" s="29">
        <f>ROUND((F147+F149+F150),0)</f>
        <v>0</v>
      </c>
      <c r="G151" s="29"/>
      <c r="H151" s="29"/>
      <c r="I151" s="29"/>
      <c r="J151" s="30"/>
      <c r="K151" s="30"/>
      <c r="L151" s="29"/>
    </row>
    <row r="152" spans="1:12">
      <c r="A152" s="26">
        <v>52</v>
      </c>
      <c r="B152" s="9" t="s">
        <v>92</v>
      </c>
      <c r="C152" s="31" t="s">
        <v>275</v>
      </c>
      <c r="D152" s="34">
        <v>0</v>
      </c>
      <c r="F152" s="29">
        <f>ROUND(SUMIF(Определители!I15:I17,"=7",'Базовые цены с учетом расхода'!B15:B17),0)</f>
        <v>0</v>
      </c>
      <c r="G152" s="29">
        <f>ROUND(SUMIF(Определители!I15:I17,"=7",'Базовые цены с учетом расхода'!C15:C17),0)</f>
        <v>0</v>
      </c>
      <c r="H152" s="29">
        <f>ROUND(SUMIF(Определители!I15:I17,"=7",'Базовые цены с учетом расхода'!D15:D17),0)</f>
        <v>0</v>
      </c>
      <c r="I152" s="29">
        <f>ROUND(SUMIF(Определители!I15:I17,"=7",'Базовые цены с учетом расхода'!E15:E17),0)</f>
        <v>0</v>
      </c>
      <c r="J152" s="30">
        <f>ROUND(SUMIF(Определители!I15:I17,"=7",'Базовые цены с учетом расхода'!I15:I17),8)</f>
        <v>0</v>
      </c>
      <c r="K152" s="30">
        <f>ROUND(SUMIF(Определители!I15:I17,"=7",'Базовые цены с учетом расхода'!K15:K17),8)</f>
        <v>0</v>
      </c>
      <c r="L152" s="29">
        <f>ROUND(SUMIF(Определители!I15:I17,"=7",'Базовые цены с учетом расхода'!F15:F17),0)</f>
        <v>0</v>
      </c>
    </row>
    <row r="153" spans="1:12">
      <c r="A153" s="26">
        <v>53</v>
      </c>
      <c r="B153" s="9" t="s">
        <v>70</v>
      </c>
      <c r="C153" s="31" t="s">
        <v>275</v>
      </c>
      <c r="D153" s="34">
        <v>0</v>
      </c>
      <c r="F153" s="29"/>
      <c r="G153" s="29"/>
      <c r="H153" s="29"/>
      <c r="I153" s="29"/>
      <c r="J153" s="30"/>
      <c r="K153" s="30"/>
      <c r="L153" s="29"/>
    </row>
    <row r="154" spans="1:12">
      <c r="A154" s="26">
        <v>54</v>
      </c>
      <c r="B154" s="9" t="s">
        <v>79</v>
      </c>
      <c r="C154" s="31" t="s">
        <v>275</v>
      </c>
      <c r="D154" s="34">
        <v>0</v>
      </c>
      <c r="F154" s="29" t="e">
        <f ca="1">ROUND(СУММЕСЛИ2(Определители!I15:I17,"2",Определители!G15:G17,"1",'Базовые цены с учетом расхода'!B15:B17),0)</f>
        <v>#NAME?</v>
      </c>
      <c r="G154" s="29"/>
      <c r="H154" s="29"/>
      <c r="I154" s="29"/>
      <c r="J154" s="30"/>
      <c r="K154" s="30"/>
      <c r="L154" s="29"/>
    </row>
    <row r="155" spans="1:12">
      <c r="A155" s="26">
        <v>55</v>
      </c>
      <c r="B155" s="9" t="s">
        <v>74</v>
      </c>
      <c r="C155" s="31" t="s">
        <v>275</v>
      </c>
      <c r="D155" s="34">
        <v>0</v>
      </c>
      <c r="F155" s="29">
        <f>ROUND(SUMIF(Определители!I15:I17,"=7",'Базовые цены с учетом расхода'!H15:H17),0)</f>
        <v>0</v>
      </c>
      <c r="G155" s="29"/>
      <c r="H155" s="29"/>
      <c r="I155" s="29"/>
      <c r="J155" s="30"/>
      <c r="K155" s="30"/>
      <c r="L155" s="29"/>
    </row>
    <row r="156" spans="1:12">
      <c r="A156" s="26">
        <v>56</v>
      </c>
      <c r="B156" s="9" t="s">
        <v>75</v>
      </c>
      <c r="C156" s="31" t="s">
        <v>275</v>
      </c>
      <c r="D156" s="34">
        <v>0</v>
      </c>
      <c r="F156" s="29">
        <f>ROUND(SUMIF(Определители!I15:I17,"=7",'Базовые цены с учетом расхода'!N15:N17),0)</f>
        <v>0</v>
      </c>
      <c r="G156" s="29"/>
      <c r="H156" s="29"/>
      <c r="I156" s="29"/>
      <c r="J156" s="30"/>
      <c r="K156" s="30"/>
      <c r="L156" s="29"/>
    </row>
    <row r="157" spans="1:12">
      <c r="A157" s="26">
        <v>57</v>
      </c>
      <c r="B157" s="9" t="s">
        <v>76</v>
      </c>
      <c r="C157" s="31" t="s">
        <v>275</v>
      </c>
      <c r="D157" s="34">
        <v>0</v>
      </c>
      <c r="F157" s="29">
        <f>ROUND(SUMIF(Определители!I15:I17,"=7",'Базовые цены с учетом расхода'!O15:O17),0)</f>
        <v>0</v>
      </c>
      <c r="G157" s="29"/>
      <c r="H157" s="29"/>
      <c r="I157" s="29"/>
      <c r="J157" s="30"/>
      <c r="K157" s="30"/>
      <c r="L157" s="29"/>
    </row>
    <row r="158" spans="1:12">
      <c r="A158" s="26">
        <v>58</v>
      </c>
      <c r="B158" s="9" t="s">
        <v>93</v>
      </c>
      <c r="C158" s="31" t="s">
        <v>276</v>
      </c>
      <c r="D158" s="34">
        <v>0</v>
      </c>
      <c r="F158" s="29">
        <f>ROUND((F152+F156+F157),0)</f>
        <v>0</v>
      </c>
      <c r="G158" s="29"/>
      <c r="H158" s="29"/>
      <c r="I158" s="29"/>
      <c r="J158" s="30"/>
      <c r="K158" s="30"/>
      <c r="L158" s="29"/>
    </row>
    <row r="159" spans="1:12">
      <c r="A159" s="26">
        <v>59</v>
      </c>
      <c r="B159" s="9" t="s">
        <v>94</v>
      </c>
      <c r="C159" s="31" t="s">
        <v>275</v>
      </c>
      <c r="D159" s="34">
        <v>0</v>
      </c>
      <c r="F159" s="29">
        <f>ROUND(SUMIF(Определители!I15:I17,"=;",'Базовые цены с учетом расхода'!B15:B17),0)</f>
        <v>0</v>
      </c>
      <c r="G159" s="29">
        <f>ROUND(SUMIF(Определители!I15:I17,"=;",'Базовые цены с учетом расхода'!C15:C17),0)</f>
        <v>0</v>
      </c>
      <c r="H159" s="29">
        <f>ROUND(SUMIF(Определители!I15:I17,"=;",'Базовые цены с учетом расхода'!D15:D17),0)</f>
        <v>0</v>
      </c>
      <c r="I159" s="29">
        <f>ROUND(SUMIF(Определители!I15:I17,"=;",'Базовые цены с учетом расхода'!E15:E17),0)</f>
        <v>0</v>
      </c>
      <c r="J159" s="30">
        <f>ROUND(SUMIF(Определители!I15:I17,"=;",'Базовые цены с учетом расхода'!I15:I17),8)</f>
        <v>0</v>
      </c>
      <c r="K159" s="30">
        <f>ROUND(SUMIF(Определители!I15:I17,"=;",'Базовые цены с учетом расхода'!K15:K17),8)</f>
        <v>0</v>
      </c>
      <c r="L159" s="29">
        <f>ROUND(SUMIF(Определители!I15:I17,"=;",'Базовые цены с учетом расхода'!F15:F17),0)</f>
        <v>0</v>
      </c>
    </row>
    <row r="160" spans="1:12">
      <c r="A160" s="26">
        <v>60</v>
      </c>
      <c r="B160" s="9" t="s">
        <v>95</v>
      </c>
      <c r="C160" s="31" t="s">
        <v>275</v>
      </c>
      <c r="D160" s="34">
        <v>0</v>
      </c>
      <c r="F160" s="29">
        <f>ROUND(SUMIF(Определители!I15:I17,"=;",'Базовые цены с учетом расхода'!AF15:AF17),0)</f>
        <v>0</v>
      </c>
      <c r="G160" s="29"/>
      <c r="H160" s="29"/>
      <c r="I160" s="29"/>
      <c r="J160" s="30"/>
      <c r="K160" s="30"/>
      <c r="L160" s="29"/>
    </row>
    <row r="161" spans="1:12">
      <c r="A161" s="26">
        <v>61</v>
      </c>
      <c r="B161" s="9" t="s">
        <v>96</v>
      </c>
      <c r="C161" s="31" t="s">
        <v>275</v>
      </c>
      <c r="D161" s="34">
        <v>0</v>
      </c>
      <c r="F161" s="29">
        <f>ROUND(SUMIF(Определители!I15:I17,"=;",'Базовые цены с учетом расхода'!AG15:AG17),0)</f>
        <v>0</v>
      </c>
      <c r="G161" s="29"/>
      <c r="H161" s="29"/>
      <c r="I161" s="29"/>
      <c r="J161" s="30"/>
      <c r="K161" s="30"/>
      <c r="L161" s="29"/>
    </row>
    <row r="162" spans="1:12">
      <c r="A162" s="26">
        <v>62</v>
      </c>
      <c r="B162" s="9" t="s">
        <v>75</v>
      </c>
      <c r="C162" s="31" t="s">
        <v>275</v>
      </c>
      <c r="D162" s="34">
        <v>0</v>
      </c>
      <c r="F162" s="29">
        <f>ROUND(SUMIF(Определители!I15:I17,"=;",'Базовые цены с учетом расхода'!N15:N17),0)</f>
        <v>0</v>
      </c>
      <c r="G162" s="29"/>
      <c r="H162" s="29"/>
      <c r="I162" s="29"/>
      <c r="J162" s="30"/>
      <c r="K162" s="30"/>
      <c r="L162" s="29"/>
    </row>
    <row r="163" spans="1:12">
      <c r="A163" s="26">
        <v>63</v>
      </c>
      <c r="B163" s="9" t="s">
        <v>76</v>
      </c>
      <c r="C163" s="31" t="s">
        <v>275</v>
      </c>
      <c r="D163" s="34">
        <v>0</v>
      </c>
      <c r="F163" s="29">
        <f>ROUND(SUMIF(Определители!I15:I17,"=;",'Базовые цены с учетом расхода'!O15:O17),0)</f>
        <v>0</v>
      </c>
      <c r="G163" s="29"/>
      <c r="H163" s="29"/>
      <c r="I163" s="29"/>
      <c r="J163" s="30"/>
      <c r="K163" s="30"/>
      <c r="L163" s="29"/>
    </row>
    <row r="164" spans="1:12">
      <c r="A164" s="26">
        <v>64</v>
      </c>
      <c r="B164" s="9" t="s">
        <v>97</v>
      </c>
      <c r="C164" s="31" t="s">
        <v>276</v>
      </c>
      <c r="D164" s="34">
        <v>0</v>
      </c>
      <c r="F164" s="29">
        <f>ROUND((F159+F162+F163),0)</f>
        <v>0</v>
      </c>
      <c r="G164" s="29"/>
      <c r="H164" s="29"/>
      <c r="I164" s="29"/>
      <c r="J164" s="30"/>
      <c r="K164" s="30"/>
      <c r="L164" s="29"/>
    </row>
    <row r="165" spans="1:12">
      <c r="A165" s="26">
        <v>65</v>
      </c>
      <c r="B165" s="9" t="s">
        <v>98</v>
      </c>
      <c r="C165" s="31" t="s">
        <v>275</v>
      </c>
      <c r="D165" s="34">
        <v>0</v>
      </c>
      <c r="F165" s="29">
        <f>ROUND(SUMIF(Определители!I15:I17,"=9",'Базовые цены с учетом расхода'!B15:B17),0)</f>
        <v>0</v>
      </c>
      <c r="G165" s="29">
        <f>ROUND(SUMIF(Определители!I15:I17,"=9",'Базовые цены с учетом расхода'!C15:C17),0)</f>
        <v>0</v>
      </c>
      <c r="H165" s="29">
        <f>ROUND(SUMIF(Определители!I15:I17,"=9",'Базовые цены с учетом расхода'!D15:D17),0)</f>
        <v>0</v>
      </c>
      <c r="I165" s="29">
        <f>ROUND(SUMIF(Определители!I15:I17,"=9",'Базовые цены с учетом расхода'!E15:E17),0)</f>
        <v>0</v>
      </c>
      <c r="J165" s="30">
        <f>ROUND(SUMIF(Определители!I15:I17,"=9",'Базовые цены с учетом расхода'!I15:I17),8)</f>
        <v>0</v>
      </c>
      <c r="K165" s="30">
        <f>ROUND(SUMIF(Определители!I15:I17,"=9",'Базовые цены с учетом расхода'!K15:K17),8)</f>
        <v>0</v>
      </c>
      <c r="L165" s="29">
        <f>ROUND(SUMIF(Определители!I15:I17,"=9",'Базовые цены с учетом расхода'!F15:F17),0)</f>
        <v>0</v>
      </c>
    </row>
    <row r="166" spans="1:12">
      <c r="A166" s="26">
        <v>66</v>
      </c>
      <c r="B166" s="9" t="s">
        <v>75</v>
      </c>
      <c r="C166" s="31" t="s">
        <v>275</v>
      </c>
      <c r="D166" s="34">
        <v>0</v>
      </c>
      <c r="F166" s="29">
        <f>ROUND(SUMIF(Определители!I15:I17,"=9",'Базовые цены с учетом расхода'!N15:N17),0)</f>
        <v>0</v>
      </c>
      <c r="G166" s="29"/>
      <c r="H166" s="29"/>
      <c r="I166" s="29"/>
      <c r="J166" s="30"/>
      <c r="K166" s="30"/>
      <c r="L166" s="29"/>
    </row>
    <row r="167" spans="1:12">
      <c r="A167" s="26">
        <v>67</v>
      </c>
      <c r="B167" s="9" t="s">
        <v>76</v>
      </c>
      <c r="C167" s="31" t="s">
        <v>275</v>
      </c>
      <c r="D167" s="34">
        <v>0</v>
      </c>
      <c r="F167" s="29">
        <f>ROUND(SUMIF(Определители!I15:I17,"=9",'Базовые цены с учетом расхода'!O15:O17),0)</f>
        <v>0</v>
      </c>
      <c r="G167" s="29"/>
      <c r="H167" s="29"/>
      <c r="I167" s="29"/>
      <c r="J167" s="30"/>
      <c r="K167" s="30"/>
      <c r="L167" s="29"/>
    </row>
    <row r="168" spans="1:12">
      <c r="A168" s="26">
        <v>68</v>
      </c>
      <c r="B168" s="9" t="s">
        <v>99</v>
      </c>
      <c r="C168" s="31" t="s">
        <v>276</v>
      </c>
      <c r="D168" s="34">
        <v>0</v>
      </c>
      <c r="F168" s="29">
        <f>ROUND((F165+F166+F167),0)</f>
        <v>0</v>
      </c>
      <c r="G168" s="29"/>
      <c r="H168" s="29"/>
      <c r="I168" s="29"/>
      <c r="J168" s="30"/>
      <c r="K168" s="30"/>
      <c r="L168" s="29"/>
    </row>
    <row r="169" spans="1:12">
      <c r="A169" s="26">
        <v>69</v>
      </c>
      <c r="B169" s="9" t="s">
        <v>100</v>
      </c>
      <c r="C169" s="31" t="s">
        <v>275</v>
      </c>
      <c r="D169" s="34">
        <v>0</v>
      </c>
      <c r="F169" s="29">
        <f>ROUND(SUMIF(Определители!I15:I17,"=:",'Базовые цены с учетом расхода'!B15:B17),0)</f>
        <v>0</v>
      </c>
      <c r="G169" s="29">
        <f>ROUND(SUMIF(Определители!I15:I17,"=:",'Базовые цены с учетом расхода'!C15:C17),0)</f>
        <v>0</v>
      </c>
      <c r="H169" s="29">
        <f>ROUND(SUMIF(Определители!I15:I17,"=:",'Базовые цены с учетом расхода'!D15:D17),0)</f>
        <v>0</v>
      </c>
      <c r="I169" s="29">
        <f>ROUND(SUMIF(Определители!I15:I17,"=:",'Базовые цены с учетом расхода'!E15:E17),0)</f>
        <v>0</v>
      </c>
      <c r="J169" s="30">
        <f>ROUND(SUMIF(Определители!I15:I17,"=:",'Базовые цены с учетом расхода'!I15:I17),8)</f>
        <v>0</v>
      </c>
      <c r="K169" s="30">
        <f>ROUND(SUMIF(Определители!I15:I17,"=:",'Базовые цены с учетом расхода'!K15:K17),8)</f>
        <v>0</v>
      </c>
      <c r="L169" s="29">
        <f>ROUND(SUMIF(Определители!I15:I17,"=:",'Базовые цены с учетом расхода'!F15:F17),0)</f>
        <v>0</v>
      </c>
    </row>
    <row r="170" spans="1:12">
      <c r="A170" s="26">
        <v>70</v>
      </c>
      <c r="B170" s="9" t="s">
        <v>74</v>
      </c>
      <c r="C170" s="31" t="s">
        <v>275</v>
      </c>
      <c r="D170" s="34">
        <v>0</v>
      </c>
      <c r="F170" s="29">
        <f>ROUND(SUMIF(Определители!I15:I17,"=:",'Базовые цены с учетом расхода'!H15:H17),0)</f>
        <v>0</v>
      </c>
      <c r="G170" s="29"/>
      <c r="H170" s="29"/>
      <c r="I170" s="29"/>
      <c r="J170" s="30"/>
      <c r="K170" s="30"/>
      <c r="L170" s="29"/>
    </row>
    <row r="171" spans="1:12">
      <c r="A171" s="26">
        <v>71</v>
      </c>
      <c r="B171" s="9" t="s">
        <v>75</v>
      </c>
      <c r="C171" s="31" t="s">
        <v>275</v>
      </c>
      <c r="D171" s="34">
        <v>0</v>
      </c>
      <c r="F171" s="29">
        <f>ROUND(SUMIF(Определители!I15:I17,"=:",'Базовые цены с учетом расхода'!N15:N17),0)</f>
        <v>0</v>
      </c>
      <c r="G171" s="29"/>
      <c r="H171" s="29"/>
      <c r="I171" s="29"/>
      <c r="J171" s="30"/>
      <c r="K171" s="30"/>
      <c r="L171" s="29"/>
    </row>
    <row r="172" spans="1:12">
      <c r="A172" s="26">
        <v>72</v>
      </c>
      <c r="B172" s="9" t="s">
        <v>76</v>
      </c>
      <c r="C172" s="31" t="s">
        <v>275</v>
      </c>
      <c r="D172" s="34">
        <v>0</v>
      </c>
      <c r="F172" s="29">
        <f>ROUND(SUMIF(Определители!I15:I17,"=:",'Базовые цены с учетом расхода'!O15:O17),0)</f>
        <v>0</v>
      </c>
      <c r="G172" s="29"/>
      <c r="H172" s="29"/>
      <c r="I172" s="29"/>
      <c r="J172" s="30"/>
      <c r="K172" s="30"/>
      <c r="L172" s="29"/>
    </row>
    <row r="173" spans="1:12">
      <c r="A173" s="26">
        <v>73</v>
      </c>
      <c r="B173" s="9" t="s">
        <v>101</v>
      </c>
      <c r="C173" s="31" t="s">
        <v>276</v>
      </c>
      <c r="D173" s="34">
        <v>0</v>
      </c>
      <c r="F173" s="29">
        <f>ROUND((F169+F171+F172),0)</f>
        <v>0</v>
      </c>
      <c r="G173" s="29"/>
      <c r="H173" s="29"/>
      <c r="I173" s="29"/>
      <c r="J173" s="30"/>
      <c r="K173" s="30"/>
      <c r="L173" s="29"/>
    </row>
    <row r="174" spans="1:12">
      <c r="A174" s="26">
        <v>74</v>
      </c>
      <c r="B174" s="9" t="s">
        <v>102</v>
      </c>
      <c r="C174" s="31" t="s">
        <v>275</v>
      </c>
      <c r="D174" s="34">
        <v>0</v>
      </c>
      <c r="F174" s="29">
        <f>ROUND(SUMIF(Определители!I15:I17,"=8",'Базовые цены с учетом расхода'!B15:B17),0)</f>
        <v>0</v>
      </c>
      <c r="G174" s="29">
        <f>ROUND(SUMIF(Определители!I15:I17,"=8",'Базовые цены с учетом расхода'!C15:C17),0)</f>
        <v>0</v>
      </c>
      <c r="H174" s="29">
        <f>ROUND(SUMIF(Определители!I15:I17,"=8",'Базовые цены с учетом расхода'!D15:D17),0)</f>
        <v>0</v>
      </c>
      <c r="I174" s="29">
        <f>ROUND(SUMIF(Определители!I15:I17,"=8",'Базовые цены с учетом расхода'!E15:E17),0)</f>
        <v>0</v>
      </c>
      <c r="J174" s="30">
        <f>ROUND(SUMIF(Определители!I15:I17,"=8",'Базовые цены с учетом расхода'!I15:I17),8)</f>
        <v>0</v>
      </c>
      <c r="K174" s="30">
        <f>ROUND(SUMIF(Определители!I15:I17,"=8",'Базовые цены с учетом расхода'!K15:K17),8)</f>
        <v>0</v>
      </c>
      <c r="L174" s="29">
        <f>ROUND(SUMIF(Определители!I15:I17,"=8",'Базовые цены с учетом расхода'!F15:F17),0)</f>
        <v>0</v>
      </c>
    </row>
    <row r="175" spans="1:12">
      <c r="A175" s="26">
        <v>75</v>
      </c>
      <c r="B175" s="9" t="s">
        <v>74</v>
      </c>
      <c r="C175" s="31" t="s">
        <v>275</v>
      </c>
      <c r="D175" s="34">
        <v>0</v>
      </c>
      <c r="F175" s="29">
        <f>ROUND(SUMIF(Определители!I15:I17,"=8",'Базовые цены с учетом расхода'!H15:H17),0)</f>
        <v>0</v>
      </c>
      <c r="G175" s="29"/>
      <c r="H175" s="29"/>
      <c r="I175" s="29"/>
      <c r="J175" s="30"/>
      <c r="K175" s="30"/>
      <c r="L175" s="29"/>
    </row>
    <row r="176" spans="1:12">
      <c r="A176" s="26">
        <v>76</v>
      </c>
      <c r="B176" s="9" t="s">
        <v>158</v>
      </c>
      <c r="C176" s="31" t="s">
        <v>276</v>
      </c>
      <c r="D176" s="34">
        <v>0</v>
      </c>
      <c r="F176" s="29" t="e">
        <f ca="1">ROUND((F111+F121+F128+F133+F141+F146+F151+F158+F168+F173+F174+F164),0)</f>
        <v>#NAME?</v>
      </c>
      <c r="G176" s="29">
        <f>ROUND((G111+G121+G128+G133+G141+G146+G151+G158+G168+G173+G174+G164),0)</f>
        <v>0</v>
      </c>
      <c r="H176" s="29">
        <f>ROUND((H111+H121+H128+H133+H141+H146+H151+H158+H168+H173+H174+H164),0)</f>
        <v>0</v>
      </c>
      <c r="I176" s="29">
        <f>ROUND((I111+I121+I128+I133+I141+I146+I151+I158+I168+I173+I174+I164),0)</f>
        <v>0</v>
      </c>
      <c r="J176" s="30">
        <f>ROUND((J111+J121+J128+J133+J141+J146+J151+J158+J168+J173+J174+J164),8)</f>
        <v>0</v>
      </c>
      <c r="K176" s="30">
        <f>ROUND((K111+K121+K128+K133+K141+K146+K151+K158+K168+K173+K174+K164),8)</f>
        <v>0</v>
      </c>
      <c r="L176" s="29">
        <f>ROUND((L111+L121+L128+L133+L141+L146+L151+L158+L168+L173+L174+L164),0)</f>
        <v>0</v>
      </c>
    </row>
    <row r="177" spans="1:14">
      <c r="A177" s="26">
        <v>77</v>
      </c>
      <c r="B177" s="9" t="s">
        <v>104</v>
      </c>
      <c r="C177" s="31" t="s">
        <v>276</v>
      </c>
      <c r="D177" s="34">
        <v>0</v>
      </c>
      <c r="F177" s="29">
        <f>ROUND((F117+F125+F130+F137+F143+F148+F155+F170+F175),0)</f>
        <v>0</v>
      </c>
      <c r="G177" s="29"/>
      <c r="H177" s="29"/>
      <c r="I177" s="29"/>
      <c r="J177" s="30"/>
      <c r="K177" s="30"/>
      <c r="L177" s="29"/>
    </row>
    <row r="178" spans="1:14">
      <c r="A178" s="26">
        <v>78</v>
      </c>
      <c r="B178" s="9" t="s">
        <v>105</v>
      </c>
      <c r="C178" s="31" t="s">
        <v>276</v>
      </c>
      <c r="D178" s="34">
        <v>0</v>
      </c>
      <c r="F178" s="29">
        <f>ROUND((F118+F126+F131+F138+F144+F149+F156+F166+F171+F162),0)</f>
        <v>152</v>
      </c>
      <c r="G178" s="29"/>
      <c r="H178" s="29"/>
      <c r="I178" s="29"/>
      <c r="J178" s="30"/>
      <c r="K178" s="30"/>
      <c r="L178" s="29"/>
    </row>
    <row r="179" spans="1:14">
      <c r="A179" s="26">
        <v>79</v>
      </c>
      <c r="B179" s="9" t="s">
        <v>106</v>
      </c>
      <c r="C179" s="31" t="s">
        <v>276</v>
      </c>
      <c r="D179" s="34">
        <v>0</v>
      </c>
      <c r="F179" s="29">
        <f>ROUND((F119+F127+F132+F139+F145+F150+F157+F167+F172+F163),0)</f>
        <v>128</v>
      </c>
      <c r="G179" s="29"/>
      <c r="H179" s="29"/>
      <c r="I179" s="29"/>
      <c r="J179" s="30"/>
      <c r="K179" s="30"/>
      <c r="L179" s="29"/>
    </row>
    <row r="180" spans="1:14">
      <c r="A180" s="26">
        <v>80</v>
      </c>
      <c r="B180" s="9" t="s">
        <v>33</v>
      </c>
      <c r="C180" s="31" t="s">
        <v>277</v>
      </c>
      <c r="D180" s="34">
        <v>0</v>
      </c>
      <c r="F180" s="29">
        <f>ROUND(SUM('Базовые цены с учетом расхода'!X15:X17),0)</f>
        <v>0</v>
      </c>
      <c r="G180" s="29"/>
      <c r="H180" s="29"/>
      <c r="I180" s="29"/>
      <c r="J180" s="30"/>
      <c r="K180" s="30"/>
      <c r="L180" s="29">
        <f>ROUND(SUM('Базовые цены с учетом расхода'!X15:X17),0)</f>
        <v>0</v>
      </c>
    </row>
    <row r="181" spans="1:14">
      <c r="A181" s="26">
        <v>81</v>
      </c>
      <c r="B181" s="9" t="s">
        <v>107</v>
      </c>
      <c r="C181" s="31" t="s">
        <v>277</v>
      </c>
      <c r="D181" s="34">
        <v>0</v>
      </c>
      <c r="F181" s="29">
        <f>ROUND(SUM(G181:N181),0)</f>
        <v>0</v>
      </c>
      <c r="G181" s="29"/>
      <c r="H181" s="29"/>
      <c r="I181" s="29"/>
      <c r="J181" s="30"/>
      <c r="K181" s="30"/>
      <c r="L181" s="29">
        <f>ROUND(SUM('Базовые цены с учетом расхода'!AE15:AE17),0)</f>
        <v>0</v>
      </c>
    </row>
    <row r="182" spans="1:14">
      <c r="A182" s="26">
        <v>82</v>
      </c>
      <c r="B182" s="9" t="s">
        <v>108</v>
      </c>
      <c r="C182" s="31" t="s">
        <v>277</v>
      </c>
      <c r="D182" s="34">
        <v>0</v>
      </c>
      <c r="F182" s="29">
        <f>ROUND(SUM('Базовые цены с учетом расхода'!C15:C17),0)</f>
        <v>164</v>
      </c>
      <c r="G182" s="29"/>
      <c r="H182" s="29"/>
      <c r="I182" s="29"/>
      <c r="J182" s="30"/>
      <c r="K182" s="30"/>
      <c r="L182" s="29"/>
    </row>
    <row r="183" spans="1:14">
      <c r="A183" s="26">
        <v>83</v>
      </c>
      <c r="B183" s="9" t="s">
        <v>109</v>
      </c>
      <c r="C183" s="31" t="s">
        <v>277</v>
      </c>
      <c r="D183" s="34">
        <v>0</v>
      </c>
      <c r="F183" s="29">
        <f>ROUND(SUM('Базовые цены с учетом расхода'!E15:E17),0)</f>
        <v>18</v>
      </c>
      <c r="G183" s="29"/>
      <c r="H183" s="29"/>
      <c r="I183" s="29"/>
      <c r="J183" s="30"/>
      <c r="K183" s="30"/>
      <c r="L183" s="29"/>
    </row>
    <row r="184" spans="1:14">
      <c r="A184" s="26">
        <v>84</v>
      </c>
      <c r="B184" s="9" t="s">
        <v>110</v>
      </c>
      <c r="C184" s="31" t="s">
        <v>278</v>
      </c>
      <c r="D184" s="34">
        <v>0</v>
      </c>
      <c r="F184" s="29">
        <f>ROUND((F182+F183),0)</f>
        <v>182</v>
      </c>
      <c r="G184" s="29"/>
      <c r="H184" s="29"/>
      <c r="I184" s="29"/>
      <c r="J184" s="30"/>
      <c r="K184" s="30"/>
      <c r="L184" s="29"/>
    </row>
    <row r="185" spans="1:14">
      <c r="A185" s="26">
        <v>85</v>
      </c>
      <c r="B185" s="9" t="s">
        <v>111</v>
      </c>
      <c r="C185" s="31" t="s">
        <v>277</v>
      </c>
      <c r="D185" s="34">
        <v>0</v>
      </c>
      <c r="F185" s="29"/>
      <c r="G185" s="29"/>
      <c r="H185" s="29"/>
      <c r="I185" s="29"/>
      <c r="J185" s="30" t="e">
        <f ca="1">ROUND(SUM('Базовые цены с учетом расхода'!I15:I17),8)</f>
        <v>#NAME?</v>
      </c>
      <c r="K185" s="30"/>
      <c r="L185" s="29"/>
    </row>
    <row r="186" spans="1:14">
      <c r="A186" s="26">
        <v>86</v>
      </c>
      <c r="B186" s="9" t="s">
        <v>112</v>
      </c>
      <c r="C186" s="31" t="s">
        <v>277</v>
      </c>
      <c r="D186" s="34">
        <v>0</v>
      </c>
      <c r="F186" s="29"/>
      <c r="G186" s="29"/>
      <c r="H186" s="29"/>
      <c r="I186" s="29"/>
      <c r="J186" s="30" t="e">
        <f ca="1">ROUND(SUM('Базовые цены с учетом расхода'!K15:K17),8)</f>
        <v>#NAME?</v>
      </c>
      <c r="K186" s="30"/>
      <c r="L186" s="29"/>
    </row>
    <row r="187" spans="1:14">
      <c r="A187" s="26">
        <v>87</v>
      </c>
      <c r="B187" s="9" t="s">
        <v>113</v>
      </c>
      <c r="C187" s="31" t="s">
        <v>278</v>
      </c>
      <c r="D187" s="34">
        <v>0</v>
      </c>
      <c r="F187" s="29"/>
      <c r="G187" s="29"/>
      <c r="H187" s="29"/>
      <c r="I187" s="29"/>
      <c r="J187" s="30" t="e">
        <f ca="1">ROUND((J185+J186),8)</f>
        <v>#NAME?</v>
      </c>
      <c r="K187" s="30"/>
      <c r="L187" s="29"/>
    </row>
    <row r="189" spans="1:14">
      <c r="B189" s="49" t="s">
        <v>127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</row>
    <row r="190" spans="1:14"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</row>
    <row r="191" spans="1:14" s="27" customFormat="1">
      <c r="A191" s="7"/>
      <c r="B191" s="27" t="s">
        <v>262</v>
      </c>
      <c r="C191" s="27" t="s">
        <v>263</v>
      </c>
      <c r="D191" s="35" t="s">
        <v>264</v>
      </c>
      <c r="E191" s="27" t="s">
        <v>265</v>
      </c>
      <c r="F191" s="27" t="s">
        <v>266</v>
      </c>
      <c r="G191" s="27" t="s">
        <v>267</v>
      </c>
      <c r="H191" s="27" t="s">
        <v>268</v>
      </c>
      <c r="I191" s="27" t="s">
        <v>269</v>
      </c>
      <c r="J191" s="27" t="s">
        <v>270</v>
      </c>
      <c r="K191" s="27" t="s">
        <v>271</v>
      </c>
      <c r="L191" s="27" t="s">
        <v>272</v>
      </c>
      <c r="M191" s="27" t="s">
        <v>273</v>
      </c>
    </row>
    <row r="192" spans="1:14">
      <c r="A192" s="26">
        <v>1</v>
      </c>
      <c r="B192" s="9" t="s">
        <v>153</v>
      </c>
      <c r="C192" s="31" t="s">
        <v>274</v>
      </c>
      <c r="D192" s="34">
        <v>0</v>
      </c>
      <c r="E192" s="34"/>
      <c r="F192" s="29">
        <f>ROUND(SUM('Базовые цены с учетом расхода'!B21:B26),0)</f>
        <v>10075</v>
      </c>
      <c r="G192" s="29">
        <f>ROUND(SUM('Базовые цены с учетом расхода'!C21:C26),0)</f>
        <v>718</v>
      </c>
      <c r="H192" s="29">
        <f>ROUND(SUM('Базовые цены с учетом расхода'!D21:D26),0)</f>
        <v>483</v>
      </c>
      <c r="I192" s="29">
        <f>ROUND(SUM('Базовые цены с учетом расхода'!E21:E26),0)</f>
        <v>36</v>
      </c>
      <c r="J192" s="30" t="e">
        <f ca="1">ROUND(SUM('Базовые цены с учетом расхода'!I21:I26),8)</f>
        <v>#NAME?</v>
      </c>
      <c r="K192" s="30" t="e">
        <f ca="1">ROUND(SUM('Базовые цены с учетом расхода'!K21:K26),8)</f>
        <v>#NAME?</v>
      </c>
      <c r="L192" s="29">
        <f>ROUND(SUM('Базовые цены с учетом расхода'!F21:F26),0)</f>
        <v>8874</v>
      </c>
      <c r="N192" s="34"/>
    </row>
    <row r="193" spans="1:12">
      <c r="A193" s="26">
        <v>2</v>
      </c>
      <c r="B193" s="9" t="s">
        <v>59</v>
      </c>
      <c r="C193" s="31" t="s">
        <v>275</v>
      </c>
      <c r="D193" s="34">
        <v>0</v>
      </c>
      <c r="F193" s="29">
        <f>ROUND(SUMIF(Определители!I21:I26,"= ",'Базовые цены с учетом расхода'!B21:B26),0)</f>
        <v>0</v>
      </c>
      <c r="G193" s="29">
        <f>ROUND(SUMIF(Определители!I21:I26,"= ",'Базовые цены с учетом расхода'!C21:C26),0)</f>
        <v>0</v>
      </c>
      <c r="H193" s="29">
        <f>ROUND(SUMIF(Определители!I21:I26,"= ",'Базовые цены с учетом расхода'!D21:D26),0)</f>
        <v>0</v>
      </c>
      <c r="I193" s="29">
        <f>ROUND(SUMIF(Определители!I21:I26,"= ",'Базовые цены с учетом расхода'!E21:E26),0)</f>
        <v>0</v>
      </c>
      <c r="J193" s="30">
        <f>ROUND(SUMIF(Определители!I21:I26,"= ",'Базовые цены с учетом расхода'!I21:I26),8)</f>
        <v>0</v>
      </c>
      <c r="K193" s="30">
        <f>ROUND(SUMIF(Определители!I21:I26,"= ",'Базовые цены с учетом расхода'!K21:K26),8)</f>
        <v>0</v>
      </c>
      <c r="L193" s="29">
        <f>ROUND(SUMIF(Определители!I21:I26,"= ",'Базовые цены с учетом расхода'!F21:F26),0)</f>
        <v>0</v>
      </c>
    </row>
    <row r="194" spans="1:12">
      <c r="A194" s="26">
        <v>3</v>
      </c>
      <c r="B194" s="9" t="s">
        <v>60</v>
      </c>
      <c r="C194" s="31" t="s">
        <v>275</v>
      </c>
      <c r="D194" s="34">
        <v>0</v>
      </c>
      <c r="F194" s="29" t="e">
        <f ca="1">ROUND(СУММПРОИЗВЕСЛИ(0.01,Определители!I21:I26," ",'Базовые цены с учетом расхода'!B21:B26,Начисления!X21:X26,0),0)</f>
        <v>#NAME?</v>
      </c>
      <c r="G194" s="29"/>
      <c r="H194" s="29"/>
      <c r="I194" s="29"/>
      <c r="J194" s="30"/>
      <c r="K194" s="30"/>
      <c r="L194" s="29"/>
    </row>
    <row r="195" spans="1:12">
      <c r="A195" s="26">
        <v>4</v>
      </c>
      <c r="B195" s="9" t="s">
        <v>61</v>
      </c>
      <c r="C195" s="31" t="s">
        <v>275</v>
      </c>
      <c r="D195" s="34">
        <v>0</v>
      </c>
      <c r="F195" s="29" t="e">
        <f ca="1">ROUND(СУММПРОИЗВЕСЛИ(0.01,Определители!I21:I26," ",'Базовые цены с учетом расхода'!B21:B26,Начисления!Y21:Y26,0),0)</f>
        <v>#NAME?</v>
      </c>
      <c r="G195" s="29"/>
      <c r="H195" s="29"/>
      <c r="I195" s="29"/>
      <c r="J195" s="30"/>
      <c r="K195" s="30"/>
      <c r="L195" s="29"/>
    </row>
    <row r="196" spans="1:12">
      <c r="A196" s="26">
        <v>5</v>
      </c>
      <c r="B196" s="9" t="s">
        <v>62</v>
      </c>
      <c r="C196" s="31" t="s">
        <v>275</v>
      </c>
      <c r="D196" s="34">
        <v>0</v>
      </c>
      <c r="F196" s="29" t="e">
        <f ca="1">ROUND(ТРАНСПРАСХОД(Определители!B21:B26,Определители!H21:H26,Определители!I21:I26,'Базовые цены с учетом расхода'!B21:B26,Начисления!Z21:Z26,Начисления!AA21:AA26),0)</f>
        <v>#NAME?</v>
      </c>
      <c r="G196" s="29"/>
      <c r="H196" s="29"/>
      <c r="I196" s="29"/>
      <c r="J196" s="30"/>
      <c r="K196" s="30"/>
      <c r="L196" s="29"/>
    </row>
    <row r="197" spans="1:12">
      <c r="A197" s="26">
        <v>6</v>
      </c>
      <c r="B197" s="9" t="s">
        <v>63</v>
      </c>
      <c r="C197" s="31" t="s">
        <v>275</v>
      </c>
      <c r="D197" s="34">
        <v>0</v>
      </c>
      <c r="F197" s="29" t="e">
        <f ca="1">ROUND(СУММПРОИЗВЕСЛИ(0.01,Определители!I21:I26," ",'Базовые цены с учетом расхода'!B21:B26,Начисления!AC21:AC26,0),0)</f>
        <v>#NAME?</v>
      </c>
      <c r="G197" s="29"/>
      <c r="H197" s="29"/>
      <c r="I197" s="29"/>
      <c r="J197" s="30"/>
      <c r="K197" s="30"/>
      <c r="L197" s="29"/>
    </row>
    <row r="198" spans="1:12">
      <c r="A198" s="26">
        <v>7</v>
      </c>
      <c r="B198" s="9" t="s">
        <v>64</v>
      </c>
      <c r="C198" s="31" t="s">
        <v>275</v>
      </c>
      <c r="D198" s="34">
        <v>0</v>
      </c>
      <c r="F198" s="29" t="e">
        <f ca="1">ROUND(СУММПРОИЗВЕСЛИ(0.01,Определители!I21:I26," ",'Базовые цены с учетом расхода'!B21:B26,Начисления!AF21:AF26,0),0)</f>
        <v>#NAME?</v>
      </c>
      <c r="G198" s="29"/>
      <c r="H198" s="29"/>
      <c r="I198" s="29"/>
      <c r="J198" s="30"/>
      <c r="K198" s="30"/>
      <c r="L198" s="29"/>
    </row>
    <row r="199" spans="1:12">
      <c r="A199" s="26">
        <v>8</v>
      </c>
      <c r="B199" s="9" t="s">
        <v>65</v>
      </c>
      <c r="C199" s="31" t="s">
        <v>275</v>
      </c>
      <c r="D199" s="34">
        <v>0</v>
      </c>
      <c r="F199" s="29" t="e">
        <f ca="1">ROUND(ЗАГОТСКЛАДРАСХОД(Определители!B21:B26,Определители!H21:H26,Определители!I21:I26,'Базовые цены с учетом расхода'!B21:B26,Начисления!X21:X26,Начисления!Y21:Y26,Начисления!Z21:Z26,Начисления!AA21:AA26,Начисления!AB21:AB26,Начисления!AC21:AC26,Начисления!AF21:AF26),0)</f>
        <v>#NAME?</v>
      </c>
      <c r="G199" s="29"/>
      <c r="H199" s="29"/>
      <c r="I199" s="29"/>
      <c r="J199" s="30"/>
      <c r="K199" s="30"/>
      <c r="L199" s="29"/>
    </row>
    <row r="200" spans="1:12">
      <c r="A200" s="26">
        <v>9</v>
      </c>
      <c r="B200" s="9" t="s">
        <v>66</v>
      </c>
      <c r="C200" s="31" t="s">
        <v>275</v>
      </c>
      <c r="D200" s="34">
        <v>0</v>
      </c>
      <c r="F200" s="29" t="e">
        <f ca="1">ROUND(СУММПРОИЗВЕСЛИ(1,Определители!I21:I26," ",'Базовые цены с учетом расхода'!M21:M26,Начисления!I21:I26,0),0)</f>
        <v>#NAME?</v>
      </c>
      <c r="G200" s="29"/>
      <c r="H200" s="29"/>
      <c r="I200" s="29"/>
      <c r="J200" s="30"/>
      <c r="K200" s="30"/>
      <c r="L200" s="29"/>
    </row>
    <row r="201" spans="1:12">
      <c r="A201" s="26">
        <v>10</v>
      </c>
      <c r="B201" s="9" t="s">
        <v>67</v>
      </c>
      <c r="C201" s="31" t="s">
        <v>276</v>
      </c>
      <c r="D201" s="34">
        <v>0</v>
      </c>
      <c r="F201" s="29" t="e">
        <f ca="1">ROUND((F200+F211+F231),0)</f>
        <v>#NAME?</v>
      </c>
      <c r="G201" s="29"/>
      <c r="H201" s="29"/>
      <c r="I201" s="29"/>
      <c r="J201" s="30"/>
      <c r="K201" s="30"/>
      <c r="L201" s="29"/>
    </row>
    <row r="202" spans="1:12">
      <c r="A202" s="26">
        <v>11</v>
      </c>
      <c r="B202" s="9" t="s">
        <v>68</v>
      </c>
      <c r="C202" s="31" t="s">
        <v>276</v>
      </c>
      <c r="D202" s="34">
        <v>0</v>
      </c>
      <c r="F202" s="29" t="e">
        <f ca="1">ROUND((F193+F194+F195+F196+F197+F198+F199+F201),0)</f>
        <v>#NAME?</v>
      </c>
      <c r="G202" s="29"/>
      <c r="H202" s="29"/>
      <c r="I202" s="29"/>
      <c r="J202" s="30"/>
      <c r="K202" s="30"/>
      <c r="L202" s="29"/>
    </row>
    <row r="203" spans="1:12">
      <c r="A203" s="26">
        <v>12</v>
      </c>
      <c r="B203" s="9" t="s">
        <v>69</v>
      </c>
      <c r="C203" s="31" t="s">
        <v>275</v>
      </c>
      <c r="D203" s="34">
        <v>0</v>
      </c>
      <c r="F203" s="29">
        <f>ROUND(SUMIF(Определители!I21:I26,"=1",'Базовые цены с учетом расхода'!B21:B26),0)</f>
        <v>0</v>
      </c>
      <c r="G203" s="29">
        <f>ROUND(SUMIF(Определители!I21:I26,"=1",'Базовые цены с учетом расхода'!C21:C26),0)</f>
        <v>0</v>
      </c>
      <c r="H203" s="29">
        <f>ROUND(SUMIF(Определители!I21:I26,"=1",'Базовые цены с учетом расхода'!D21:D26),0)</f>
        <v>0</v>
      </c>
      <c r="I203" s="29">
        <f>ROUND(SUMIF(Определители!I21:I26,"=1",'Базовые цены с учетом расхода'!E21:E26),0)</f>
        <v>0</v>
      </c>
      <c r="J203" s="30">
        <f>ROUND(SUMIF(Определители!I21:I26,"=1",'Базовые цены с учетом расхода'!I21:I26),8)</f>
        <v>0</v>
      </c>
      <c r="K203" s="30">
        <f>ROUND(SUMIF(Определители!I21:I26,"=1",'Базовые цены с учетом расхода'!K21:K26),8)</f>
        <v>0</v>
      </c>
      <c r="L203" s="29">
        <f>ROUND(SUMIF(Определители!I21:I26,"=1",'Базовые цены с учетом расхода'!F21:F26),0)</f>
        <v>0</v>
      </c>
    </row>
    <row r="204" spans="1:12">
      <c r="A204" s="26">
        <v>13</v>
      </c>
      <c r="B204" s="9" t="s">
        <v>70</v>
      </c>
      <c r="C204" s="31" t="s">
        <v>275</v>
      </c>
      <c r="D204" s="34">
        <v>0</v>
      </c>
      <c r="F204" s="29"/>
      <c r="G204" s="29"/>
      <c r="H204" s="29"/>
      <c r="I204" s="29"/>
      <c r="J204" s="30"/>
      <c r="K204" s="30"/>
      <c r="L204" s="29"/>
    </row>
    <row r="205" spans="1:12">
      <c r="A205" s="26">
        <v>14</v>
      </c>
      <c r="B205" s="9" t="s">
        <v>71</v>
      </c>
      <c r="C205" s="31" t="s">
        <v>275</v>
      </c>
      <c r="D205" s="34">
        <v>0</v>
      </c>
      <c r="F205" s="29"/>
      <c r="G205" s="29">
        <f>ROUND(SUMIF(Определители!I21:I26,"=1",'Базовые цены с учетом расхода'!T21:T26),0)</f>
        <v>0</v>
      </c>
      <c r="H205" s="29"/>
      <c r="I205" s="29"/>
      <c r="J205" s="30"/>
      <c r="K205" s="30"/>
      <c r="L205" s="29"/>
    </row>
    <row r="206" spans="1:12">
      <c r="A206" s="26">
        <v>15</v>
      </c>
      <c r="B206" s="9" t="s">
        <v>72</v>
      </c>
      <c r="C206" s="31" t="s">
        <v>275</v>
      </c>
      <c r="D206" s="34">
        <v>0</v>
      </c>
      <c r="F206" s="29">
        <f>ROUND(SUMIF(Определители!I21:I26,"=1",'Базовые цены с учетом расхода'!U21:U26),0)</f>
        <v>0</v>
      </c>
      <c r="G206" s="29"/>
      <c r="H206" s="29"/>
      <c r="I206" s="29"/>
      <c r="J206" s="30"/>
      <c r="K206" s="30"/>
      <c r="L206" s="29"/>
    </row>
    <row r="207" spans="1:12">
      <c r="A207" s="26">
        <v>16</v>
      </c>
      <c r="B207" s="9" t="s">
        <v>73</v>
      </c>
      <c r="C207" s="31" t="s">
        <v>275</v>
      </c>
      <c r="D207" s="34">
        <v>0</v>
      </c>
      <c r="F207" s="29" t="e">
        <f ca="1">ROUND(СУММЕСЛИ2(Определители!I21:I26,"1",Определители!G21:G26,"1",'Базовые цены с учетом расхода'!B21:B26),0)</f>
        <v>#NAME?</v>
      </c>
      <c r="G207" s="29"/>
      <c r="H207" s="29"/>
      <c r="I207" s="29"/>
      <c r="J207" s="30"/>
      <c r="K207" s="30"/>
      <c r="L207" s="29"/>
    </row>
    <row r="208" spans="1:12">
      <c r="A208" s="26">
        <v>17</v>
      </c>
      <c r="B208" s="9" t="s">
        <v>74</v>
      </c>
      <c r="C208" s="31" t="s">
        <v>275</v>
      </c>
      <c r="D208" s="34">
        <v>0</v>
      </c>
      <c r="F208" s="29">
        <f>ROUND(SUMIF(Определители!I21:I26,"=1",'Базовые цены с учетом расхода'!H21:H26),0)</f>
        <v>0</v>
      </c>
      <c r="G208" s="29"/>
      <c r="H208" s="29"/>
      <c r="I208" s="29"/>
      <c r="J208" s="30"/>
      <c r="K208" s="30"/>
      <c r="L208" s="29"/>
    </row>
    <row r="209" spans="1:12">
      <c r="A209" s="26">
        <v>18</v>
      </c>
      <c r="B209" s="9" t="s">
        <v>75</v>
      </c>
      <c r="C209" s="31" t="s">
        <v>275</v>
      </c>
      <c r="D209" s="34">
        <v>0</v>
      </c>
      <c r="F209" s="29">
        <f>ROUND(SUMIF(Определители!I21:I26,"=1",'Базовые цены с учетом расхода'!N21:N26),0)</f>
        <v>0</v>
      </c>
      <c r="G209" s="29"/>
      <c r="H209" s="29"/>
      <c r="I209" s="29"/>
      <c r="J209" s="30"/>
      <c r="K209" s="30"/>
      <c r="L209" s="29"/>
    </row>
    <row r="210" spans="1:12">
      <c r="A210" s="26">
        <v>19</v>
      </c>
      <c r="B210" s="9" t="s">
        <v>76</v>
      </c>
      <c r="C210" s="31" t="s">
        <v>275</v>
      </c>
      <c r="D210" s="34">
        <v>0</v>
      </c>
      <c r="F210" s="29">
        <f>ROUND(SUMIF(Определители!I21:I26,"=1",'Базовые цены с учетом расхода'!O21:O26),0)</f>
        <v>0</v>
      </c>
      <c r="G210" s="29"/>
      <c r="H210" s="29"/>
      <c r="I210" s="29"/>
      <c r="J210" s="30"/>
      <c r="K210" s="30"/>
      <c r="L210" s="29"/>
    </row>
    <row r="211" spans="1:12">
      <c r="A211" s="26">
        <v>20</v>
      </c>
      <c r="B211" s="9" t="s">
        <v>67</v>
      </c>
      <c r="C211" s="31" t="s">
        <v>275</v>
      </c>
      <c r="D211" s="34">
        <v>0</v>
      </c>
      <c r="F211" s="29" t="e">
        <f ca="1">ROUND(СУММПРОИЗВЕСЛИ(1,Определители!I21:I26," ",'Базовые цены с учетом расхода'!M21:M26,Начисления!I21:I26,0),0)</f>
        <v>#NAME?</v>
      </c>
      <c r="G211" s="29"/>
      <c r="H211" s="29"/>
      <c r="I211" s="29"/>
      <c r="J211" s="30"/>
      <c r="K211" s="30"/>
      <c r="L211" s="29"/>
    </row>
    <row r="212" spans="1:12">
      <c r="A212" s="26">
        <v>21</v>
      </c>
      <c r="B212" s="9" t="s">
        <v>77</v>
      </c>
      <c r="C212" s="31" t="s">
        <v>276</v>
      </c>
      <c r="D212" s="34">
        <v>0</v>
      </c>
      <c r="F212" s="29">
        <f>ROUND((F203+F209+F210),0)</f>
        <v>0</v>
      </c>
      <c r="G212" s="29"/>
      <c r="H212" s="29"/>
      <c r="I212" s="29"/>
      <c r="J212" s="30"/>
      <c r="K212" s="30"/>
      <c r="L212" s="29"/>
    </row>
    <row r="213" spans="1:12">
      <c r="A213" s="26">
        <v>22</v>
      </c>
      <c r="B213" s="9" t="s">
        <v>78</v>
      </c>
      <c r="C213" s="31" t="s">
        <v>275</v>
      </c>
      <c r="D213" s="34">
        <v>0</v>
      </c>
      <c r="F213" s="29">
        <f>ROUND(SUMIF(Определители!I21:I26,"=2",'Базовые цены с учетом расхода'!B21:B26),0)</f>
        <v>9210</v>
      </c>
      <c r="G213" s="29">
        <f>ROUND(SUMIF(Определители!I21:I26,"=2",'Базовые цены с учетом расхода'!C21:C26),0)</f>
        <v>446</v>
      </c>
      <c r="H213" s="29">
        <f>ROUND(SUMIF(Определители!I21:I26,"=2",'Базовые цены с учетом расхода'!D21:D26),0)</f>
        <v>15</v>
      </c>
      <c r="I213" s="29">
        <f>ROUND(SUMIF(Определители!I21:I26,"=2",'Базовые цены с учетом расхода'!E21:E26),0)</f>
        <v>0</v>
      </c>
      <c r="J213" s="30" t="e">
        <f ca="1">ROUND(SUMIF(Определители!I21:I26,"=2",'Базовые цены с учетом расхода'!I21:I26),8)</f>
        <v>#NAME?</v>
      </c>
      <c r="K213" s="30" t="e">
        <f ca="1">ROUND(SUMIF(Определители!I21:I26,"=2",'Базовые цены с учетом расхода'!K21:K26),8)</f>
        <v>#NAME?</v>
      </c>
      <c r="L213" s="29">
        <f>ROUND(SUMIF(Определители!I21:I26,"=2",'Базовые цены с учетом расхода'!F21:F26),0)</f>
        <v>8749</v>
      </c>
    </row>
    <row r="214" spans="1:12">
      <c r="A214" s="26">
        <v>23</v>
      </c>
      <c r="B214" s="9" t="s">
        <v>70</v>
      </c>
      <c r="C214" s="31" t="s">
        <v>275</v>
      </c>
      <c r="D214" s="34">
        <v>0</v>
      </c>
      <c r="F214" s="29"/>
      <c r="G214" s="29"/>
      <c r="H214" s="29"/>
      <c r="I214" s="29"/>
      <c r="J214" s="30"/>
      <c r="K214" s="30"/>
      <c r="L214" s="29"/>
    </row>
    <row r="215" spans="1:12">
      <c r="A215" s="26">
        <v>24</v>
      </c>
      <c r="B215" s="9" t="s">
        <v>79</v>
      </c>
      <c r="C215" s="31" t="s">
        <v>275</v>
      </c>
      <c r="D215" s="34">
        <v>0</v>
      </c>
      <c r="F215" s="29" t="e">
        <f ca="1">ROUND(СУММЕСЛИ2(Определители!I21:I26,"2",Определители!G21:G26,"1",'Базовые цены с учетом расхода'!B21:B26),0)</f>
        <v>#NAME?</v>
      </c>
      <c r="G215" s="29"/>
      <c r="H215" s="29"/>
      <c r="I215" s="29"/>
      <c r="J215" s="30"/>
      <c r="K215" s="30"/>
      <c r="L215" s="29"/>
    </row>
    <row r="216" spans="1:12">
      <c r="A216" s="26">
        <v>25</v>
      </c>
      <c r="B216" s="9" t="s">
        <v>74</v>
      </c>
      <c r="C216" s="31" t="s">
        <v>275</v>
      </c>
      <c r="D216" s="34">
        <v>0</v>
      </c>
      <c r="F216" s="29">
        <f>ROUND(SUMIF(Определители!I21:I26,"=2",'Базовые цены с учетом расхода'!H21:H26),0)</f>
        <v>0</v>
      </c>
      <c r="G216" s="29"/>
      <c r="H216" s="29"/>
      <c r="I216" s="29"/>
      <c r="J216" s="30"/>
      <c r="K216" s="30"/>
      <c r="L216" s="29"/>
    </row>
    <row r="217" spans="1:12">
      <c r="A217" s="26">
        <v>26</v>
      </c>
      <c r="B217" s="9" t="s">
        <v>75</v>
      </c>
      <c r="C217" s="31" t="s">
        <v>275</v>
      </c>
      <c r="D217" s="34">
        <v>0</v>
      </c>
      <c r="F217" s="29">
        <f>ROUND(SUMIF(Определители!I21:I26,"=2",'Базовые цены с учетом расхода'!N21:N26),0)</f>
        <v>397</v>
      </c>
      <c r="G217" s="29"/>
      <c r="H217" s="29"/>
      <c r="I217" s="29"/>
      <c r="J217" s="30"/>
      <c r="K217" s="30"/>
      <c r="L217" s="29"/>
    </row>
    <row r="218" spans="1:12">
      <c r="A218" s="26">
        <v>27</v>
      </c>
      <c r="B218" s="9" t="s">
        <v>76</v>
      </c>
      <c r="C218" s="31" t="s">
        <v>275</v>
      </c>
      <c r="D218" s="34">
        <v>0</v>
      </c>
      <c r="F218" s="29">
        <f>ROUND(SUMIF(Определители!I21:I26,"=2",'Базовые цены с учетом расхода'!O21:O26),0)</f>
        <v>260</v>
      </c>
      <c r="G218" s="29"/>
      <c r="H218" s="29"/>
      <c r="I218" s="29"/>
      <c r="J218" s="30"/>
      <c r="K218" s="30"/>
      <c r="L218" s="29"/>
    </row>
    <row r="219" spans="1:12">
      <c r="A219" s="26">
        <v>28</v>
      </c>
      <c r="B219" s="9" t="s">
        <v>82</v>
      </c>
      <c r="C219" s="31" t="s">
        <v>276</v>
      </c>
      <c r="D219" s="34">
        <v>0</v>
      </c>
      <c r="F219" s="29">
        <f>ROUND((F213+F217+F218),0)</f>
        <v>9867</v>
      </c>
      <c r="G219" s="29"/>
      <c r="H219" s="29"/>
      <c r="I219" s="29"/>
      <c r="J219" s="30"/>
      <c r="K219" s="30"/>
      <c r="L219" s="29"/>
    </row>
    <row r="220" spans="1:12">
      <c r="A220" s="26">
        <v>29</v>
      </c>
      <c r="B220" s="9" t="s">
        <v>83</v>
      </c>
      <c r="C220" s="31" t="s">
        <v>275</v>
      </c>
      <c r="D220" s="34">
        <v>0</v>
      </c>
      <c r="F220" s="29">
        <f>ROUND(SUMIF(Определители!I21:I26,"=3",'Базовые цены с учетом расхода'!B21:B26),0)</f>
        <v>865</v>
      </c>
      <c r="G220" s="29">
        <f>ROUND(SUMIF(Определители!I21:I26,"=3",'Базовые цены с учетом расхода'!C21:C26),0)</f>
        <v>272</v>
      </c>
      <c r="H220" s="29">
        <f>ROUND(SUMIF(Определители!I21:I26,"=3",'Базовые цены с учетом расхода'!D21:D26),0)</f>
        <v>468</v>
      </c>
      <c r="I220" s="29">
        <f>ROUND(SUMIF(Определители!I21:I26,"=3",'Базовые цены с учетом расхода'!E21:E26),0)</f>
        <v>36</v>
      </c>
      <c r="J220" s="30" t="e">
        <f ca="1">ROUND(SUMIF(Определители!I21:I26,"=3",'Базовые цены с учетом расхода'!I21:I26),8)</f>
        <v>#NAME?</v>
      </c>
      <c r="K220" s="30" t="e">
        <f ca="1">ROUND(SUMIF(Определители!I21:I26,"=3",'Базовые цены с учетом расхода'!K21:K26),8)</f>
        <v>#NAME?</v>
      </c>
      <c r="L220" s="29">
        <f>ROUND(SUMIF(Определители!I21:I26,"=3",'Базовые цены с учетом расхода'!F21:F26),0)</f>
        <v>125</v>
      </c>
    </row>
    <row r="221" spans="1:12">
      <c r="A221" s="26">
        <v>30</v>
      </c>
      <c r="B221" s="9" t="s">
        <v>74</v>
      </c>
      <c r="C221" s="31" t="s">
        <v>275</v>
      </c>
      <c r="D221" s="34">
        <v>0</v>
      </c>
      <c r="F221" s="29">
        <f>ROUND(SUMIF(Определители!I21:I26,"=3",'Базовые цены с учетом расхода'!H21:H26),0)</f>
        <v>0</v>
      </c>
      <c r="G221" s="29"/>
      <c r="H221" s="29"/>
      <c r="I221" s="29"/>
      <c r="J221" s="30"/>
      <c r="K221" s="30"/>
      <c r="L221" s="29"/>
    </row>
    <row r="222" spans="1:12">
      <c r="A222" s="26">
        <v>31</v>
      </c>
      <c r="B222" s="9" t="s">
        <v>75</v>
      </c>
      <c r="C222" s="31" t="s">
        <v>275</v>
      </c>
      <c r="D222" s="34">
        <v>0</v>
      </c>
      <c r="F222" s="29">
        <f>ROUND(SUMIF(Определители!I21:I26,"=3",'Базовые цены с учетом расхода'!N21:N26),0)</f>
        <v>249</v>
      </c>
      <c r="G222" s="29"/>
      <c r="H222" s="29"/>
      <c r="I222" s="29"/>
      <c r="J222" s="30"/>
      <c r="K222" s="30"/>
      <c r="L222" s="29"/>
    </row>
    <row r="223" spans="1:12">
      <c r="A223" s="26">
        <v>32</v>
      </c>
      <c r="B223" s="9" t="s">
        <v>76</v>
      </c>
      <c r="C223" s="31" t="s">
        <v>275</v>
      </c>
      <c r="D223" s="34">
        <v>0</v>
      </c>
      <c r="F223" s="29">
        <f>ROUND(SUMIF(Определители!I21:I26,"=3",'Базовые цены с учетом расхода'!O21:O26),0)</f>
        <v>222</v>
      </c>
      <c r="G223" s="29"/>
      <c r="H223" s="29"/>
      <c r="I223" s="29"/>
      <c r="J223" s="30"/>
      <c r="K223" s="30"/>
      <c r="L223" s="29"/>
    </row>
    <row r="224" spans="1:12">
      <c r="A224" s="26">
        <v>33</v>
      </c>
      <c r="B224" s="9" t="s">
        <v>84</v>
      </c>
      <c r="C224" s="31" t="s">
        <v>276</v>
      </c>
      <c r="D224" s="34">
        <v>0</v>
      </c>
      <c r="F224" s="29">
        <f>ROUND((F220+F222+F223),0)</f>
        <v>1336</v>
      </c>
      <c r="G224" s="29"/>
      <c r="H224" s="29"/>
      <c r="I224" s="29"/>
      <c r="J224" s="30"/>
      <c r="K224" s="30"/>
      <c r="L224" s="29"/>
    </row>
    <row r="225" spans="1:12">
      <c r="A225" s="26">
        <v>34</v>
      </c>
      <c r="B225" s="9" t="s">
        <v>85</v>
      </c>
      <c r="C225" s="31" t="s">
        <v>275</v>
      </c>
      <c r="D225" s="34">
        <v>0</v>
      </c>
      <c r="F225" s="29">
        <f>ROUND(SUMIF(Определители!I21:I26,"=4",'Базовые цены с учетом расхода'!B21:B26),0)</f>
        <v>0</v>
      </c>
      <c r="G225" s="29">
        <f>ROUND(SUMIF(Определители!I21:I26,"=4",'Базовые цены с учетом расхода'!C21:C26),0)</f>
        <v>0</v>
      </c>
      <c r="H225" s="29">
        <f>ROUND(SUMIF(Определители!I21:I26,"=4",'Базовые цены с учетом расхода'!D21:D26),0)</f>
        <v>0</v>
      </c>
      <c r="I225" s="29">
        <f>ROUND(SUMIF(Определители!I21:I26,"=4",'Базовые цены с учетом расхода'!E21:E26),0)</f>
        <v>0</v>
      </c>
      <c r="J225" s="30">
        <f>ROUND(SUMIF(Определители!I21:I26,"=4",'Базовые цены с учетом расхода'!I21:I26),8)</f>
        <v>0</v>
      </c>
      <c r="K225" s="30">
        <f>ROUND(SUMIF(Определители!I21:I26,"=4",'Базовые цены с учетом расхода'!K21:K26),8)</f>
        <v>0</v>
      </c>
      <c r="L225" s="29">
        <f>ROUND(SUMIF(Определители!I21:I26,"=4",'Базовые цены с учетом расхода'!F21:F26),0)</f>
        <v>0</v>
      </c>
    </row>
    <row r="226" spans="1:12">
      <c r="A226" s="26">
        <v>35</v>
      </c>
      <c r="B226" s="9" t="s">
        <v>70</v>
      </c>
      <c r="C226" s="31" t="s">
        <v>275</v>
      </c>
      <c r="D226" s="34">
        <v>0</v>
      </c>
      <c r="F226" s="29"/>
      <c r="G226" s="29"/>
      <c r="H226" s="29"/>
      <c r="I226" s="29"/>
      <c r="J226" s="30"/>
      <c r="K226" s="30"/>
      <c r="L226" s="29"/>
    </row>
    <row r="227" spans="1:12">
      <c r="A227" s="26">
        <v>36</v>
      </c>
      <c r="B227" s="9" t="s">
        <v>86</v>
      </c>
      <c r="C227" s="31" t="s">
        <v>275</v>
      </c>
      <c r="D227" s="34">
        <v>0</v>
      </c>
      <c r="F227" s="29">
        <f>ROUND(SUMIF(Определители!I21:I26,"=4",'Базовые цены с учетом расхода'!AJ21:AJ26),0)</f>
        <v>0</v>
      </c>
      <c r="G227" s="29">
        <f>ROUND(SUMIF(Определители!I21:I26,"=4",'Базовые цены с учетом расхода'!AI21:AI26),0)</f>
        <v>0</v>
      </c>
      <c r="H227" s="29">
        <f>ROUND(SUMIF(Определители!I21:I26,"=4",'Базовые цены с учетом расхода'!AH21:AH26),0)</f>
        <v>0</v>
      </c>
      <c r="I227" s="29">
        <f>ROUND(SUMIF(Определители!I21:I26,"=4",'Базовые цены с учетом расхода'!V21:V26),0)</f>
        <v>0</v>
      </c>
      <c r="J227" s="30"/>
      <c r="K227" s="30"/>
      <c r="L227" s="29"/>
    </row>
    <row r="228" spans="1:12">
      <c r="A228" s="26">
        <v>37</v>
      </c>
      <c r="B228" s="9" t="s">
        <v>74</v>
      </c>
      <c r="C228" s="31" t="s">
        <v>275</v>
      </c>
      <c r="D228" s="34">
        <v>0</v>
      </c>
      <c r="F228" s="29">
        <f>ROUND(SUMIF(Определители!I21:I26,"=4",'Базовые цены с учетом расхода'!H21:H26),0)</f>
        <v>0</v>
      </c>
      <c r="G228" s="29"/>
      <c r="H228" s="29"/>
      <c r="I228" s="29"/>
      <c r="J228" s="30"/>
      <c r="K228" s="30"/>
      <c r="L228" s="29"/>
    </row>
    <row r="229" spans="1:12">
      <c r="A229" s="26">
        <v>38</v>
      </c>
      <c r="B229" s="9" t="s">
        <v>75</v>
      </c>
      <c r="C229" s="31" t="s">
        <v>275</v>
      </c>
      <c r="D229" s="34">
        <v>0</v>
      </c>
      <c r="F229" s="29">
        <f>ROUND(SUMIF(Определители!I21:I26,"=4",'Базовые цены с учетом расхода'!N21:N26),0)</f>
        <v>0</v>
      </c>
      <c r="G229" s="29"/>
      <c r="H229" s="29"/>
      <c r="I229" s="29"/>
      <c r="J229" s="30"/>
      <c r="K229" s="30"/>
      <c r="L229" s="29"/>
    </row>
    <row r="230" spans="1:12">
      <c r="A230" s="26">
        <v>39</v>
      </c>
      <c r="B230" s="9" t="s">
        <v>76</v>
      </c>
      <c r="C230" s="31" t="s">
        <v>275</v>
      </c>
      <c r="D230" s="34">
        <v>0</v>
      </c>
      <c r="F230" s="29">
        <f>ROUND(SUMIF(Определители!I21:I26,"=4",'Базовые цены с учетом расхода'!O21:O26),0)</f>
        <v>0</v>
      </c>
      <c r="G230" s="29"/>
      <c r="H230" s="29"/>
      <c r="I230" s="29"/>
      <c r="J230" s="30"/>
      <c r="K230" s="30"/>
      <c r="L230" s="29"/>
    </row>
    <row r="231" spans="1:12">
      <c r="A231" s="26">
        <v>40</v>
      </c>
      <c r="B231" s="9" t="s">
        <v>67</v>
      </c>
      <c r="C231" s="31" t="s">
        <v>275</v>
      </c>
      <c r="D231" s="34">
        <v>0</v>
      </c>
      <c r="F231" s="29" t="e">
        <f ca="1">ROUND(СУММПРОИЗВЕСЛИ(1,Определители!I21:I26," ",'Базовые цены с учетом расхода'!M21:M26,Начисления!I21:I26,0),0)</f>
        <v>#NAME?</v>
      </c>
      <c r="G231" s="29"/>
      <c r="H231" s="29"/>
      <c r="I231" s="29"/>
      <c r="J231" s="30"/>
      <c r="K231" s="30"/>
      <c r="L231" s="29"/>
    </row>
    <row r="232" spans="1:12">
      <c r="A232" s="26">
        <v>41</v>
      </c>
      <c r="B232" s="9" t="s">
        <v>87</v>
      </c>
      <c r="C232" s="31" t="s">
        <v>276</v>
      </c>
      <c r="D232" s="34">
        <v>0</v>
      </c>
      <c r="F232" s="29">
        <f>ROUND((F225+F229+F230),0)</f>
        <v>0</v>
      </c>
      <c r="G232" s="29"/>
      <c r="H232" s="29"/>
      <c r="I232" s="29"/>
      <c r="J232" s="30"/>
      <c r="K232" s="30"/>
      <c r="L232" s="29"/>
    </row>
    <row r="233" spans="1:12">
      <c r="A233" s="26">
        <v>42</v>
      </c>
      <c r="B233" s="9" t="s">
        <v>88</v>
      </c>
      <c r="C233" s="31" t="s">
        <v>275</v>
      </c>
      <c r="D233" s="34">
        <v>0</v>
      </c>
      <c r="F233" s="29">
        <f>ROUND(SUMIF(Определители!I21:I26,"=5",'Базовые цены с учетом расхода'!B21:B26),0)</f>
        <v>0</v>
      </c>
      <c r="G233" s="29">
        <f>ROUND(SUMIF(Определители!I21:I26,"=5",'Базовые цены с учетом расхода'!C21:C26),0)</f>
        <v>0</v>
      </c>
      <c r="H233" s="29">
        <f>ROUND(SUMIF(Определители!I21:I26,"=5",'Базовые цены с учетом расхода'!D21:D26),0)</f>
        <v>0</v>
      </c>
      <c r="I233" s="29">
        <f>ROUND(SUMIF(Определители!I21:I26,"=5",'Базовые цены с учетом расхода'!E21:E26),0)</f>
        <v>0</v>
      </c>
      <c r="J233" s="30">
        <f>ROUND(SUMIF(Определители!I21:I26,"=5",'Базовые цены с учетом расхода'!I21:I26),8)</f>
        <v>0</v>
      </c>
      <c r="K233" s="30">
        <f>ROUND(SUMIF(Определители!I21:I26,"=5",'Базовые цены с учетом расхода'!K21:K26),8)</f>
        <v>0</v>
      </c>
      <c r="L233" s="29">
        <f>ROUND(SUMIF(Определители!I21:I26,"=5",'Базовые цены с учетом расхода'!F21:F26),0)</f>
        <v>0</v>
      </c>
    </row>
    <row r="234" spans="1:12">
      <c r="A234" s="26">
        <v>43</v>
      </c>
      <c r="B234" s="9" t="s">
        <v>74</v>
      </c>
      <c r="C234" s="31" t="s">
        <v>275</v>
      </c>
      <c r="D234" s="34">
        <v>0</v>
      </c>
      <c r="F234" s="29">
        <f>ROUND(SUMIF(Определители!I21:I26,"=5",'Базовые цены с учетом расхода'!H21:H26),0)</f>
        <v>0</v>
      </c>
      <c r="G234" s="29"/>
      <c r="H234" s="29"/>
      <c r="I234" s="29"/>
      <c r="J234" s="30"/>
      <c r="K234" s="30"/>
      <c r="L234" s="29"/>
    </row>
    <row r="235" spans="1:12">
      <c r="A235" s="26">
        <v>44</v>
      </c>
      <c r="B235" s="9" t="s">
        <v>75</v>
      </c>
      <c r="C235" s="31" t="s">
        <v>275</v>
      </c>
      <c r="D235" s="34">
        <v>0</v>
      </c>
      <c r="F235" s="29">
        <f>ROUND(SUMIF(Определители!I21:I26,"=5",'Базовые цены с учетом расхода'!N21:N26),0)</f>
        <v>0</v>
      </c>
      <c r="G235" s="29"/>
      <c r="H235" s="29"/>
      <c r="I235" s="29"/>
      <c r="J235" s="30"/>
      <c r="K235" s="30"/>
      <c r="L235" s="29"/>
    </row>
    <row r="236" spans="1:12">
      <c r="A236" s="26">
        <v>45</v>
      </c>
      <c r="B236" s="9" t="s">
        <v>76</v>
      </c>
      <c r="C236" s="31" t="s">
        <v>275</v>
      </c>
      <c r="D236" s="34">
        <v>0</v>
      </c>
      <c r="F236" s="29">
        <f>ROUND(SUMIF(Определители!I21:I26,"=5",'Базовые цены с учетом расхода'!O21:O26),0)</f>
        <v>0</v>
      </c>
      <c r="G236" s="29"/>
      <c r="H236" s="29"/>
      <c r="I236" s="29"/>
      <c r="J236" s="30"/>
      <c r="K236" s="30"/>
      <c r="L236" s="29"/>
    </row>
    <row r="237" spans="1:12">
      <c r="A237" s="26">
        <v>46</v>
      </c>
      <c r="B237" s="9" t="s">
        <v>89</v>
      </c>
      <c r="C237" s="31" t="s">
        <v>276</v>
      </c>
      <c r="D237" s="34">
        <v>0</v>
      </c>
      <c r="F237" s="29">
        <f>ROUND((F233+F235+F236),0)</f>
        <v>0</v>
      </c>
      <c r="G237" s="29"/>
      <c r="H237" s="29"/>
      <c r="I237" s="29"/>
      <c r="J237" s="30"/>
      <c r="K237" s="30"/>
      <c r="L237" s="29"/>
    </row>
    <row r="238" spans="1:12">
      <c r="A238" s="26">
        <v>47</v>
      </c>
      <c r="B238" s="9" t="s">
        <v>90</v>
      </c>
      <c r="C238" s="31" t="s">
        <v>275</v>
      </c>
      <c r="D238" s="34">
        <v>0</v>
      </c>
      <c r="F238" s="29">
        <f>ROUND(SUMIF(Определители!I21:I26,"=6",'Базовые цены с учетом расхода'!B21:B26),0)</f>
        <v>0</v>
      </c>
      <c r="G238" s="29">
        <f>ROUND(SUMIF(Определители!I21:I26,"=6",'Базовые цены с учетом расхода'!C21:C26),0)</f>
        <v>0</v>
      </c>
      <c r="H238" s="29">
        <f>ROUND(SUMIF(Определители!I21:I26,"=6",'Базовые цены с учетом расхода'!D21:D26),0)</f>
        <v>0</v>
      </c>
      <c r="I238" s="29">
        <f>ROUND(SUMIF(Определители!I21:I26,"=6",'Базовые цены с учетом расхода'!E21:E26),0)</f>
        <v>0</v>
      </c>
      <c r="J238" s="30">
        <f>ROUND(SUMIF(Определители!I21:I26,"=6",'Базовые цены с учетом расхода'!I21:I26),8)</f>
        <v>0</v>
      </c>
      <c r="K238" s="30">
        <f>ROUND(SUMIF(Определители!I21:I26,"=6",'Базовые цены с учетом расхода'!K21:K26),8)</f>
        <v>0</v>
      </c>
      <c r="L238" s="29">
        <f>ROUND(SUMIF(Определители!I21:I26,"=6",'Базовые цены с учетом расхода'!F21:F26),0)</f>
        <v>0</v>
      </c>
    </row>
    <row r="239" spans="1:12">
      <c r="A239" s="26">
        <v>48</v>
      </c>
      <c r="B239" s="9" t="s">
        <v>74</v>
      </c>
      <c r="C239" s="31" t="s">
        <v>275</v>
      </c>
      <c r="D239" s="34">
        <v>0</v>
      </c>
      <c r="F239" s="29">
        <f>ROUND(SUMIF(Определители!I21:I26,"=6",'Базовые цены с учетом расхода'!H21:H26),0)</f>
        <v>0</v>
      </c>
      <c r="G239" s="29"/>
      <c r="H239" s="29"/>
      <c r="I239" s="29"/>
      <c r="J239" s="30"/>
      <c r="K239" s="30"/>
      <c r="L239" s="29"/>
    </row>
    <row r="240" spans="1:12">
      <c r="A240" s="26">
        <v>49</v>
      </c>
      <c r="B240" s="9" t="s">
        <v>75</v>
      </c>
      <c r="C240" s="31" t="s">
        <v>275</v>
      </c>
      <c r="D240" s="34">
        <v>0</v>
      </c>
      <c r="F240" s="29">
        <f>ROUND(SUMIF(Определители!I21:I26,"=6",'Базовые цены с учетом расхода'!N21:N26),0)</f>
        <v>0</v>
      </c>
      <c r="G240" s="29"/>
      <c r="H240" s="29"/>
      <c r="I240" s="29"/>
      <c r="J240" s="30"/>
      <c r="K240" s="30"/>
      <c r="L240" s="29"/>
    </row>
    <row r="241" spans="1:12">
      <c r="A241" s="26">
        <v>50</v>
      </c>
      <c r="B241" s="9" t="s">
        <v>76</v>
      </c>
      <c r="C241" s="31" t="s">
        <v>275</v>
      </c>
      <c r="D241" s="34">
        <v>0</v>
      </c>
      <c r="F241" s="29">
        <f>ROUND(SUMIF(Определители!I21:I26,"=6",'Базовые цены с учетом расхода'!O21:O26),0)</f>
        <v>0</v>
      </c>
      <c r="G241" s="29"/>
      <c r="H241" s="29"/>
      <c r="I241" s="29"/>
      <c r="J241" s="30"/>
      <c r="K241" s="30"/>
      <c r="L241" s="29"/>
    </row>
    <row r="242" spans="1:12">
      <c r="A242" s="26">
        <v>51</v>
      </c>
      <c r="B242" s="9" t="s">
        <v>91</v>
      </c>
      <c r="C242" s="31" t="s">
        <v>276</v>
      </c>
      <c r="D242" s="34">
        <v>0</v>
      </c>
      <c r="F242" s="29">
        <f>ROUND((F238+F240+F241),0)</f>
        <v>0</v>
      </c>
      <c r="G242" s="29"/>
      <c r="H242" s="29"/>
      <c r="I242" s="29"/>
      <c r="J242" s="30"/>
      <c r="K242" s="30"/>
      <c r="L242" s="29"/>
    </row>
    <row r="243" spans="1:12">
      <c r="A243" s="26">
        <v>52</v>
      </c>
      <c r="B243" s="9" t="s">
        <v>92</v>
      </c>
      <c r="C243" s="31" t="s">
        <v>275</v>
      </c>
      <c r="D243" s="34">
        <v>0</v>
      </c>
      <c r="F243" s="29">
        <f>ROUND(SUMIF(Определители!I21:I26,"=7",'Базовые цены с учетом расхода'!B21:B26),0)</f>
        <v>0</v>
      </c>
      <c r="G243" s="29">
        <f>ROUND(SUMIF(Определители!I21:I26,"=7",'Базовые цены с учетом расхода'!C21:C26),0)</f>
        <v>0</v>
      </c>
      <c r="H243" s="29">
        <f>ROUND(SUMIF(Определители!I21:I26,"=7",'Базовые цены с учетом расхода'!D21:D26),0)</f>
        <v>0</v>
      </c>
      <c r="I243" s="29">
        <f>ROUND(SUMIF(Определители!I21:I26,"=7",'Базовые цены с учетом расхода'!E21:E26),0)</f>
        <v>0</v>
      </c>
      <c r="J243" s="30">
        <f>ROUND(SUMIF(Определители!I21:I26,"=7",'Базовые цены с учетом расхода'!I21:I26),8)</f>
        <v>0</v>
      </c>
      <c r="K243" s="30">
        <f>ROUND(SUMIF(Определители!I21:I26,"=7",'Базовые цены с учетом расхода'!K21:K26),8)</f>
        <v>0</v>
      </c>
      <c r="L243" s="29">
        <f>ROUND(SUMIF(Определители!I21:I26,"=7",'Базовые цены с учетом расхода'!F21:F26),0)</f>
        <v>0</v>
      </c>
    </row>
    <row r="244" spans="1:12">
      <c r="A244" s="26">
        <v>53</v>
      </c>
      <c r="B244" s="9" t="s">
        <v>70</v>
      </c>
      <c r="C244" s="31" t="s">
        <v>275</v>
      </c>
      <c r="D244" s="34">
        <v>0</v>
      </c>
      <c r="F244" s="29"/>
      <c r="G244" s="29"/>
      <c r="H244" s="29"/>
      <c r="I244" s="29"/>
      <c r="J244" s="30"/>
      <c r="K244" s="30"/>
      <c r="L244" s="29"/>
    </row>
    <row r="245" spans="1:12">
      <c r="A245" s="26">
        <v>54</v>
      </c>
      <c r="B245" s="9" t="s">
        <v>79</v>
      </c>
      <c r="C245" s="31" t="s">
        <v>275</v>
      </c>
      <c r="D245" s="34">
        <v>0</v>
      </c>
      <c r="F245" s="29" t="e">
        <f ca="1">ROUND(СУММЕСЛИ2(Определители!I21:I26,"2",Определители!G21:G26,"1",'Базовые цены с учетом расхода'!B21:B26),0)</f>
        <v>#NAME?</v>
      </c>
      <c r="G245" s="29"/>
      <c r="H245" s="29"/>
      <c r="I245" s="29"/>
      <c r="J245" s="30"/>
      <c r="K245" s="30"/>
      <c r="L245" s="29"/>
    </row>
    <row r="246" spans="1:12">
      <c r="A246" s="26">
        <v>55</v>
      </c>
      <c r="B246" s="9" t="s">
        <v>74</v>
      </c>
      <c r="C246" s="31" t="s">
        <v>275</v>
      </c>
      <c r="D246" s="34">
        <v>0</v>
      </c>
      <c r="F246" s="29">
        <f>ROUND(SUMIF(Определители!I21:I26,"=7",'Базовые цены с учетом расхода'!H21:H26),0)</f>
        <v>0</v>
      </c>
      <c r="G246" s="29"/>
      <c r="H246" s="29"/>
      <c r="I246" s="29"/>
      <c r="J246" s="30"/>
      <c r="K246" s="30"/>
      <c r="L246" s="29"/>
    </row>
    <row r="247" spans="1:12">
      <c r="A247" s="26">
        <v>56</v>
      </c>
      <c r="B247" s="9" t="s">
        <v>75</v>
      </c>
      <c r="C247" s="31" t="s">
        <v>275</v>
      </c>
      <c r="D247" s="34">
        <v>0</v>
      </c>
      <c r="F247" s="29">
        <f>ROUND(SUMIF(Определители!I21:I26,"=7",'Базовые цены с учетом расхода'!N21:N26),0)</f>
        <v>0</v>
      </c>
      <c r="G247" s="29"/>
      <c r="H247" s="29"/>
      <c r="I247" s="29"/>
      <c r="J247" s="30"/>
      <c r="K247" s="30"/>
      <c r="L247" s="29"/>
    </row>
    <row r="248" spans="1:12">
      <c r="A248" s="26">
        <v>57</v>
      </c>
      <c r="B248" s="9" t="s">
        <v>76</v>
      </c>
      <c r="C248" s="31" t="s">
        <v>275</v>
      </c>
      <c r="D248" s="34">
        <v>0</v>
      </c>
      <c r="F248" s="29">
        <f>ROUND(SUMIF(Определители!I21:I26,"=7",'Базовые цены с учетом расхода'!O21:O26),0)</f>
        <v>0</v>
      </c>
      <c r="G248" s="29"/>
      <c r="H248" s="29"/>
      <c r="I248" s="29"/>
      <c r="J248" s="30"/>
      <c r="K248" s="30"/>
      <c r="L248" s="29"/>
    </row>
    <row r="249" spans="1:12">
      <c r="A249" s="26">
        <v>58</v>
      </c>
      <c r="B249" s="9" t="s">
        <v>93</v>
      </c>
      <c r="C249" s="31" t="s">
        <v>276</v>
      </c>
      <c r="D249" s="34">
        <v>0</v>
      </c>
      <c r="F249" s="29">
        <f>ROUND((F243+F247+F248),0)</f>
        <v>0</v>
      </c>
      <c r="G249" s="29"/>
      <c r="H249" s="29"/>
      <c r="I249" s="29"/>
      <c r="J249" s="30"/>
      <c r="K249" s="30"/>
      <c r="L249" s="29"/>
    </row>
    <row r="250" spans="1:12">
      <c r="A250" s="26">
        <v>59</v>
      </c>
      <c r="B250" s="9" t="s">
        <v>94</v>
      </c>
      <c r="C250" s="31" t="s">
        <v>275</v>
      </c>
      <c r="D250" s="34">
        <v>0</v>
      </c>
      <c r="F250" s="29">
        <f>ROUND(SUMIF(Определители!I21:I26,"=;",'Базовые цены с учетом расхода'!B21:B26),0)</f>
        <v>0</v>
      </c>
      <c r="G250" s="29">
        <f>ROUND(SUMIF(Определители!I21:I26,"=;",'Базовые цены с учетом расхода'!C21:C26),0)</f>
        <v>0</v>
      </c>
      <c r="H250" s="29">
        <f>ROUND(SUMIF(Определители!I21:I26,"=;",'Базовые цены с учетом расхода'!D21:D26),0)</f>
        <v>0</v>
      </c>
      <c r="I250" s="29">
        <f>ROUND(SUMIF(Определители!I21:I26,"=;",'Базовые цены с учетом расхода'!E21:E26),0)</f>
        <v>0</v>
      </c>
      <c r="J250" s="30">
        <f>ROUND(SUMIF(Определители!I21:I26,"=;",'Базовые цены с учетом расхода'!I21:I26),8)</f>
        <v>0</v>
      </c>
      <c r="K250" s="30">
        <f>ROUND(SUMIF(Определители!I21:I26,"=;",'Базовые цены с учетом расхода'!K21:K26),8)</f>
        <v>0</v>
      </c>
      <c r="L250" s="29">
        <f>ROUND(SUMIF(Определители!I21:I26,"=;",'Базовые цены с учетом расхода'!F21:F26),0)</f>
        <v>0</v>
      </c>
    </row>
    <row r="251" spans="1:12">
      <c r="A251" s="26">
        <v>60</v>
      </c>
      <c r="B251" s="9" t="s">
        <v>95</v>
      </c>
      <c r="C251" s="31" t="s">
        <v>275</v>
      </c>
      <c r="D251" s="34">
        <v>0</v>
      </c>
      <c r="F251" s="29">
        <f>ROUND(SUMIF(Определители!I21:I26,"=;",'Базовые цены с учетом расхода'!AF21:AF26),0)</f>
        <v>0</v>
      </c>
      <c r="G251" s="29"/>
      <c r="H251" s="29"/>
      <c r="I251" s="29"/>
      <c r="J251" s="30"/>
      <c r="K251" s="30"/>
      <c r="L251" s="29"/>
    </row>
    <row r="252" spans="1:12">
      <c r="A252" s="26">
        <v>61</v>
      </c>
      <c r="B252" s="9" t="s">
        <v>96</v>
      </c>
      <c r="C252" s="31" t="s">
        <v>275</v>
      </c>
      <c r="D252" s="34">
        <v>0</v>
      </c>
      <c r="F252" s="29">
        <f>ROUND(SUMIF(Определители!I21:I26,"=;",'Базовые цены с учетом расхода'!AG21:AG26),0)</f>
        <v>0</v>
      </c>
      <c r="G252" s="29"/>
      <c r="H252" s="29"/>
      <c r="I252" s="29"/>
      <c r="J252" s="30"/>
      <c r="K252" s="30"/>
      <c r="L252" s="29"/>
    </row>
    <row r="253" spans="1:12">
      <c r="A253" s="26">
        <v>62</v>
      </c>
      <c r="B253" s="9" t="s">
        <v>75</v>
      </c>
      <c r="C253" s="31" t="s">
        <v>275</v>
      </c>
      <c r="D253" s="34">
        <v>0</v>
      </c>
      <c r="F253" s="29">
        <f>ROUND(SUMIF(Определители!I21:I26,"=;",'Базовые цены с учетом расхода'!N21:N26),0)</f>
        <v>0</v>
      </c>
      <c r="G253" s="29"/>
      <c r="H253" s="29"/>
      <c r="I253" s="29"/>
      <c r="J253" s="30"/>
      <c r="K253" s="30"/>
      <c r="L253" s="29"/>
    </row>
    <row r="254" spans="1:12">
      <c r="A254" s="26">
        <v>63</v>
      </c>
      <c r="B254" s="9" t="s">
        <v>76</v>
      </c>
      <c r="C254" s="31" t="s">
        <v>275</v>
      </c>
      <c r="D254" s="34">
        <v>0</v>
      </c>
      <c r="F254" s="29">
        <f>ROUND(SUMIF(Определители!I21:I26,"=;",'Базовые цены с учетом расхода'!O21:O26),0)</f>
        <v>0</v>
      </c>
      <c r="G254" s="29"/>
      <c r="H254" s="29"/>
      <c r="I254" s="29"/>
      <c r="J254" s="30"/>
      <c r="K254" s="30"/>
      <c r="L254" s="29"/>
    </row>
    <row r="255" spans="1:12">
      <c r="A255" s="26">
        <v>64</v>
      </c>
      <c r="B255" s="9" t="s">
        <v>97</v>
      </c>
      <c r="C255" s="31" t="s">
        <v>276</v>
      </c>
      <c r="D255" s="34">
        <v>0</v>
      </c>
      <c r="F255" s="29">
        <f>ROUND((F250+F253+F254),0)</f>
        <v>0</v>
      </c>
      <c r="G255" s="29"/>
      <c r="H255" s="29"/>
      <c r="I255" s="29"/>
      <c r="J255" s="30"/>
      <c r="K255" s="30"/>
      <c r="L255" s="29"/>
    </row>
    <row r="256" spans="1:12">
      <c r="A256" s="26">
        <v>65</v>
      </c>
      <c r="B256" s="9" t="s">
        <v>98</v>
      </c>
      <c r="C256" s="31" t="s">
        <v>275</v>
      </c>
      <c r="D256" s="34">
        <v>0</v>
      </c>
      <c r="F256" s="29">
        <f>ROUND(SUMIF(Определители!I21:I26,"=9",'Базовые цены с учетом расхода'!B21:B26),0)</f>
        <v>0</v>
      </c>
      <c r="G256" s="29">
        <f>ROUND(SUMIF(Определители!I21:I26,"=9",'Базовые цены с учетом расхода'!C21:C26),0)</f>
        <v>0</v>
      </c>
      <c r="H256" s="29">
        <f>ROUND(SUMIF(Определители!I21:I26,"=9",'Базовые цены с учетом расхода'!D21:D26),0)</f>
        <v>0</v>
      </c>
      <c r="I256" s="29">
        <f>ROUND(SUMIF(Определители!I21:I26,"=9",'Базовые цены с учетом расхода'!E21:E26),0)</f>
        <v>0</v>
      </c>
      <c r="J256" s="30">
        <f>ROUND(SUMIF(Определители!I21:I26,"=9",'Базовые цены с учетом расхода'!I21:I26),8)</f>
        <v>0</v>
      </c>
      <c r="K256" s="30">
        <f>ROUND(SUMIF(Определители!I21:I26,"=9",'Базовые цены с учетом расхода'!K21:K26),8)</f>
        <v>0</v>
      </c>
      <c r="L256" s="29">
        <f>ROUND(SUMIF(Определители!I21:I26,"=9",'Базовые цены с учетом расхода'!F21:F26),0)</f>
        <v>0</v>
      </c>
    </row>
    <row r="257" spans="1:12">
      <c r="A257" s="26">
        <v>66</v>
      </c>
      <c r="B257" s="9" t="s">
        <v>75</v>
      </c>
      <c r="C257" s="31" t="s">
        <v>275</v>
      </c>
      <c r="D257" s="34">
        <v>0</v>
      </c>
      <c r="F257" s="29">
        <f>ROUND(SUMIF(Определители!I21:I26,"=9",'Базовые цены с учетом расхода'!N21:N26),0)</f>
        <v>0</v>
      </c>
      <c r="G257" s="29"/>
      <c r="H257" s="29"/>
      <c r="I257" s="29"/>
      <c r="J257" s="30"/>
      <c r="K257" s="30"/>
      <c r="L257" s="29"/>
    </row>
    <row r="258" spans="1:12">
      <c r="A258" s="26">
        <v>67</v>
      </c>
      <c r="B258" s="9" t="s">
        <v>76</v>
      </c>
      <c r="C258" s="31" t="s">
        <v>275</v>
      </c>
      <c r="D258" s="34">
        <v>0</v>
      </c>
      <c r="F258" s="29">
        <f>ROUND(SUMIF(Определители!I21:I26,"=9",'Базовые цены с учетом расхода'!O21:O26),0)</f>
        <v>0</v>
      </c>
      <c r="G258" s="29"/>
      <c r="H258" s="29"/>
      <c r="I258" s="29"/>
      <c r="J258" s="30"/>
      <c r="K258" s="30"/>
      <c r="L258" s="29"/>
    </row>
    <row r="259" spans="1:12">
      <c r="A259" s="26">
        <v>68</v>
      </c>
      <c r="B259" s="9" t="s">
        <v>99</v>
      </c>
      <c r="C259" s="31" t="s">
        <v>276</v>
      </c>
      <c r="D259" s="34">
        <v>0</v>
      </c>
      <c r="F259" s="29">
        <f>ROUND((F256+F257+F258),0)</f>
        <v>0</v>
      </c>
      <c r="G259" s="29"/>
      <c r="H259" s="29"/>
      <c r="I259" s="29"/>
      <c r="J259" s="30"/>
      <c r="K259" s="30"/>
      <c r="L259" s="29"/>
    </row>
    <row r="260" spans="1:12">
      <c r="A260" s="26">
        <v>69</v>
      </c>
      <c r="B260" s="9" t="s">
        <v>100</v>
      </c>
      <c r="C260" s="31" t="s">
        <v>275</v>
      </c>
      <c r="D260" s="34">
        <v>0</v>
      </c>
      <c r="F260" s="29">
        <f>ROUND(SUMIF(Определители!I21:I26,"=:",'Базовые цены с учетом расхода'!B21:B26),0)</f>
        <v>0</v>
      </c>
      <c r="G260" s="29">
        <f>ROUND(SUMIF(Определители!I21:I26,"=:",'Базовые цены с учетом расхода'!C21:C26),0)</f>
        <v>0</v>
      </c>
      <c r="H260" s="29">
        <f>ROUND(SUMIF(Определители!I21:I26,"=:",'Базовые цены с учетом расхода'!D21:D26),0)</f>
        <v>0</v>
      </c>
      <c r="I260" s="29">
        <f>ROUND(SUMIF(Определители!I21:I26,"=:",'Базовые цены с учетом расхода'!E21:E26),0)</f>
        <v>0</v>
      </c>
      <c r="J260" s="30">
        <f>ROUND(SUMIF(Определители!I21:I26,"=:",'Базовые цены с учетом расхода'!I21:I26),8)</f>
        <v>0</v>
      </c>
      <c r="K260" s="30">
        <f>ROUND(SUMIF(Определители!I21:I26,"=:",'Базовые цены с учетом расхода'!K21:K26),8)</f>
        <v>0</v>
      </c>
      <c r="L260" s="29">
        <f>ROUND(SUMIF(Определители!I21:I26,"=:",'Базовые цены с учетом расхода'!F21:F26),0)</f>
        <v>0</v>
      </c>
    </row>
    <row r="261" spans="1:12">
      <c r="A261" s="26">
        <v>70</v>
      </c>
      <c r="B261" s="9" t="s">
        <v>74</v>
      </c>
      <c r="C261" s="31" t="s">
        <v>275</v>
      </c>
      <c r="D261" s="34">
        <v>0</v>
      </c>
      <c r="F261" s="29">
        <f>ROUND(SUMIF(Определители!I21:I26,"=:",'Базовые цены с учетом расхода'!H21:H26),0)</f>
        <v>0</v>
      </c>
      <c r="G261" s="29"/>
      <c r="H261" s="29"/>
      <c r="I261" s="29"/>
      <c r="J261" s="30"/>
      <c r="K261" s="30"/>
      <c r="L261" s="29"/>
    </row>
    <row r="262" spans="1:12">
      <c r="A262" s="26">
        <v>71</v>
      </c>
      <c r="B262" s="9" t="s">
        <v>75</v>
      </c>
      <c r="C262" s="31" t="s">
        <v>275</v>
      </c>
      <c r="D262" s="34">
        <v>0</v>
      </c>
      <c r="F262" s="29">
        <f>ROUND(SUMIF(Определители!I21:I26,"=:",'Базовые цены с учетом расхода'!N21:N26),0)</f>
        <v>0</v>
      </c>
      <c r="G262" s="29"/>
      <c r="H262" s="29"/>
      <c r="I262" s="29"/>
      <c r="J262" s="30"/>
      <c r="K262" s="30"/>
      <c r="L262" s="29"/>
    </row>
    <row r="263" spans="1:12">
      <c r="A263" s="26">
        <v>72</v>
      </c>
      <c r="B263" s="9" t="s">
        <v>76</v>
      </c>
      <c r="C263" s="31" t="s">
        <v>275</v>
      </c>
      <c r="D263" s="34">
        <v>0</v>
      </c>
      <c r="F263" s="29">
        <f>ROUND(SUMIF(Определители!I21:I26,"=:",'Базовые цены с учетом расхода'!O21:O26),0)</f>
        <v>0</v>
      </c>
      <c r="G263" s="29"/>
      <c r="H263" s="29"/>
      <c r="I263" s="29"/>
      <c r="J263" s="30"/>
      <c r="K263" s="30"/>
      <c r="L263" s="29"/>
    </row>
    <row r="264" spans="1:12">
      <c r="A264" s="26">
        <v>73</v>
      </c>
      <c r="B264" s="9" t="s">
        <v>101</v>
      </c>
      <c r="C264" s="31" t="s">
        <v>276</v>
      </c>
      <c r="D264" s="34">
        <v>0</v>
      </c>
      <c r="F264" s="29">
        <f>ROUND((F260+F262+F263),0)</f>
        <v>0</v>
      </c>
      <c r="G264" s="29"/>
      <c r="H264" s="29"/>
      <c r="I264" s="29"/>
      <c r="J264" s="30"/>
      <c r="K264" s="30"/>
      <c r="L264" s="29"/>
    </row>
    <row r="265" spans="1:12">
      <c r="A265" s="26">
        <v>74</v>
      </c>
      <c r="B265" s="9" t="s">
        <v>102</v>
      </c>
      <c r="C265" s="31" t="s">
        <v>275</v>
      </c>
      <c r="D265" s="34">
        <v>0</v>
      </c>
      <c r="F265" s="29">
        <f>ROUND(SUMIF(Определители!I21:I26,"=8",'Базовые цены с учетом расхода'!B21:B26),0)</f>
        <v>0</v>
      </c>
      <c r="G265" s="29">
        <f>ROUND(SUMIF(Определители!I21:I26,"=8",'Базовые цены с учетом расхода'!C21:C26),0)</f>
        <v>0</v>
      </c>
      <c r="H265" s="29">
        <f>ROUND(SUMIF(Определители!I21:I26,"=8",'Базовые цены с учетом расхода'!D21:D26),0)</f>
        <v>0</v>
      </c>
      <c r="I265" s="29">
        <f>ROUND(SUMIF(Определители!I21:I26,"=8",'Базовые цены с учетом расхода'!E21:E26),0)</f>
        <v>0</v>
      </c>
      <c r="J265" s="30">
        <f>ROUND(SUMIF(Определители!I21:I26,"=8",'Базовые цены с учетом расхода'!I21:I26),8)</f>
        <v>0</v>
      </c>
      <c r="K265" s="30">
        <f>ROUND(SUMIF(Определители!I21:I26,"=8",'Базовые цены с учетом расхода'!K21:K26),8)</f>
        <v>0</v>
      </c>
      <c r="L265" s="29">
        <f>ROUND(SUMIF(Определители!I21:I26,"=8",'Базовые цены с учетом расхода'!F21:F26),0)</f>
        <v>0</v>
      </c>
    </row>
    <row r="266" spans="1:12">
      <c r="A266" s="26">
        <v>75</v>
      </c>
      <c r="B266" s="9" t="s">
        <v>74</v>
      </c>
      <c r="C266" s="31" t="s">
        <v>275</v>
      </c>
      <c r="D266" s="34">
        <v>0</v>
      </c>
      <c r="F266" s="29">
        <f>ROUND(SUMIF(Определители!I21:I26,"=8",'Базовые цены с учетом расхода'!H21:H26),0)</f>
        <v>0</v>
      </c>
      <c r="G266" s="29"/>
      <c r="H266" s="29"/>
      <c r="I266" s="29"/>
      <c r="J266" s="30"/>
      <c r="K266" s="30"/>
      <c r="L266" s="29"/>
    </row>
    <row r="267" spans="1:12">
      <c r="A267" s="26">
        <v>76</v>
      </c>
      <c r="B267" s="9" t="s">
        <v>158</v>
      </c>
      <c r="C267" s="31" t="s">
        <v>276</v>
      </c>
      <c r="D267" s="34">
        <v>0</v>
      </c>
      <c r="F267" s="29" t="e">
        <f ca="1">ROUND((F202+F212+F219+F224+F232+F237+F242+F249+F259+F264+F265+F255),0)</f>
        <v>#NAME?</v>
      </c>
      <c r="G267" s="29">
        <f>ROUND((G202+G212+G219+G224+G232+G237+G242+G249+G259+G264+G265+G255),0)</f>
        <v>0</v>
      </c>
      <c r="H267" s="29">
        <f>ROUND((H202+H212+H219+H224+H232+H237+H242+H249+H259+H264+H265+H255),0)</f>
        <v>0</v>
      </c>
      <c r="I267" s="29">
        <f>ROUND((I202+I212+I219+I224+I232+I237+I242+I249+I259+I264+I265+I255),0)</f>
        <v>0</v>
      </c>
      <c r="J267" s="30">
        <f>ROUND((J202+J212+J219+J224+J232+J237+J242+J249+J259+J264+J265+J255),8)</f>
        <v>0</v>
      </c>
      <c r="K267" s="30">
        <f>ROUND((K202+K212+K219+K224+K232+K237+K242+K249+K259+K264+K265+K255),8)</f>
        <v>0</v>
      </c>
      <c r="L267" s="29">
        <f>ROUND((L202+L212+L219+L224+L232+L237+L242+L249+L259+L264+L265+L255),0)</f>
        <v>0</v>
      </c>
    </row>
    <row r="268" spans="1:12">
      <c r="A268" s="26">
        <v>77</v>
      </c>
      <c r="B268" s="9" t="s">
        <v>104</v>
      </c>
      <c r="C268" s="31" t="s">
        <v>276</v>
      </c>
      <c r="D268" s="34">
        <v>0</v>
      </c>
      <c r="F268" s="29">
        <f>ROUND((F208+F216+F221+F228+F234+F239+F246+F261+F266),0)</f>
        <v>0</v>
      </c>
      <c r="G268" s="29"/>
      <c r="H268" s="29"/>
      <c r="I268" s="29"/>
      <c r="J268" s="30"/>
      <c r="K268" s="30"/>
      <c r="L268" s="29"/>
    </row>
    <row r="269" spans="1:12">
      <c r="A269" s="26">
        <v>78</v>
      </c>
      <c r="B269" s="9" t="s">
        <v>105</v>
      </c>
      <c r="C269" s="31" t="s">
        <v>276</v>
      </c>
      <c r="D269" s="34">
        <v>0</v>
      </c>
      <c r="F269" s="29">
        <f>ROUND((F209+F217+F222+F229+F235+F240+F247+F257+F262+F253),0)</f>
        <v>646</v>
      </c>
      <c r="G269" s="29"/>
      <c r="H269" s="29"/>
      <c r="I269" s="29"/>
      <c r="J269" s="30"/>
      <c r="K269" s="30"/>
      <c r="L269" s="29"/>
    </row>
    <row r="270" spans="1:12">
      <c r="A270" s="26">
        <v>79</v>
      </c>
      <c r="B270" s="9" t="s">
        <v>106</v>
      </c>
      <c r="C270" s="31" t="s">
        <v>276</v>
      </c>
      <c r="D270" s="34">
        <v>0</v>
      </c>
      <c r="F270" s="29">
        <f>ROUND((F210+F218+F223+F230+F236+F241+F248+F258+F263+F254),0)</f>
        <v>482</v>
      </c>
      <c r="G270" s="29"/>
      <c r="H270" s="29"/>
      <c r="I270" s="29"/>
      <c r="J270" s="30"/>
      <c r="K270" s="30"/>
      <c r="L270" s="29"/>
    </row>
    <row r="271" spans="1:12">
      <c r="A271" s="26">
        <v>80</v>
      </c>
      <c r="B271" s="9" t="s">
        <v>33</v>
      </c>
      <c r="C271" s="31" t="s">
        <v>277</v>
      </c>
      <c r="D271" s="34">
        <v>0</v>
      </c>
      <c r="F271" s="29">
        <f>ROUND(SUM('Базовые цены с учетом расхода'!X21:X26),0)</f>
        <v>0</v>
      </c>
      <c r="G271" s="29"/>
      <c r="H271" s="29"/>
      <c r="I271" s="29"/>
      <c r="J271" s="30"/>
      <c r="K271" s="30"/>
      <c r="L271" s="29">
        <f>ROUND(SUM('Базовые цены с учетом расхода'!X21:X26),0)</f>
        <v>0</v>
      </c>
    </row>
    <row r="272" spans="1:12">
      <c r="A272" s="26">
        <v>81</v>
      </c>
      <c r="B272" s="9" t="s">
        <v>107</v>
      </c>
      <c r="C272" s="31" t="s">
        <v>277</v>
      </c>
      <c r="D272" s="34">
        <v>0</v>
      </c>
      <c r="F272" s="29">
        <f>ROUND(SUM(G272:N272),0)</f>
        <v>0</v>
      </c>
      <c r="G272" s="29"/>
      <c r="H272" s="29"/>
      <c r="I272" s="29"/>
      <c r="J272" s="30"/>
      <c r="K272" s="30"/>
      <c r="L272" s="29">
        <f>ROUND(SUM('Базовые цены с учетом расхода'!AE21:AE26),0)</f>
        <v>0</v>
      </c>
    </row>
    <row r="273" spans="1:14">
      <c r="A273" s="26">
        <v>82</v>
      </c>
      <c r="B273" s="9" t="s">
        <v>108</v>
      </c>
      <c r="C273" s="31" t="s">
        <v>277</v>
      </c>
      <c r="D273" s="34">
        <v>0</v>
      </c>
      <c r="F273" s="29">
        <f>ROUND(SUM('Базовые цены с учетом расхода'!C21:C26),0)</f>
        <v>718</v>
      </c>
      <c r="G273" s="29"/>
      <c r="H273" s="29"/>
      <c r="I273" s="29"/>
      <c r="J273" s="30"/>
      <c r="K273" s="30"/>
      <c r="L273" s="29"/>
    </row>
    <row r="274" spans="1:14">
      <c r="A274" s="26">
        <v>83</v>
      </c>
      <c r="B274" s="9" t="s">
        <v>109</v>
      </c>
      <c r="C274" s="31" t="s">
        <v>277</v>
      </c>
      <c r="D274" s="34">
        <v>0</v>
      </c>
      <c r="F274" s="29">
        <f>ROUND(SUM('Базовые цены с учетом расхода'!E21:E26),0)</f>
        <v>36</v>
      </c>
      <c r="G274" s="29"/>
      <c r="H274" s="29"/>
      <c r="I274" s="29"/>
      <c r="J274" s="30"/>
      <c r="K274" s="30"/>
      <c r="L274" s="29"/>
    </row>
    <row r="275" spans="1:14">
      <c r="A275" s="26">
        <v>84</v>
      </c>
      <c r="B275" s="9" t="s">
        <v>110</v>
      </c>
      <c r="C275" s="31" t="s">
        <v>278</v>
      </c>
      <c r="D275" s="34">
        <v>0</v>
      </c>
      <c r="F275" s="29">
        <f>ROUND((F273+F274),0)</f>
        <v>754</v>
      </c>
      <c r="G275" s="29"/>
      <c r="H275" s="29"/>
      <c r="I275" s="29"/>
      <c r="J275" s="30"/>
      <c r="K275" s="30"/>
      <c r="L275" s="29"/>
    </row>
    <row r="276" spans="1:14">
      <c r="A276" s="26">
        <v>85</v>
      </c>
      <c r="B276" s="9" t="s">
        <v>111</v>
      </c>
      <c r="C276" s="31" t="s">
        <v>277</v>
      </c>
      <c r="D276" s="34">
        <v>0</v>
      </c>
      <c r="F276" s="29"/>
      <c r="G276" s="29"/>
      <c r="H276" s="29"/>
      <c r="I276" s="29"/>
      <c r="J276" s="30" t="e">
        <f ca="1">ROUND(SUM('Базовые цены с учетом расхода'!I21:I26),8)</f>
        <v>#NAME?</v>
      </c>
      <c r="K276" s="30"/>
      <c r="L276" s="29"/>
    </row>
    <row r="277" spans="1:14">
      <c r="A277" s="26">
        <v>86</v>
      </c>
      <c r="B277" s="9" t="s">
        <v>112</v>
      </c>
      <c r="C277" s="31" t="s">
        <v>277</v>
      </c>
      <c r="D277" s="34">
        <v>0</v>
      </c>
      <c r="F277" s="29"/>
      <c r="G277" s="29"/>
      <c r="H277" s="29"/>
      <c r="I277" s="29"/>
      <c r="J277" s="30" t="e">
        <f ca="1">ROUND(SUM('Базовые цены с учетом расхода'!K21:K26),8)</f>
        <v>#NAME?</v>
      </c>
      <c r="K277" s="30"/>
      <c r="L277" s="29"/>
    </row>
    <row r="278" spans="1:14">
      <c r="A278" s="26">
        <v>87</v>
      </c>
      <c r="B278" s="9" t="s">
        <v>113</v>
      </c>
      <c r="C278" s="31" t="s">
        <v>278</v>
      </c>
      <c r="D278" s="34">
        <v>0</v>
      </c>
      <c r="F278" s="29"/>
      <c r="G278" s="29"/>
      <c r="H278" s="29"/>
      <c r="I278" s="29"/>
      <c r="J278" s="30" t="e">
        <f ca="1">ROUND((J276+J277),8)</f>
        <v>#NAME?</v>
      </c>
      <c r="K278" s="30"/>
      <c r="L278" s="29"/>
    </row>
    <row r="280" spans="1:14">
      <c r="B280" s="49" t="s">
        <v>144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</row>
    <row r="281" spans="1:14"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</row>
    <row r="282" spans="1:14" s="27" customFormat="1">
      <c r="A282" s="7"/>
      <c r="B282" s="27" t="s">
        <v>262</v>
      </c>
      <c r="C282" s="27" t="s">
        <v>263</v>
      </c>
      <c r="D282" s="35" t="s">
        <v>264</v>
      </c>
      <c r="E282" s="27" t="s">
        <v>265</v>
      </c>
      <c r="F282" s="27" t="s">
        <v>266</v>
      </c>
      <c r="G282" s="27" t="s">
        <v>267</v>
      </c>
      <c r="H282" s="27" t="s">
        <v>268</v>
      </c>
      <c r="I282" s="27" t="s">
        <v>269</v>
      </c>
      <c r="J282" s="27" t="s">
        <v>270</v>
      </c>
      <c r="K282" s="27" t="s">
        <v>271</v>
      </c>
      <c r="L282" s="27" t="s">
        <v>272</v>
      </c>
      <c r="M282" s="27" t="s">
        <v>273</v>
      </c>
    </row>
    <row r="283" spans="1:14">
      <c r="A283" s="26">
        <v>1</v>
      </c>
      <c r="B283" s="9" t="s">
        <v>153</v>
      </c>
      <c r="C283" s="31" t="s">
        <v>274</v>
      </c>
      <c r="D283" s="34">
        <v>0</v>
      </c>
      <c r="E283" s="34"/>
      <c r="F283" s="29">
        <f>ROUND(SUM('Базовые цены с учетом расхода'!B30:B32),0)</f>
        <v>409</v>
      </c>
      <c r="G283" s="29">
        <f>ROUND(SUM('Базовые цены с учетом расхода'!C30:C32),0)</f>
        <v>228</v>
      </c>
      <c r="H283" s="29">
        <f>ROUND(SUM('Базовые цены с учетом расхода'!D30:D32),0)</f>
        <v>19</v>
      </c>
      <c r="I283" s="29">
        <f>ROUND(SUM('Базовые цены с учетом расхода'!E30:E32),0)</f>
        <v>4</v>
      </c>
      <c r="J283" s="30" t="e">
        <f ca="1">ROUND(SUM('Базовые цены с учетом расхода'!I30:I32),8)</f>
        <v>#NAME?</v>
      </c>
      <c r="K283" s="30" t="e">
        <f ca="1">ROUND(SUM('Базовые цены с учетом расхода'!K30:K32),8)</f>
        <v>#NAME?</v>
      </c>
      <c r="L283" s="29">
        <f>ROUND(SUM('Базовые цены с учетом расхода'!F30:F32),0)</f>
        <v>162</v>
      </c>
      <c r="N283" s="34"/>
    </row>
    <row r="284" spans="1:14">
      <c r="A284" s="26">
        <v>2</v>
      </c>
      <c r="B284" s="9" t="s">
        <v>59</v>
      </c>
      <c r="C284" s="31" t="s">
        <v>275</v>
      </c>
      <c r="D284" s="34">
        <v>0</v>
      </c>
      <c r="F284" s="29">
        <f>ROUND(SUMIF(Определители!I30:I32,"= ",'Базовые цены с учетом расхода'!B30:B32),0)</f>
        <v>0</v>
      </c>
      <c r="G284" s="29">
        <f>ROUND(SUMIF(Определители!I30:I32,"= ",'Базовые цены с учетом расхода'!C30:C32),0)</f>
        <v>0</v>
      </c>
      <c r="H284" s="29">
        <f>ROUND(SUMIF(Определители!I30:I32,"= ",'Базовые цены с учетом расхода'!D30:D32),0)</f>
        <v>0</v>
      </c>
      <c r="I284" s="29">
        <f>ROUND(SUMIF(Определители!I30:I32,"= ",'Базовые цены с учетом расхода'!E30:E32),0)</f>
        <v>0</v>
      </c>
      <c r="J284" s="30">
        <f>ROUND(SUMIF(Определители!I30:I32,"= ",'Базовые цены с учетом расхода'!I30:I32),8)</f>
        <v>0</v>
      </c>
      <c r="K284" s="30">
        <f>ROUND(SUMIF(Определители!I30:I32,"= ",'Базовые цены с учетом расхода'!K30:K32),8)</f>
        <v>0</v>
      </c>
      <c r="L284" s="29">
        <f>ROUND(SUMIF(Определители!I30:I32,"= ",'Базовые цены с учетом расхода'!F30:F32),0)</f>
        <v>0</v>
      </c>
    </row>
    <row r="285" spans="1:14">
      <c r="A285" s="26">
        <v>3</v>
      </c>
      <c r="B285" s="9" t="s">
        <v>60</v>
      </c>
      <c r="C285" s="31" t="s">
        <v>275</v>
      </c>
      <c r="D285" s="34">
        <v>0</v>
      </c>
      <c r="F285" s="29" t="e">
        <f ca="1">ROUND(СУММПРОИЗВЕСЛИ(0.01,Определители!I30:I32," ",'Базовые цены с учетом расхода'!B30:B32,Начисления!X30:X32,0),0)</f>
        <v>#NAME?</v>
      </c>
      <c r="G285" s="29"/>
      <c r="H285" s="29"/>
      <c r="I285" s="29"/>
      <c r="J285" s="30"/>
      <c r="K285" s="30"/>
      <c r="L285" s="29"/>
    </row>
    <row r="286" spans="1:14">
      <c r="A286" s="26">
        <v>4</v>
      </c>
      <c r="B286" s="9" t="s">
        <v>61</v>
      </c>
      <c r="C286" s="31" t="s">
        <v>275</v>
      </c>
      <c r="D286" s="34">
        <v>0</v>
      </c>
      <c r="F286" s="29" t="e">
        <f ca="1">ROUND(СУММПРОИЗВЕСЛИ(0.01,Определители!I30:I32," ",'Базовые цены с учетом расхода'!B30:B32,Начисления!Y30:Y32,0),0)</f>
        <v>#NAME?</v>
      </c>
      <c r="G286" s="29"/>
      <c r="H286" s="29"/>
      <c r="I286" s="29"/>
      <c r="J286" s="30"/>
      <c r="K286" s="30"/>
      <c r="L286" s="29"/>
    </row>
    <row r="287" spans="1:14">
      <c r="A287" s="26">
        <v>5</v>
      </c>
      <c r="B287" s="9" t="s">
        <v>62</v>
      </c>
      <c r="C287" s="31" t="s">
        <v>275</v>
      </c>
      <c r="D287" s="34">
        <v>0</v>
      </c>
      <c r="F287" s="29" t="e">
        <f ca="1">ROUND(ТРАНСПРАСХОД(Определители!B30:B32,Определители!H30:H32,Определители!I30:I32,'Базовые цены с учетом расхода'!B30:B32,Начисления!Z30:Z32,Начисления!AA30:AA32),0)</f>
        <v>#NAME?</v>
      </c>
      <c r="G287" s="29"/>
      <c r="H287" s="29"/>
      <c r="I287" s="29"/>
      <c r="J287" s="30"/>
      <c r="K287" s="30"/>
      <c r="L287" s="29"/>
    </row>
    <row r="288" spans="1:14">
      <c r="A288" s="26">
        <v>6</v>
      </c>
      <c r="B288" s="9" t="s">
        <v>63</v>
      </c>
      <c r="C288" s="31" t="s">
        <v>275</v>
      </c>
      <c r="D288" s="34">
        <v>0</v>
      </c>
      <c r="F288" s="29" t="e">
        <f ca="1">ROUND(СУММПРОИЗВЕСЛИ(0.01,Определители!I30:I32," ",'Базовые цены с учетом расхода'!B30:B32,Начисления!AC30:AC32,0),0)</f>
        <v>#NAME?</v>
      </c>
      <c r="G288" s="29"/>
      <c r="H288" s="29"/>
      <c r="I288" s="29"/>
      <c r="J288" s="30"/>
      <c r="K288" s="30"/>
      <c r="L288" s="29"/>
    </row>
    <row r="289" spans="1:12">
      <c r="A289" s="26">
        <v>7</v>
      </c>
      <c r="B289" s="9" t="s">
        <v>64</v>
      </c>
      <c r="C289" s="31" t="s">
        <v>275</v>
      </c>
      <c r="D289" s="34">
        <v>0</v>
      </c>
      <c r="F289" s="29" t="e">
        <f ca="1">ROUND(СУММПРОИЗВЕСЛИ(0.01,Определители!I30:I32," ",'Базовые цены с учетом расхода'!B30:B32,Начисления!AF30:AF32,0),0)</f>
        <v>#NAME?</v>
      </c>
      <c r="G289" s="29"/>
      <c r="H289" s="29"/>
      <c r="I289" s="29"/>
      <c r="J289" s="30"/>
      <c r="K289" s="30"/>
      <c r="L289" s="29"/>
    </row>
    <row r="290" spans="1:12">
      <c r="A290" s="26">
        <v>8</v>
      </c>
      <c r="B290" s="9" t="s">
        <v>65</v>
      </c>
      <c r="C290" s="31" t="s">
        <v>275</v>
      </c>
      <c r="D290" s="34">
        <v>0</v>
      </c>
      <c r="F290" s="29" t="e">
        <f ca="1">ROUND(ЗАГОТСКЛАДРАСХОД(Определители!B30:B32,Определители!H30:H32,Определители!I30:I32,'Базовые цены с учетом расхода'!B30:B32,Начисления!X30:X32,Начисления!Y30:Y32,Начисления!Z30:Z32,Начисления!AA30:AA32,Начисления!AB30:AB32,Начисления!AC30:AC32,Начисления!AF30:AF32),0)</f>
        <v>#NAME?</v>
      </c>
      <c r="G290" s="29"/>
      <c r="H290" s="29"/>
      <c r="I290" s="29"/>
      <c r="J290" s="30"/>
      <c r="K290" s="30"/>
      <c r="L290" s="29"/>
    </row>
    <row r="291" spans="1:12">
      <c r="A291" s="26">
        <v>9</v>
      </c>
      <c r="B291" s="9" t="s">
        <v>66</v>
      </c>
      <c r="C291" s="31" t="s">
        <v>275</v>
      </c>
      <c r="D291" s="34">
        <v>0</v>
      </c>
      <c r="F291" s="29" t="e">
        <f ca="1">ROUND(СУММПРОИЗВЕСЛИ(1,Определители!I30:I32," ",'Базовые цены с учетом расхода'!M30:M32,Начисления!I30:I32,0),0)</f>
        <v>#NAME?</v>
      </c>
      <c r="G291" s="29"/>
      <c r="H291" s="29"/>
      <c r="I291" s="29"/>
      <c r="J291" s="30"/>
      <c r="K291" s="30"/>
      <c r="L291" s="29"/>
    </row>
    <row r="292" spans="1:12">
      <c r="A292" s="26">
        <v>10</v>
      </c>
      <c r="B292" s="9" t="s">
        <v>67</v>
      </c>
      <c r="C292" s="31" t="s">
        <v>276</v>
      </c>
      <c r="D292" s="34">
        <v>0</v>
      </c>
      <c r="F292" s="29" t="e">
        <f ca="1">ROUND((F291+F302+F322),0)</f>
        <v>#NAME?</v>
      </c>
      <c r="G292" s="29"/>
      <c r="H292" s="29"/>
      <c r="I292" s="29"/>
      <c r="J292" s="30"/>
      <c r="K292" s="30"/>
      <c r="L292" s="29"/>
    </row>
    <row r="293" spans="1:12">
      <c r="A293" s="26">
        <v>11</v>
      </c>
      <c r="B293" s="9" t="s">
        <v>68</v>
      </c>
      <c r="C293" s="31" t="s">
        <v>276</v>
      </c>
      <c r="D293" s="34">
        <v>0</v>
      </c>
      <c r="F293" s="29" t="e">
        <f ca="1">ROUND((F284+F285+F286+F287+F288+F289+F290+F292),0)</f>
        <v>#NAME?</v>
      </c>
      <c r="G293" s="29"/>
      <c r="H293" s="29"/>
      <c r="I293" s="29"/>
      <c r="J293" s="30"/>
      <c r="K293" s="30"/>
      <c r="L293" s="29"/>
    </row>
    <row r="294" spans="1:12">
      <c r="A294" s="26">
        <v>12</v>
      </c>
      <c r="B294" s="9" t="s">
        <v>69</v>
      </c>
      <c r="C294" s="31" t="s">
        <v>275</v>
      </c>
      <c r="D294" s="34">
        <v>0</v>
      </c>
      <c r="F294" s="29">
        <f>ROUND(SUMIF(Определители!I30:I32,"=1",'Базовые цены с учетом расхода'!B30:B32),0)</f>
        <v>0</v>
      </c>
      <c r="G294" s="29">
        <f>ROUND(SUMIF(Определители!I30:I32,"=1",'Базовые цены с учетом расхода'!C30:C32),0)</f>
        <v>0</v>
      </c>
      <c r="H294" s="29">
        <f>ROUND(SUMIF(Определители!I30:I32,"=1",'Базовые цены с учетом расхода'!D30:D32),0)</f>
        <v>0</v>
      </c>
      <c r="I294" s="29">
        <f>ROUND(SUMIF(Определители!I30:I32,"=1",'Базовые цены с учетом расхода'!E30:E32),0)</f>
        <v>0</v>
      </c>
      <c r="J294" s="30">
        <f>ROUND(SUMIF(Определители!I30:I32,"=1",'Базовые цены с учетом расхода'!I30:I32),8)</f>
        <v>0</v>
      </c>
      <c r="K294" s="30">
        <f>ROUND(SUMIF(Определители!I30:I32,"=1",'Базовые цены с учетом расхода'!K30:K32),8)</f>
        <v>0</v>
      </c>
      <c r="L294" s="29">
        <f>ROUND(SUMIF(Определители!I30:I32,"=1",'Базовые цены с учетом расхода'!F30:F32),0)</f>
        <v>0</v>
      </c>
    </row>
    <row r="295" spans="1:12">
      <c r="A295" s="26">
        <v>13</v>
      </c>
      <c r="B295" s="9" t="s">
        <v>70</v>
      </c>
      <c r="C295" s="31" t="s">
        <v>275</v>
      </c>
      <c r="D295" s="34">
        <v>0</v>
      </c>
      <c r="F295" s="29"/>
      <c r="G295" s="29"/>
      <c r="H295" s="29"/>
      <c r="I295" s="29"/>
      <c r="J295" s="30"/>
      <c r="K295" s="30"/>
      <c r="L295" s="29"/>
    </row>
    <row r="296" spans="1:12">
      <c r="A296" s="26">
        <v>14</v>
      </c>
      <c r="B296" s="9" t="s">
        <v>71</v>
      </c>
      <c r="C296" s="31" t="s">
        <v>275</v>
      </c>
      <c r="D296" s="34">
        <v>0</v>
      </c>
      <c r="F296" s="29"/>
      <c r="G296" s="29">
        <f>ROUND(SUMIF(Определители!I30:I32,"=1",'Базовые цены с учетом расхода'!T30:T32),0)</f>
        <v>0</v>
      </c>
      <c r="H296" s="29"/>
      <c r="I296" s="29"/>
      <c r="J296" s="30"/>
      <c r="K296" s="30"/>
      <c r="L296" s="29"/>
    </row>
    <row r="297" spans="1:12">
      <c r="A297" s="26">
        <v>15</v>
      </c>
      <c r="B297" s="9" t="s">
        <v>72</v>
      </c>
      <c r="C297" s="31" t="s">
        <v>275</v>
      </c>
      <c r="D297" s="34">
        <v>0</v>
      </c>
      <c r="F297" s="29">
        <f>ROUND(SUMIF(Определители!I30:I32,"=1",'Базовые цены с учетом расхода'!U30:U32),0)</f>
        <v>0</v>
      </c>
      <c r="G297" s="29"/>
      <c r="H297" s="29"/>
      <c r="I297" s="29"/>
      <c r="J297" s="30"/>
      <c r="K297" s="30"/>
      <c r="L297" s="29"/>
    </row>
    <row r="298" spans="1:12">
      <c r="A298" s="26">
        <v>16</v>
      </c>
      <c r="B298" s="9" t="s">
        <v>73</v>
      </c>
      <c r="C298" s="31" t="s">
        <v>275</v>
      </c>
      <c r="D298" s="34">
        <v>0</v>
      </c>
      <c r="F298" s="29" t="e">
        <f ca="1">ROUND(СУММЕСЛИ2(Определители!I30:I32,"1",Определители!G30:G32,"1",'Базовые цены с учетом расхода'!B30:B32),0)</f>
        <v>#NAME?</v>
      </c>
      <c r="G298" s="29"/>
      <c r="H298" s="29"/>
      <c r="I298" s="29"/>
      <c r="J298" s="30"/>
      <c r="K298" s="30"/>
      <c r="L298" s="29"/>
    </row>
    <row r="299" spans="1:12">
      <c r="A299" s="26">
        <v>17</v>
      </c>
      <c r="B299" s="9" t="s">
        <v>74</v>
      </c>
      <c r="C299" s="31" t="s">
        <v>275</v>
      </c>
      <c r="D299" s="34">
        <v>0</v>
      </c>
      <c r="F299" s="29">
        <f>ROUND(SUMIF(Определители!I30:I32,"=1",'Базовые цены с учетом расхода'!H30:H32),0)</f>
        <v>0</v>
      </c>
      <c r="G299" s="29"/>
      <c r="H299" s="29"/>
      <c r="I299" s="29"/>
      <c r="J299" s="30"/>
      <c r="K299" s="30"/>
      <c r="L299" s="29"/>
    </row>
    <row r="300" spans="1:12">
      <c r="A300" s="26">
        <v>18</v>
      </c>
      <c r="B300" s="9" t="s">
        <v>75</v>
      </c>
      <c r="C300" s="31" t="s">
        <v>275</v>
      </c>
      <c r="D300" s="34">
        <v>0</v>
      </c>
      <c r="F300" s="29">
        <f>ROUND(SUMIF(Определители!I30:I32,"=1",'Базовые цены с учетом расхода'!N30:N32),0)</f>
        <v>0</v>
      </c>
      <c r="G300" s="29"/>
      <c r="H300" s="29"/>
      <c r="I300" s="29"/>
      <c r="J300" s="30"/>
      <c r="K300" s="30"/>
      <c r="L300" s="29"/>
    </row>
    <row r="301" spans="1:12">
      <c r="A301" s="26">
        <v>19</v>
      </c>
      <c r="B301" s="9" t="s">
        <v>76</v>
      </c>
      <c r="C301" s="31" t="s">
        <v>275</v>
      </c>
      <c r="D301" s="34">
        <v>0</v>
      </c>
      <c r="F301" s="29">
        <f>ROUND(SUMIF(Определители!I30:I32,"=1",'Базовые цены с учетом расхода'!O30:O32),0)</f>
        <v>0</v>
      </c>
      <c r="G301" s="29"/>
      <c r="H301" s="29"/>
      <c r="I301" s="29"/>
      <c r="J301" s="30"/>
      <c r="K301" s="30"/>
      <c r="L301" s="29"/>
    </row>
    <row r="302" spans="1:12">
      <c r="A302" s="26">
        <v>20</v>
      </c>
      <c r="B302" s="9" t="s">
        <v>67</v>
      </c>
      <c r="C302" s="31" t="s">
        <v>275</v>
      </c>
      <c r="D302" s="34">
        <v>0</v>
      </c>
      <c r="F302" s="29" t="e">
        <f ca="1">ROUND(СУММПРОИЗВЕСЛИ(1,Определители!I30:I32," ",'Базовые цены с учетом расхода'!M30:M32,Начисления!I30:I32,0),0)</f>
        <v>#NAME?</v>
      </c>
      <c r="G302" s="29"/>
      <c r="H302" s="29"/>
      <c r="I302" s="29"/>
      <c r="J302" s="30"/>
      <c r="K302" s="30"/>
      <c r="L302" s="29"/>
    </row>
    <row r="303" spans="1:12">
      <c r="A303" s="26">
        <v>21</v>
      </c>
      <c r="B303" s="9" t="s">
        <v>77</v>
      </c>
      <c r="C303" s="31" t="s">
        <v>276</v>
      </c>
      <c r="D303" s="34">
        <v>0</v>
      </c>
      <c r="F303" s="29">
        <f>ROUND((F294+F300+F301),0)</f>
        <v>0</v>
      </c>
      <c r="G303" s="29"/>
      <c r="H303" s="29"/>
      <c r="I303" s="29"/>
      <c r="J303" s="30"/>
      <c r="K303" s="30"/>
      <c r="L303" s="29"/>
    </row>
    <row r="304" spans="1:12">
      <c r="A304" s="26">
        <v>22</v>
      </c>
      <c r="B304" s="9" t="s">
        <v>78</v>
      </c>
      <c r="C304" s="31" t="s">
        <v>275</v>
      </c>
      <c r="D304" s="34">
        <v>0</v>
      </c>
      <c r="F304" s="29">
        <f>ROUND(SUMIF(Определители!I30:I32,"=2",'Базовые цены с учетом расхода'!B30:B32),0)</f>
        <v>409</v>
      </c>
      <c r="G304" s="29">
        <f>ROUND(SUMIF(Определители!I30:I32,"=2",'Базовые цены с учетом расхода'!C30:C32),0)</f>
        <v>228</v>
      </c>
      <c r="H304" s="29">
        <f>ROUND(SUMIF(Определители!I30:I32,"=2",'Базовые цены с учетом расхода'!D30:D32),0)</f>
        <v>19</v>
      </c>
      <c r="I304" s="29">
        <f>ROUND(SUMIF(Определители!I30:I32,"=2",'Базовые цены с учетом расхода'!E30:E32),0)</f>
        <v>4</v>
      </c>
      <c r="J304" s="30" t="e">
        <f ca="1">ROUND(SUMIF(Определители!I30:I32,"=2",'Базовые цены с учетом расхода'!I30:I32),8)</f>
        <v>#NAME?</v>
      </c>
      <c r="K304" s="30" t="e">
        <f ca="1">ROUND(SUMIF(Определители!I30:I32,"=2",'Базовые цены с учетом расхода'!K30:K32),8)</f>
        <v>#NAME?</v>
      </c>
      <c r="L304" s="29">
        <f>ROUND(SUMIF(Определители!I30:I32,"=2",'Базовые цены с учетом расхода'!F30:F32),0)</f>
        <v>162</v>
      </c>
    </row>
    <row r="305" spans="1:12">
      <c r="A305" s="26">
        <v>23</v>
      </c>
      <c r="B305" s="9" t="s">
        <v>70</v>
      </c>
      <c r="C305" s="31" t="s">
        <v>275</v>
      </c>
      <c r="D305" s="34">
        <v>0</v>
      </c>
      <c r="F305" s="29"/>
      <c r="G305" s="29"/>
      <c r="H305" s="29"/>
      <c r="I305" s="29"/>
      <c r="J305" s="30"/>
      <c r="K305" s="30"/>
      <c r="L305" s="29"/>
    </row>
    <row r="306" spans="1:12">
      <c r="A306" s="26">
        <v>24</v>
      </c>
      <c r="B306" s="9" t="s">
        <v>79</v>
      </c>
      <c r="C306" s="31" t="s">
        <v>275</v>
      </c>
      <c r="D306" s="34">
        <v>0</v>
      </c>
      <c r="F306" s="29" t="e">
        <f ca="1">ROUND(СУММЕСЛИ2(Определители!I30:I32,"2",Определители!G30:G32,"1",'Базовые цены с учетом расхода'!B30:B32),0)</f>
        <v>#NAME?</v>
      </c>
      <c r="G306" s="29"/>
      <c r="H306" s="29"/>
      <c r="I306" s="29"/>
      <c r="J306" s="30"/>
      <c r="K306" s="30"/>
      <c r="L306" s="29"/>
    </row>
    <row r="307" spans="1:12">
      <c r="A307" s="26">
        <v>25</v>
      </c>
      <c r="B307" s="9" t="s">
        <v>74</v>
      </c>
      <c r="C307" s="31" t="s">
        <v>275</v>
      </c>
      <c r="D307" s="34">
        <v>0</v>
      </c>
      <c r="F307" s="29">
        <f>ROUND(SUMIF(Определители!I30:I32,"=2",'Базовые цены с учетом расхода'!H30:H32),0)</f>
        <v>0</v>
      </c>
      <c r="G307" s="29"/>
      <c r="H307" s="29"/>
      <c r="I307" s="29"/>
      <c r="J307" s="30"/>
      <c r="K307" s="30"/>
      <c r="L307" s="29"/>
    </row>
    <row r="308" spans="1:12">
      <c r="A308" s="26">
        <v>26</v>
      </c>
      <c r="B308" s="9" t="s">
        <v>75</v>
      </c>
      <c r="C308" s="31" t="s">
        <v>275</v>
      </c>
      <c r="D308" s="34">
        <v>0</v>
      </c>
      <c r="F308" s="29">
        <f>ROUND(SUMIF(Определители!I30:I32,"=2",'Базовые цены с учетом расхода'!N30:N32),0)</f>
        <v>196</v>
      </c>
      <c r="G308" s="29"/>
      <c r="H308" s="29"/>
      <c r="I308" s="29"/>
      <c r="J308" s="30"/>
      <c r="K308" s="30"/>
      <c r="L308" s="29"/>
    </row>
    <row r="309" spans="1:12">
      <c r="A309" s="26">
        <v>27</v>
      </c>
      <c r="B309" s="9" t="s">
        <v>76</v>
      </c>
      <c r="C309" s="31" t="s">
        <v>275</v>
      </c>
      <c r="D309" s="34">
        <v>0</v>
      </c>
      <c r="F309" s="29">
        <f>ROUND(SUMIF(Определители!I30:I32,"=2",'Базовые цены с учетом расхода'!O30:O32),0)</f>
        <v>144</v>
      </c>
      <c r="G309" s="29"/>
      <c r="H309" s="29"/>
      <c r="I309" s="29"/>
      <c r="J309" s="30"/>
      <c r="K309" s="30"/>
      <c r="L309" s="29"/>
    </row>
    <row r="310" spans="1:12">
      <c r="A310" s="26">
        <v>28</v>
      </c>
      <c r="B310" s="9" t="s">
        <v>82</v>
      </c>
      <c r="C310" s="31" t="s">
        <v>276</v>
      </c>
      <c r="D310" s="34">
        <v>0</v>
      </c>
      <c r="F310" s="29">
        <f>ROUND((F304+F308+F309),0)</f>
        <v>749</v>
      </c>
      <c r="G310" s="29"/>
      <c r="H310" s="29"/>
      <c r="I310" s="29"/>
      <c r="J310" s="30"/>
      <c r="K310" s="30"/>
      <c r="L310" s="29"/>
    </row>
    <row r="311" spans="1:12">
      <c r="A311" s="26">
        <v>29</v>
      </c>
      <c r="B311" s="9" t="s">
        <v>83</v>
      </c>
      <c r="C311" s="31" t="s">
        <v>275</v>
      </c>
      <c r="D311" s="34">
        <v>0</v>
      </c>
      <c r="F311" s="29">
        <f>ROUND(SUMIF(Определители!I30:I32,"=3",'Базовые цены с учетом расхода'!B30:B32),0)</f>
        <v>0</v>
      </c>
      <c r="G311" s="29">
        <f>ROUND(SUMIF(Определители!I30:I32,"=3",'Базовые цены с учетом расхода'!C30:C32),0)</f>
        <v>0</v>
      </c>
      <c r="H311" s="29">
        <f>ROUND(SUMIF(Определители!I30:I32,"=3",'Базовые цены с учетом расхода'!D30:D32),0)</f>
        <v>0</v>
      </c>
      <c r="I311" s="29">
        <f>ROUND(SUMIF(Определители!I30:I32,"=3",'Базовые цены с учетом расхода'!E30:E32),0)</f>
        <v>0</v>
      </c>
      <c r="J311" s="30">
        <f>ROUND(SUMIF(Определители!I30:I32,"=3",'Базовые цены с учетом расхода'!I30:I32),8)</f>
        <v>0</v>
      </c>
      <c r="K311" s="30">
        <f>ROUND(SUMIF(Определители!I30:I32,"=3",'Базовые цены с учетом расхода'!K30:K32),8)</f>
        <v>0</v>
      </c>
      <c r="L311" s="29">
        <f>ROUND(SUMIF(Определители!I30:I32,"=3",'Базовые цены с учетом расхода'!F30:F32),0)</f>
        <v>0</v>
      </c>
    </row>
    <row r="312" spans="1:12">
      <c r="A312" s="26">
        <v>30</v>
      </c>
      <c r="B312" s="9" t="s">
        <v>74</v>
      </c>
      <c r="C312" s="31" t="s">
        <v>275</v>
      </c>
      <c r="D312" s="34">
        <v>0</v>
      </c>
      <c r="F312" s="29">
        <f>ROUND(SUMIF(Определители!I30:I32,"=3",'Базовые цены с учетом расхода'!H30:H32),0)</f>
        <v>0</v>
      </c>
      <c r="G312" s="29"/>
      <c r="H312" s="29"/>
      <c r="I312" s="29"/>
      <c r="J312" s="30"/>
      <c r="K312" s="30"/>
      <c r="L312" s="29"/>
    </row>
    <row r="313" spans="1:12">
      <c r="A313" s="26">
        <v>31</v>
      </c>
      <c r="B313" s="9" t="s">
        <v>75</v>
      </c>
      <c r="C313" s="31" t="s">
        <v>275</v>
      </c>
      <c r="D313" s="34">
        <v>0</v>
      </c>
      <c r="F313" s="29">
        <f>ROUND(SUMIF(Определители!I30:I32,"=3",'Базовые цены с учетом расхода'!N30:N32),0)</f>
        <v>0</v>
      </c>
      <c r="G313" s="29"/>
      <c r="H313" s="29"/>
      <c r="I313" s="29"/>
      <c r="J313" s="30"/>
      <c r="K313" s="30"/>
      <c r="L313" s="29"/>
    </row>
    <row r="314" spans="1:12">
      <c r="A314" s="26">
        <v>32</v>
      </c>
      <c r="B314" s="9" t="s">
        <v>76</v>
      </c>
      <c r="C314" s="31" t="s">
        <v>275</v>
      </c>
      <c r="D314" s="34">
        <v>0</v>
      </c>
      <c r="F314" s="29">
        <f>ROUND(SUMIF(Определители!I30:I32,"=3",'Базовые цены с учетом расхода'!O30:O32),0)</f>
        <v>0</v>
      </c>
      <c r="G314" s="29"/>
      <c r="H314" s="29"/>
      <c r="I314" s="29"/>
      <c r="J314" s="30"/>
      <c r="K314" s="30"/>
      <c r="L314" s="29"/>
    </row>
    <row r="315" spans="1:12">
      <c r="A315" s="26">
        <v>33</v>
      </c>
      <c r="B315" s="9" t="s">
        <v>84</v>
      </c>
      <c r="C315" s="31" t="s">
        <v>276</v>
      </c>
      <c r="D315" s="34">
        <v>0</v>
      </c>
      <c r="F315" s="29">
        <f>ROUND((F311+F313+F314),0)</f>
        <v>0</v>
      </c>
      <c r="G315" s="29"/>
      <c r="H315" s="29"/>
      <c r="I315" s="29"/>
      <c r="J315" s="30"/>
      <c r="K315" s="30"/>
      <c r="L315" s="29"/>
    </row>
    <row r="316" spans="1:12">
      <c r="A316" s="26">
        <v>34</v>
      </c>
      <c r="B316" s="9" t="s">
        <v>85</v>
      </c>
      <c r="C316" s="31" t="s">
        <v>275</v>
      </c>
      <c r="D316" s="34">
        <v>0</v>
      </c>
      <c r="F316" s="29">
        <f>ROUND(SUMIF(Определители!I30:I32,"=4",'Базовые цены с учетом расхода'!B30:B32),0)</f>
        <v>0</v>
      </c>
      <c r="G316" s="29">
        <f>ROUND(SUMIF(Определители!I30:I32,"=4",'Базовые цены с учетом расхода'!C30:C32),0)</f>
        <v>0</v>
      </c>
      <c r="H316" s="29">
        <f>ROUND(SUMIF(Определители!I30:I32,"=4",'Базовые цены с учетом расхода'!D30:D32),0)</f>
        <v>0</v>
      </c>
      <c r="I316" s="29">
        <f>ROUND(SUMIF(Определители!I30:I32,"=4",'Базовые цены с учетом расхода'!E30:E32),0)</f>
        <v>0</v>
      </c>
      <c r="J316" s="30">
        <f>ROUND(SUMIF(Определители!I30:I32,"=4",'Базовые цены с учетом расхода'!I30:I32),8)</f>
        <v>0</v>
      </c>
      <c r="K316" s="30">
        <f>ROUND(SUMIF(Определители!I30:I32,"=4",'Базовые цены с учетом расхода'!K30:K32),8)</f>
        <v>0</v>
      </c>
      <c r="L316" s="29">
        <f>ROUND(SUMIF(Определители!I30:I32,"=4",'Базовые цены с учетом расхода'!F30:F32),0)</f>
        <v>0</v>
      </c>
    </row>
    <row r="317" spans="1:12">
      <c r="A317" s="26">
        <v>35</v>
      </c>
      <c r="B317" s="9" t="s">
        <v>70</v>
      </c>
      <c r="C317" s="31" t="s">
        <v>275</v>
      </c>
      <c r="D317" s="34">
        <v>0</v>
      </c>
      <c r="F317" s="29"/>
      <c r="G317" s="29"/>
      <c r="H317" s="29"/>
      <c r="I317" s="29"/>
      <c r="J317" s="30"/>
      <c r="K317" s="30"/>
      <c r="L317" s="29"/>
    </row>
    <row r="318" spans="1:12">
      <c r="A318" s="26">
        <v>36</v>
      </c>
      <c r="B318" s="9" t="s">
        <v>86</v>
      </c>
      <c r="C318" s="31" t="s">
        <v>275</v>
      </c>
      <c r="D318" s="34">
        <v>0</v>
      </c>
      <c r="F318" s="29">
        <f>ROUND(SUMIF(Определители!I30:I32,"=4",'Базовые цены с учетом расхода'!AJ30:AJ32),0)</f>
        <v>0</v>
      </c>
      <c r="G318" s="29">
        <f>ROUND(SUMIF(Определители!I30:I32,"=4",'Базовые цены с учетом расхода'!AI30:AI32),0)</f>
        <v>0</v>
      </c>
      <c r="H318" s="29">
        <f>ROUND(SUMIF(Определители!I30:I32,"=4",'Базовые цены с учетом расхода'!AH30:AH32),0)</f>
        <v>0</v>
      </c>
      <c r="I318" s="29">
        <f>ROUND(SUMIF(Определители!I30:I32,"=4",'Базовые цены с учетом расхода'!V30:V32),0)</f>
        <v>0</v>
      </c>
      <c r="J318" s="30"/>
      <c r="K318" s="30"/>
      <c r="L318" s="29"/>
    </row>
    <row r="319" spans="1:12">
      <c r="A319" s="26">
        <v>37</v>
      </c>
      <c r="B319" s="9" t="s">
        <v>74</v>
      </c>
      <c r="C319" s="31" t="s">
        <v>275</v>
      </c>
      <c r="D319" s="34">
        <v>0</v>
      </c>
      <c r="F319" s="29">
        <f>ROUND(SUMIF(Определители!I30:I32,"=4",'Базовые цены с учетом расхода'!H30:H32),0)</f>
        <v>0</v>
      </c>
      <c r="G319" s="29"/>
      <c r="H319" s="29"/>
      <c r="I319" s="29"/>
      <c r="J319" s="30"/>
      <c r="K319" s="30"/>
      <c r="L319" s="29"/>
    </row>
    <row r="320" spans="1:12">
      <c r="A320" s="26">
        <v>38</v>
      </c>
      <c r="B320" s="9" t="s">
        <v>75</v>
      </c>
      <c r="C320" s="31" t="s">
        <v>275</v>
      </c>
      <c r="D320" s="34">
        <v>0</v>
      </c>
      <c r="F320" s="29">
        <f>ROUND(SUMIF(Определители!I30:I32,"=4",'Базовые цены с учетом расхода'!N30:N32),0)</f>
        <v>0</v>
      </c>
      <c r="G320" s="29"/>
      <c r="H320" s="29"/>
      <c r="I320" s="29"/>
      <c r="J320" s="30"/>
      <c r="K320" s="30"/>
      <c r="L320" s="29"/>
    </row>
    <row r="321" spans="1:12">
      <c r="A321" s="26">
        <v>39</v>
      </c>
      <c r="B321" s="9" t="s">
        <v>76</v>
      </c>
      <c r="C321" s="31" t="s">
        <v>275</v>
      </c>
      <c r="D321" s="34">
        <v>0</v>
      </c>
      <c r="F321" s="29">
        <f>ROUND(SUMIF(Определители!I30:I32,"=4",'Базовые цены с учетом расхода'!O30:O32),0)</f>
        <v>0</v>
      </c>
      <c r="G321" s="29"/>
      <c r="H321" s="29"/>
      <c r="I321" s="29"/>
      <c r="J321" s="30"/>
      <c r="K321" s="30"/>
      <c r="L321" s="29"/>
    </row>
    <row r="322" spans="1:12">
      <c r="A322" s="26">
        <v>40</v>
      </c>
      <c r="B322" s="9" t="s">
        <v>67</v>
      </c>
      <c r="C322" s="31" t="s">
        <v>275</v>
      </c>
      <c r="D322" s="34">
        <v>0</v>
      </c>
      <c r="F322" s="29" t="e">
        <f ca="1">ROUND(СУММПРОИЗВЕСЛИ(1,Определители!I30:I32," ",'Базовые цены с учетом расхода'!M30:M32,Начисления!I30:I32,0),0)</f>
        <v>#NAME?</v>
      </c>
      <c r="G322" s="29"/>
      <c r="H322" s="29"/>
      <c r="I322" s="29"/>
      <c r="J322" s="30"/>
      <c r="K322" s="30"/>
      <c r="L322" s="29"/>
    </row>
    <row r="323" spans="1:12">
      <c r="A323" s="26">
        <v>41</v>
      </c>
      <c r="B323" s="9" t="s">
        <v>87</v>
      </c>
      <c r="C323" s="31" t="s">
        <v>276</v>
      </c>
      <c r="D323" s="34">
        <v>0</v>
      </c>
      <c r="F323" s="29">
        <f>ROUND((F316+F320+F321),0)</f>
        <v>0</v>
      </c>
      <c r="G323" s="29"/>
      <c r="H323" s="29"/>
      <c r="I323" s="29"/>
      <c r="J323" s="30"/>
      <c r="K323" s="30"/>
      <c r="L323" s="29"/>
    </row>
    <row r="324" spans="1:12">
      <c r="A324" s="26">
        <v>42</v>
      </c>
      <c r="B324" s="9" t="s">
        <v>88</v>
      </c>
      <c r="C324" s="31" t="s">
        <v>275</v>
      </c>
      <c r="D324" s="34">
        <v>0</v>
      </c>
      <c r="F324" s="29">
        <f>ROUND(SUMIF(Определители!I30:I32,"=5",'Базовые цены с учетом расхода'!B30:B32),0)</f>
        <v>0</v>
      </c>
      <c r="G324" s="29">
        <f>ROUND(SUMIF(Определители!I30:I32,"=5",'Базовые цены с учетом расхода'!C30:C32),0)</f>
        <v>0</v>
      </c>
      <c r="H324" s="29">
        <f>ROUND(SUMIF(Определители!I30:I32,"=5",'Базовые цены с учетом расхода'!D30:D32),0)</f>
        <v>0</v>
      </c>
      <c r="I324" s="29">
        <f>ROUND(SUMIF(Определители!I30:I32,"=5",'Базовые цены с учетом расхода'!E30:E32),0)</f>
        <v>0</v>
      </c>
      <c r="J324" s="30">
        <f>ROUND(SUMIF(Определители!I30:I32,"=5",'Базовые цены с учетом расхода'!I30:I32),8)</f>
        <v>0</v>
      </c>
      <c r="K324" s="30">
        <f>ROUND(SUMIF(Определители!I30:I32,"=5",'Базовые цены с учетом расхода'!K30:K32),8)</f>
        <v>0</v>
      </c>
      <c r="L324" s="29">
        <f>ROUND(SUMIF(Определители!I30:I32,"=5",'Базовые цены с учетом расхода'!F30:F32),0)</f>
        <v>0</v>
      </c>
    </row>
    <row r="325" spans="1:12">
      <c r="A325" s="26">
        <v>43</v>
      </c>
      <c r="B325" s="9" t="s">
        <v>74</v>
      </c>
      <c r="C325" s="31" t="s">
        <v>275</v>
      </c>
      <c r="D325" s="34">
        <v>0</v>
      </c>
      <c r="F325" s="29">
        <f>ROUND(SUMIF(Определители!I30:I32,"=5",'Базовые цены с учетом расхода'!H30:H32),0)</f>
        <v>0</v>
      </c>
      <c r="G325" s="29"/>
      <c r="H325" s="29"/>
      <c r="I325" s="29"/>
      <c r="J325" s="30"/>
      <c r="K325" s="30"/>
      <c r="L325" s="29"/>
    </row>
    <row r="326" spans="1:12">
      <c r="A326" s="26">
        <v>44</v>
      </c>
      <c r="B326" s="9" t="s">
        <v>75</v>
      </c>
      <c r="C326" s="31" t="s">
        <v>275</v>
      </c>
      <c r="D326" s="34">
        <v>0</v>
      </c>
      <c r="F326" s="29">
        <f>ROUND(SUMIF(Определители!I30:I32,"=5",'Базовые цены с учетом расхода'!N30:N32),0)</f>
        <v>0</v>
      </c>
      <c r="G326" s="29"/>
      <c r="H326" s="29"/>
      <c r="I326" s="29"/>
      <c r="J326" s="30"/>
      <c r="K326" s="30"/>
      <c r="L326" s="29"/>
    </row>
    <row r="327" spans="1:12">
      <c r="A327" s="26">
        <v>45</v>
      </c>
      <c r="B327" s="9" t="s">
        <v>76</v>
      </c>
      <c r="C327" s="31" t="s">
        <v>275</v>
      </c>
      <c r="D327" s="34">
        <v>0</v>
      </c>
      <c r="F327" s="29">
        <f>ROUND(SUMIF(Определители!I30:I32,"=5",'Базовые цены с учетом расхода'!O30:O32),0)</f>
        <v>0</v>
      </c>
      <c r="G327" s="29"/>
      <c r="H327" s="29"/>
      <c r="I327" s="29"/>
      <c r="J327" s="30"/>
      <c r="K327" s="30"/>
      <c r="L327" s="29"/>
    </row>
    <row r="328" spans="1:12">
      <c r="A328" s="26">
        <v>46</v>
      </c>
      <c r="B328" s="9" t="s">
        <v>89</v>
      </c>
      <c r="C328" s="31" t="s">
        <v>276</v>
      </c>
      <c r="D328" s="34">
        <v>0</v>
      </c>
      <c r="F328" s="29">
        <f>ROUND((F324+F326+F327),0)</f>
        <v>0</v>
      </c>
      <c r="G328" s="29"/>
      <c r="H328" s="29"/>
      <c r="I328" s="29"/>
      <c r="J328" s="30"/>
      <c r="K328" s="30"/>
      <c r="L328" s="29"/>
    </row>
    <row r="329" spans="1:12">
      <c r="A329" s="26">
        <v>47</v>
      </c>
      <c r="B329" s="9" t="s">
        <v>90</v>
      </c>
      <c r="C329" s="31" t="s">
        <v>275</v>
      </c>
      <c r="D329" s="34">
        <v>0</v>
      </c>
      <c r="F329" s="29">
        <f>ROUND(SUMIF(Определители!I30:I32,"=6",'Базовые цены с учетом расхода'!B30:B32),0)</f>
        <v>0</v>
      </c>
      <c r="G329" s="29">
        <f>ROUND(SUMIF(Определители!I30:I32,"=6",'Базовые цены с учетом расхода'!C30:C32),0)</f>
        <v>0</v>
      </c>
      <c r="H329" s="29">
        <f>ROUND(SUMIF(Определители!I30:I32,"=6",'Базовые цены с учетом расхода'!D30:D32),0)</f>
        <v>0</v>
      </c>
      <c r="I329" s="29">
        <f>ROUND(SUMIF(Определители!I30:I32,"=6",'Базовые цены с учетом расхода'!E30:E32),0)</f>
        <v>0</v>
      </c>
      <c r="J329" s="30">
        <f>ROUND(SUMIF(Определители!I30:I32,"=6",'Базовые цены с учетом расхода'!I30:I32),8)</f>
        <v>0</v>
      </c>
      <c r="K329" s="30">
        <f>ROUND(SUMIF(Определители!I30:I32,"=6",'Базовые цены с учетом расхода'!K30:K32),8)</f>
        <v>0</v>
      </c>
      <c r="L329" s="29">
        <f>ROUND(SUMIF(Определители!I30:I32,"=6",'Базовые цены с учетом расхода'!F30:F32),0)</f>
        <v>0</v>
      </c>
    </row>
    <row r="330" spans="1:12">
      <c r="A330" s="26">
        <v>48</v>
      </c>
      <c r="B330" s="9" t="s">
        <v>74</v>
      </c>
      <c r="C330" s="31" t="s">
        <v>275</v>
      </c>
      <c r="D330" s="34">
        <v>0</v>
      </c>
      <c r="F330" s="29">
        <f>ROUND(SUMIF(Определители!I30:I32,"=6",'Базовые цены с учетом расхода'!H30:H32),0)</f>
        <v>0</v>
      </c>
      <c r="G330" s="29"/>
      <c r="H330" s="29"/>
      <c r="I330" s="29"/>
      <c r="J330" s="30"/>
      <c r="K330" s="30"/>
      <c r="L330" s="29"/>
    </row>
    <row r="331" spans="1:12">
      <c r="A331" s="26">
        <v>49</v>
      </c>
      <c r="B331" s="9" t="s">
        <v>75</v>
      </c>
      <c r="C331" s="31" t="s">
        <v>275</v>
      </c>
      <c r="D331" s="34">
        <v>0</v>
      </c>
      <c r="F331" s="29">
        <f>ROUND(SUMIF(Определители!I30:I32,"=6",'Базовые цены с учетом расхода'!N30:N32),0)</f>
        <v>0</v>
      </c>
      <c r="G331" s="29"/>
      <c r="H331" s="29"/>
      <c r="I331" s="29"/>
      <c r="J331" s="30"/>
      <c r="K331" s="30"/>
      <c r="L331" s="29"/>
    </row>
    <row r="332" spans="1:12">
      <c r="A332" s="26">
        <v>50</v>
      </c>
      <c r="B332" s="9" t="s">
        <v>76</v>
      </c>
      <c r="C332" s="31" t="s">
        <v>275</v>
      </c>
      <c r="D332" s="34">
        <v>0</v>
      </c>
      <c r="F332" s="29">
        <f>ROUND(SUMIF(Определители!I30:I32,"=6",'Базовые цены с учетом расхода'!O30:O32),0)</f>
        <v>0</v>
      </c>
      <c r="G332" s="29"/>
      <c r="H332" s="29"/>
      <c r="I332" s="29"/>
      <c r="J332" s="30"/>
      <c r="K332" s="30"/>
      <c r="L332" s="29"/>
    </row>
    <row r="333" spans="1:12">
      <c r="A333" s="26">
        <v>51</v>
      </c>
      <c r="B333" s="9" t="s">
        <v>91</v>
      </c>
      <c r="C333" s="31" t="s">
        <v>276</v>
      </c>
      <c r="D333" s="34">
        <v>0</v>
      </c>
      <c r="F333" s="29">
        <f>ROUND((F329+F331+F332),0)</f>
        <v>0</v>
      </c>
      <c r="G333" s="29"/>
      <c r="H333" s="29"/>
      <c r="I333" s="29"/>
      <c r="J333" s="30"/>
      <c r="K333" s="30"/>
      <c r="L333" s="29"/>
    </row>
    <row r="334" spans="1:12">
      <c r="A334" s="26">
        <v>52</v>
      </c>
      <c r="B334" s="9" t="s">
        <v>92</v>
      </c>
      <c r="C334" s="31" t="s">
        <v>275</v>
      </c>
      <c r="D334" s="34">
        <v>0</v>
      </c>
      <c r="F334" s="29">
        <f>ROUND(SUMIF(Определители!I30:I32,"=7",'Базовые цены с учетом расхода'!B30:B32),0)</f>
        <v>0</v>
      </c>
      <c r="G334" s="29">
        <f>ROUND(SUMIF(Определители!I30:I32,"=7",'Базовые цены с учетом расхода'!C30:C32),0)</f>
        <v>0</v>
      </c>
      <c r="H334" s="29">
        <f>ROUND(SUMIF(Определители!I30:I32,"=7",'Базовые цены с учетом расхода'!D30:D32),0)</f>
        <v>0</v>
      </c>
      <c r="I334" s="29">
        <f>ROUND(SUMIF(Определители!I30:I32,"=7",'Базовые цены с учетом расхода'!E30:E32),0)</f>
        <v>0</v>
      </c>
      <c r="J334" s="30">
        <f>ROUND(SUMIF(Определители!I30:I32,"=7",'Базовые цены с учетом расхода'!I30:I32),8)</f>
        <v>0</v>
      </c>
      <c r="K334" s="30">
        <f>ROUND(SUMIF(Определители!I30:I32,"=7",'Базовые цены с учетом расхода'!K30:K32),8)</f>
        <v>0</v>
      </c>
      <c r="L334" s="29">
        <f>ROUND(SUMIF(Определители!I30:I32,"=7",'Базовые цены с учетом расхода'!F30:F32),0)</f>
        <v>0</v>
      </c>
    </row>
    <row r="335" spans="1:12">
      <c r="A335" s="26">
        <v>53</v>
      </c>
      <c r="B335" s="9" t="s">
        <v>70</v>
      </c>
      <c r="C335" s="31" t="s">
        <v>275</v>
      </c>
      <c r="D335" s="34">
        <v>0</v>
      </c>
      <c r="F335" s="29"/>
      <c r="G335" s="29"/>
      <c r="H335" s="29"/>
      <c r="I335" s="29"/>
      <c r="J335" s="30"/>
      <c r="K335" s="30"/>
      <c r="L335" s="29"/>
    </row>
    <row r="336" spans="1:12">
      <c r="A336" s="26">
        <v>54</v>
      </c>
      <c r="B336" s="9" t="s">
        <v>79</v>
      </c>
      <c r="C336" s="31" t="s">
        <v>275</v>
      </c>
      <c r="D336" s="34">
        <v>0</v>
      </c>
      <c r="F336" s="29" t="e">
        <f ca="1">ROUND(СУММЕСЛИ2(Определители!I30:I32,"2",Определители!G30:G32,"1",'Базовые цены с учетом расхода'!B30:B32),0)</f>
        <v>#NAME?</v>
      </c>
      <c r="G336" s="29"/>
      <c r="H336" s="29"/>
      <c r="I336" s="29"/>
      <c r="J336" s="30"/>
      <c r="K336" s="30"/>
      <c r="L336" s="29"/>
    </row>
    <row r="337" spans="1:12">
      <c r="A337" s="26">
        <v>55</v>
      </c>
      <c r="B337" s="9" t="s">
        <v>74</v>
      </c>
      <c r="C337" s="31" t="s">
        <v>275</v>
      </c>
      <c r="D337" s="34">
        <v>0</v>
      </c>
      <c r="F337" s="29">
        <f>ROUND(SUMIF(Определители!I30:I32,"=7",'Базовые цены с учетом расхода'!H30:H32),0)</f>
        <v>0</v>
      </c>
      <c r="G337" s="29"/>
      <c r="H337" s="29"/>
      <c r="I337" s="29"/>
      <c r="J337" s="30"/>
      <c r="K337" s="30"/>
      <c r="L337" s="29"/>
    </row>
    <row r="338" spans="1:12">
      <c r="A338" s="26">
        <v>56</v>
      </c>
      <c r="B338" s="9" t="s">
        <v>75</v>
      </c>
      <c r="C338" s="31" t="s">
        <v>275</v>
      </c>
      <c r="D338" s="34">
        <v>0</v>
      </c>
      <c r="F338" s="29">
        <f>ROUND(SUMIF(Определители!I30:I32,"=7",'Базовые цены с учетом расхода'!N30:N32),0)</f>
        <v>0</v>
      </c>
      <c r="G338" s="29"/>
      <c r="H338" s="29"/>
      <c r="I338" s="29"/>
      <c r="J338" s="30"/>
      <c r="K338" s="30"/>
      <c r="L338" s="29"/>
    </row>
    <row r="339" spans="1:12">
      <c r="A339" s="26">
        <v>57</v>
      </c>
      <c r="B339" s="9" t="s">
        <v>76</v>
      </c>
      <c r="C339" s="31" t="s">
        <v>275</v>
      </c>
      <c r="D339" s="34">
        <v>0</v>
      </c>
      <c r="F339" s="29">
        <f>ROUND(SUMIF(Определители!I30:I32,"=7",'Базовые цены с учетом расхода'!O30:O32),0)</f>
        <v>0</v>
      </c>
      <c r="G339" s="29"/>
      <c r="H339" s="29"/>
      <c r="I339" s="29"/>
      <c r="J339" s="30"/>
      <c r="K339" s="30"/>
      <c r="L339" s="29"/>
    </row>
    <row r="340" spans="1:12">
      <c r="A340" s="26">
        <v>58</v>
      </c>
      <c r="B340" s="9" t="s">
        <v>93</v>
      </c>
      <c r="C340" s="31" t="s">
        <v>276</v>
      </c>
      <c r="D340" s="34">
        <v>0</v>
      </c>
      <c r="F340" s="29">
        <f>ROUND((F334+F338+F339),0)</f>
        <v>0</v>
      </c>
      <c r="G340" s="29"/>
      <c r="H340" s="29"/>
      <c r="I340" s="29"/>
      <c r="J340" s="30"/>
      <c r="K340" s="30"/>
      <c r="L340" s="29"/>
    </row>
    <row r="341" spans="1:12">
      <c r="A341" s="26">
        <v>59</v>
      </c>
      <c r="B341" s="9" t="s">
        <v>94</v>
      </c>
      <c r="C341" s="31" t="s">
        <v>275</v>
      </c>
      <c r="D341" s="34">
        <v>0</v>
      </c>
      <c r="F341" s="29">
        <f>ROUND(SUMIF(Определители!I30:I32,"=;",'Базовые цены с учетом расхода'!B30:B32),0)</f>
        <v>0</v>
      </c>
      <c r="G341" s="29">
        <f>ROUND(SUMIF(Определители!I30:I32,"=;",'Базовые цены с учетом расхода'!C30:C32),0)</f>
        <v>0</v>
      </c>
      <c r="H341" s="29">
        <f>ROUND(SUMIF(Определители!I30:I32,"=;",'Базовые цены с учетом расхода'!D30:D32),0)</f>
        <v>0</v>
      </c>
      <c r="I341" s="29">
        <f>ROUND(SUMIF(Определители!I30:I32,"=;",'Базовые цены с учетом расхода'!E30:E32),0)</f>
        <v>0</v>
      </c>
      <c r="J341" s="30">
        <f>ROUND(SUMIF(Определители!I30:I32,"=;",'Базовые цены с учетом расхода'!I30:I32),8)</f>
        <v>0</v>
      </c>
      <c r="K341" s="30">
        <f>ROUND(SUMIF(Определители!I30:I32,"=;",'Базовые цены с учетом расхода'!K30:K32),8)</f>
        <v>0</v>
      </c>
      <c r="L341" s="29">
        <f>ROUND(SUMIF(Определители!I30:I32,"=;",'Базовые цены с учетом расхода'!F30:F32),0)</f>
        <v>0</v>
      </c>
    </row>
    <row r="342" spans="1:12">
      <c r="A342" s="26">
        <v>60</v>
      </c>
      <c r="B342" s="9" t="s">
        <v>95</v>
      </c>
      <c r="C342" s="31" t="s">
        <v>275</v>
      </c>
      <c r="D342" s="34">
        <v>0</v>
      </c>
      <c r="F342" s="29">
        <f>ROUND(SUMIF(Определители!I30:I32,"=;",'Базовые цены с учетом расхода'!AF30:AF32),0)</f>
        <v>0</v>
      </c>
      <c r="G342" s="29"/>
      <c r="H342" s="29"/>
      <c r="I342" s="29"/>
      <c r="J342" s="30"/>
      <c r="K342" s="30"/>
      <c r="L342" s="29"/>
    </row>
    <row r="343" spans="1:12">
      <c r="A343" s="26">
        <v>61</v>
      </c>
      <c r="B343" s="9" t="s">
        <v>96</v>
      </c>
      <c r="C343" s="31" t="s">
        <v>275</v>
      </c>
      <c r="D343" s="34">
        <v>0</v>
      </c>
      <c r="F343" s="29">
        <f>ROUND(SUMIF(Определители!I30:I32,"=;",'Базовые цены с учетом расхода'!AG30:AG32),0)</f>
        <v>0</v>
      </c>
      <c r="G343" s="29"/>
      <c r="H343" s="29"/>
      <c r="I343" s="29"/>
      <c r="J343" s="30"/>
      <c r="K343" s="30"/>
      <c r="L343" s="29"/>
    </row>
    <row r="344" spans="1:12">
      <c r="A344" s="26">
        <v>62</v>
      </c>
      <c r="B344" s="9" t="s">
        <v>75</v>
      </c>
      <c r="C344" s="31" t="s">
        <v>275</v>
      </c>
      <c r="D344" s="34">
        <v>0</v>
      </c>
      <c r="F344" s="29">
        <f>ROUND(SUMIF(Определители!I30:I32,"=;",'Базовые цены с учетом расхода'!N30:N32),0)</f>
        <v>0</v>
      </c>
      <c r="G344" s="29"/>
      <c r="H344" s="29"/>
      <c r="I344" s="29"/>
      <c r="J344" s="30"/>
      <c r="K344" s="30"/>
      <c r="L344" s="29"/>
    </row>
    <row r="345" spans="1:12">
      <c r="A345" s="26">
        <v>63</v>
      </c>
      <c r="B345" s="9" t="s">
        <v>76</v>
      </c>
      <c r="C345" s="31" t="s">
        <v>275</v>
      </c>
      <c r="D345" s="34">
        <v>0</v>
      </c>
      <c r="F345" s="29">
        <f>ROUND(SUMIF(Определители!I30:I32,"=;",'Базовые цены с учетом расхода'!O30:O32),0)</f>
        <v>0</v>
      </c>
      <c r="G345" s="29"/>
      <c r="H345" s="29"/>
      <c r="I345" s="29"/>
      <c r="J345" s="30"/>
      <c r="K345" s="30"/>
      <c r="L345" s="29"/>
    </row>
    <row r="346" spans="1:12">
      <c r="A346" s="26">
        <v>64</v>
      </c>
      <c r="B346" s="9" t="s">
        <v>97</v>
      </c>
      <c r="C346" s="31" t="s">
        <v>276</v>
      </c>
      <c r="D346" s="34">
        <v>0</v>
      </c>
      <c r="F346" s="29">
        <f>ROUND((F341+F344+F345),0)</f>
        <v>0</v>
      </c>
      <c r="G346" s="29"/>
      <c r="H346" s="29"/>
      <c r="I346" s="29"/>
      <c r="J346" s="30"/>
      <c r="K346" s="30"/>
      <c r="L346" s="29"/>
    </row>
    <row r="347" spans="1:12">
      <c r="A347" s="26">
        <v>65</v>
      </c>
      <c r="B347" s="9" t="s">
        <v>98</v>
      </c>
      <c r="C347" s="31" t="s">
        <v>275</v>
      </c>
      <c r="D347" s="34">
        <v>0</v>
      </c>
      <c r="F347" s="29">
        <f>ROUND(SUMIF(Определители!I30:I32,"=9",'Базовые цены с учетом расхода'!B30:B32),0)</f>
        <v>0</v>
      </c>
      <c r="G347" s="29">
        <f>ROUND(SUMIF(Определители!I30:I32,"=9",'Базовые цены с учетом расхода'!C30:C32),0)</f>
        <v>0</v>
      </c>
      <c r="H347" s="29">
        <f>ROUND(SUMIF(Определители!I30:I32,"=9",'Базовые цены с учетом расхода'!D30:D32),0)</f>
        <v>0</v>
      </c>
      <c r="I347" s="29">
        <f>ROUND(SUMIF(Определители!I30:I32,"=9",'Базовые цены с учетом расхода'!E30:E32),0)</f>
        <v>0</v>
      </c>
      <c r="J347" s="30">
        <f>ROUND(SUMIF(Определители!I30:I32,"=9",'Базовые цены с учетом расхода'!I30:I32),8)</f>
        <v>0</v>
      </c>
      <c r="K347" s="30">
        <f>ROUND(SUMIF(Определители!I30:I32,"=9",'Базовые цены с учетом расхода'!K30:K32),8)</f>
        <v>0</v>
      </c>
      <c r="L347" s="29">
        <f>ROUND(SUMIF(Определители!I30:I32,"=9",'Базовые цены с учетом расхода'!F30:F32),0)</f>
        <v>0</v>
      </c>
    </row>
    <row r="348" spans="1:12">
      <c r="A348" s="26">
        <v>66</v>
      </c>
      <c r="B348" s="9" t="s">
        <v>75</v>
      </c>
      <c r="C348" s="31" t="s">
        <v>275</v>
      </c>
      <c r="D348" s="34">
        <v>0</v>
      </c>
      <c r="F348" s="29">
        <f>ROUND(SUMIF(Определители!I30:I32,"=9",'Базовые цены с учетом расхода'!N30:N32),0)</f>
        <v>0</v>
      </c>
      <c r="G348" s="29"/>
      <c r="H348" s="29"/>
      <c r="I348" s="29"/>
      <c r="J348" s="30"/>
      <c r="K348" s="30"/>
      <c r="L348" s="29"/>
    </row>
    <row r="349" spans="1:12">
      <c r="A349" s="26">
        <v>67</v>
      </c>
      <c r="B349" s="9" t="s">
        <v>76</v>
      </c>
      <c r="C349" s="31" t="s">
        <v>275</v>
      </c>
      <c r="D349" s="34">
        <v>0</v>
      </c>
      <c r="F349" s="29">
        <f>ROUND(SUMIF(Определители!I30:I32,"=9",'Базовые цены с учетом расхода'!O30:O32),0)</f>
        <v>0</v>
      </c>
      <c r="G349" s="29"/>
      <c r="H349" s="29"/>
      <c r="I349" s="29"/>
      <c r="J349" s="30"/>
      <c r="K349" s="30"/>
      <c r="L349" s="29"/>
    </row>
    <row r="350" spans="1:12">
      <c r="A350" s="26">
        <v>68</v>
      </c>
      <c r="B350" s="9" t="s">
        <v>99</v>
      </c>
      <c r="C350" s="31" t="s">
        <v>276</v>
      </c>
      <c r="D350" s="34">
        <v>0</v>
      </c>
      <c r="F350" s="29">
        <f>ROUND((F347+F348+F349),0)</f>
        <v>0</v>
      </c>
      <c r="G350" s="29"/>
      <c r="H350" s="29"/>
      <c r="I350" s="29"/>
      <c r="J350" s="30"/>
      <c r="K350" s="30"/>
      <c r="L350" s="29"/>
    </row>
    <row r="351" spans="1:12">
      <c r="A351" s="26">
        <v>69</v>
      </c>
      <c r="B351" s="9" t="s">
        <v>100</v>
      </c>
      <c r="C351" s="31" t="s">
        <v>275</v>
      </c>
      <c r="D351" s="34">
        <v>0</v>
      </c>
      <c r="F351" s="29">
        <f>ROUND(SUMIF(Определители!I30:I32,"=:",'Базовые цены с учетом расхода'!B30:B32),0)</f>
        <v>0</v>
      </c>
      <c r="G351" s="29">
        <f>ROUND(SUMIF(Определители!I30:I32,"=:",'Базовые цены с учетом расхода'!C30:C32),0)</f>
        <v>0</v>
      </c>
      <c r="H351" s="29">
        <f>ROUND(SUMIF(Определители!I30:I32,"=:",'Базовые цены с учетом расхода'!D30:D32),0)</f>
        <v>0</v>
      </c>
      <c r="I351" s="29">
        <f>ROUND(SUMIF(Определители!I30:I32,"=:",'Базовые цены с учетом расхода'!E30:E32),0)</f>
        <v>0</v>
      </c>
      <c r="J351" s="30">
        <f>ROUND(SUMIF(Определители!I30:I32,"=:",'Базовые цены с учетом расхода'!I30:I32),8)</f>
        <v>0</v>
      </c>
      <c r="K351" s="30">
        <f>ROUND(SUMIF(Определители!I30:I32,"=:",'Базовые цены с учетом расхода'!K30:K32),8)</f>
        <v>0</v>
      </c>
      <c r="L351" s="29">
        <f>ROUND(SUMIF(Определители!I30:I32,"=:",'Базовые цены с учетом расхода'!F30:F32),0)</f>
        <v>0</v>
      </c>
    </row>
    <row r="352" spans="1:12">
      <c r="A352" s="26">
        <v>70</v>
      </c>
      <c r="B352" s="9" t="s">
        <v>74</v>
      </c>
      <c r="C352" s="31" t="s">
        <v>275</v>
      </c>
      <c r="D352" s="34">
        <v>0</v>
      </c>
      <c r="F352" s="29">
        <f>ROUND(SUMIF(Определители!I30:I32,"=:",'Базовые цены с учетом расхода'!H30:H32),0)</f>
        <v>0</v>
      </c>
      <c r="G352" s="29"/>
      <c r="H352" s="29"/>
      <c r="I352" s="29"/>
      <c r="J352" s="30"/>
      <c r="K352" s="30"/>
      <c r="L352" s="29"/>
    </row>
    <row r="353" spans="1:12">
      <c r="A353" s="26">
        <v>71</v>
      </c>
      <c r="B353" s="9" t="s">
        <v>75</v>
      </c>
      <c r="C353" s="31" t="s">
        <v>275</v>
      </c>
      <c r="D353" s="34">
        <v>0</v>
      </c>
      <c r="F353" s="29">
        <f>ROUND(SUMIF(Определители!I30:I32,"=:",'Базовые цены с учетом расхода'!N30:N32),0)</f>
        <v>0</v>
      </c>
      <c r="G353" s="29"/>
      <c r="H353" s="29"/>
      <c r="I353" s="29"/>
      <c r="J353" s="30"/>
      <c r="K353" s="30"/>
      <c r="L353" s="29"/>
    </row>
    <row r="354" spans="1:12">
      <c r="A354" s="26">
        <v>72</v>
      </c>
      <c r="B354" s="9" t="s">
        <v>76</v>
      </c>
      <c r="C354" s="31" t="s">
        <v>275</v>
      </c>
      <c r="D354" s="34">
        <v>0</v>
      </c>
      <c r="F354" s="29">
        <f>ROUND(SUMIF(Определители!I30:I32,"=:",'Базовые цены с учетом расхода'!O30:O32),0)</f>
        <v>0</v>
      </c>
      <c r="G354" s="29"/>
      <c r="H354" s="29"/>
      <c r="I354" s="29"/>
      <c r="J354" s="30"/>
      <c r="K354" s="30"/>
      <c r="L354" s="29"/>
    </row>
    <row r="355" spans="1:12">
      <c r="A355" s="26">
        <v>73</v>
      </c>
      <c r="B355" s="9" t="s">
        <v>101</v>
      </c>
      <c r="C355" s="31" t="s">
        <v>276</v>
      </c>
      <c r="D355" s="34">
        <v>0</v>
      </c>
      <c r="F355" s="29">
        <f>ROUND((F351+F353+F354),0)</f>
        <v>0</v>
      </c>
      <c r="G355" s="29"/>
      <c r="H355" s="29"/>
      <c r="I355" s="29"/>
      <c r="J355" s="30"/>
      <c r="K355" s="30"/>
      <c r="L355" s="29"/>
    </row>
    <row r="356" spans="1:12">
      <c r="A356" s="26">
        <v>74</v>
      </c>
      <c r="B356" s="9" t="s">
        <v>102</v>
      </c>
      <c r="C356" s="31" t="s">
        <v>275</v>
      </c>
      <c r="D356" s="34">
        <v>0</v>
      </c>
      <c r="F356" s="29">
        <f>ROUND(SUMIF(Определители!I30:I32,"=8",'Базовые цены с учетом расхода'!B30:B32),0)</f>
        <v>0</v>
      </c>
      <c r="G356" s="29">
        <f>ROUND(SUMIF(Определители!I30:I32,"=8",'Базовые цены с учетом расхода'!C30:C32),0)</f>
        <v>0</v>
      </c>
      <c r="H356" s="29">
        <f>ROUND(SUMIF(Определители!I30:I32,"=8",'Базовые цены с учетом расхода'!D30:D32),0)</f>
        <v>0</v>
      </c>
      <c r="I356" s="29">
        <f>ROUND(SUMIF(Определители!I30:I32,"=8",'Базовые цены с учетом расхода'!E30:E32),0)</f>
        <v>0</v>
      </c>
      <c r="J356" s="30">
        <f>ROUND(SUMIF(Определители!I30:I32,"=8",'Базовые цены с учетом расхода'!I30:I32),8)</f>
        <v>0</v>
      </c>
      <c r="K356" s="30">
        <f>ROUND(SUMIF(Определители!I30:I32,"=8",'Базовые цены с учетом расхода'!K30:K32),8)</f>
        <v>0</v>
      </c>
      <c r="L356" s="29">
        <f>ROUND(SUMIF(Определители!I30:I32,"=8",'Базовые цены с учетом расхода'!F30:F32),0)</f>
        <v>0</v>
      </c>
    </row>
    <row r="357" spans="1:12">
      <c r="A357" s="26">
        <v>75</v>
      </c>
      <c r="B357" s="9" t="s">
        <v>74</v>
      </c>
      <c r="C357" s="31" t="s">
        <v>275</v>
      </c>
      <c r="D357" s="34">
        <v>0</v>
      </c>
      <c r="F357" s="29">
        <f>ROUND(SUMIF(Определители!I30:I32,"=8",'Базовые цены с учетом расхода'!H30:H32),0)</f>
        <v>0</v>
      </c>
      <c r="G357" s="29"/>
      <c r="H357" s="29"/>
      <c r="I357" s="29"/>
      <c r="J357" s="30"/>
      <c r="K357" s="30"/>
      <c r="L357" s="29"/>
    </row>
    <row r="358" spans="1:12">
      <c r="A358" s="26">
        <v>76</v>
      </c>
      <c r="B358" s="9" t="s">
        <v>158</v>
      </c>
      <c r="C358" s="31" t="s">
        <v>276</v>
      </c>
      <c r="D358" s="34">
        <v>0</v>
      </c>
      <c r="F358" s="29" t="e">
        <f ca="1">ROUND((F293+F303+F310+F315+F323+F328+F333+F340+F350+F355+F356+F346),0)</f>
        <v>#NAME?</v>
      </c>
      <c r="G358" s="29">
        <f>ROUND((G293+G303+G310+G315+G323+G328+G333+G340+G350+G355+G356+G346),0)</f>
        <v>0</v>
      </c>
      <c r="H358" s="29">
        <f>ROUND((H293+H303+H310+H315+H323+H328+H333+H340+H350+H355+H356+H346),0)</f>
        <v>0</v>
      </c>
      <c r="I358" s="29">
        <f>ROUND((I293+I303+I310+I315+I323+I328+I333+I340+I350+I355+I356+I346),0)</f>
        <v>0</v>
      </c>
      <c r="J358" s="30">
        <f>ROUND((J293+J303+J310+J315+J323+J328+J333+J340+J350+J355+J356+J346),8)</f>
        <v>0</v>
      </c>
      <c r="K358" s="30">
        <f>ROUND((K293+K303+K310+K315+K323+K328+K333+K340+K350+K355+K356+K346),8)</f>
        <v>0</v>
      </c>
      <c r="L358" s="29">
        <f>ROUND((L293+L303+L310+L315+L323+L328+L333+L340+L350+L355+L356+L346),0)</f>
        <v>0</v>
      </c>
    </row>
    <row r="359" spans="1:12">
      <c r="A359" s="26">
        <v>77</v>
      </c>
      <c r="B359" s="9" t="s">
        <v>104</v>
      </c>
      <c r="C359" s="31" t="s">
        <v>276</v>
      </c>
      <c r="D359" s="34">
        <v>0</v>
      </c>
      <c r="F359" s="29">
        <f>ROUND((F299+F307+F312+F319+F325+F330+F337+F352+F357),0)</f>
        <v>0</v>
      </c>
      <c r="G359" s="29"/>
      <c r="H359" s="29"/>
      <c r="I359" s="29"/>
      <c r="J359" s="30"/>
      <c r="K359" s="30"/>
      <c r="L359" s="29"/>
    </row>
    <row r="360" spans="1:12">
      <c r="A360" s="26">
        <v>78</v>
      </c>
      <c r="B360" s="9" t="s">
        <v>105</v>
      </c>
      <c r="C360" s="31" t="s">
        <v>276</v>
      </c>
      <c r="D360" s="34">
        <v>0</v>
      </c>
      <c r="F360" s="29">
        <f>ROUND((F300+F308+F313+F320+F326+F331+F338+F348+F353+F344),0)</f>
        <v>196</v>
      </c>
      <c r="G360" s="29"/>
      <c r="H360" s="29"/>
      <c r="I360" s="29"/>
      <c r="J360" s="30"/>
      <c r="K360" s="30"/>
      <c r="L360" s="29"/>
    </row>
    <row r="361" spans="1:12">
      <c r="A361" s="26">
        <v>79</v>
      </c>
      <c r="B361" s="9" t="s">
        <v>106</v>
      </c>
      <c r="C361" s="31" t="s">
        <v>276</v>
      </c>
      <c r="D361" s="34">
        <v>0</v>
      </c>
      <c r="F361" s="29">
        <f>ROUND((F301+F309+F314+F321+F327+F332+F339+F349+F354+F345),0)</f>
        <v>144</v>
      </c>
      <c r="G361" s="29"/>
      <c r="H361" s="29"/>
      <c r="I361" s="29"/>
      <c r="J361" s="30"/>
      <c r="K361" s="30"/>
      <c r="L361" s="29"/>
    </row>
    <row r="362" spans="1:12">
      <c r="A362" s="26">
        <v>80</v>
      </c>
      <c r="B362" s="9" t="s">
        <v>33</v>
      </c>
      <c r="C362" s="31" t="s">
        <v>277</v>
      </c>
      <c r="D362" s="34">
        <v>0</v>
      </c>
      <c r="F362" s="29">
        <f>ROUND(SUM('Базовые цены с учетом расхода'!X30:X32),0)</f>
        <v>0</v>
      </c>
      <c r="G362" s="29"/>
      <c r="H362" s="29"/>
      <c r="I362" s="29"/>
      <c r="J362" s="30"/>
      <c r="K362" s="30"/>
      <c r="L362" s="29">
        <f>ROUND(SUM('Базовые цены с учетом расхода'!X30:X32),0)</f>
        <v>0</v>
      </c>
    </row>
    <row r="363" spans="1:12">
      <c r="A363" s="26">
        <v>81</v>
      </c>
      <c r="B363" s="9" t="s">
        <v>107</v>
      </c>
      <c r="C363" s="31" t="s">
        <v>277</v>
      </c>
      <c r="D363" s="34">
        <v>0</v>
      </c>
      <c r="F363" s="29">
        <f>ROUND(SUM(G363:N363),0)</f>
        <v>0</v>
      </c>
      <c r="G363" s="29"/>
      <c r="H363" s="29"/>
      <c r="I363" s="29"/>
      <c r="J363" s="30"/>
      <c r="K363" s="30"/>
      <c r="L363" s="29">
        <f>ROUND(SUM('Базовые цены с учетом расхода'!AE30:AE32),0)</f>
        <v>0</v>
      </c>
    </row>
    <row r="364" spans="1:12">
      <c r="A364" s="26">
        <v>82</v>
      </c>
      <c r="B364" s="9" t="s">
        <v>108</v>
      </c>
      <c r="C364" s="31" t="s">
        <v>277</v>
      </c>
      <c r="D364" s="34">
        <v>0</v>
      </c>
      <c r="F364" s="29">
        <f>ROUND(SUM('Базовые цены с учетом расхода'!C30:C32),0)</f>
        <v>228</v>
      </c>
      <c r="G364" s="29"/>
      <c r="H364" s="29"/>
      <c r="I364" s="29"/>
      <c r="J364" s="30"/>
      <c r="K364" s="30"/>
      <c r="L364" s="29"/>
    </row>
    <row r="365" spans="1:12">
      <c r="A365" s="26">
        <v>83</v>
      </c>
      <c r="B365" s="9" t="s">
        <v>109</v>
      </c>
      <c r="C365" s="31" t="s">
        <v>277</v>
      </c>
      <c r="D365" s="34">
        <v>0</v>
      </c>
      <c r="F365" s="29">
        <f>ROUND(SUM('Базовые цены с учетом расхода'!E30:E32),0)</f>
        <v>4</v>
      </c>
      <c r="G365" s="29"/>
      <c r="H365" s="29"/>
      <c r="I365" s="29"/>
      <c r="J365" s="30"/>
      <c r="K365" s="30"/>
      <c r="L365" s="29"/>
    </row>
    <row r="366" spans="1:12">
      <c r="A366" s="26">
        <v>84</v>
      </c>
      <c r="B366" s="9" t="s">
        <v>110</v>
      </c>
      <c r="C366" s="31" t="s">
        <v>278</v>
      </c>
      <c r="D366" s="34">
        <v>0</v>
      </c>
      <c r="F366" s="29">
        <f>ROUND((F364+F365),0)</f>
        <v>232</v>
      </c>
      <c r="G366" s="29"/>
      <c r="H366" s="29"/>
      <c r="I366" s="29"/>
      <c r="J366" s="30"/>
      <c r="K366" s="30"/>
      <c r="L366" s="29"/>
    </row>
    <row r="367" spans="1:12">
      <c r="A367" s="26">
        <v>85</v>
      </c>
      <c r="B367" s="9" t="s">
        <v>111</v>
      </c>
      <c r="C367" s="31" t="s">
        <v>277</v>
      </c>
      <c r="D367" s="34">
        <v>0</v>
      </c>
      <c r="F367" s="29"/>
      <c r="G367" s="29"/>
      <c r="H367" s="29"/>
      <c r="I367" s="29"/>
      <c r="J367" s="30" t="e">
        <f ca="1">ROUND(SUM('Базовые цены с учетом расхода'!I30:I32),8)</f>
        <v>#NAME?</v>
      </c>
      <c r="K367" s="30"/>
      <c r="L367" s="29"/>
    </row>
    <row r="368" spans="1:12">
      <c r="A368" s="26">
        <v>86</v>
      </c>
      <c r="B368" s="9" t="s">
        <v>112</v>
      </c>
      <c r="C368" s="31" t="s">
        <v>277</v>
      </c>
      <c r="D368" s="34">
        <v>0</v>
      </c>
      <c r="F368" s="29"/>
      <c r="G368" s="29"/>
      <c r="H368" s="29"/>
      <c r="I368" s="29"/>
      <c r="J368" s="30" t="e">
        <f ca="1">ROUND(SUM('Базовые цены с учетом расхода'!K30:K32),8)</f>
        <v>#NAME?</v>
      </c>
      <c r="K368" s="30"/>
      <c r="L368" s="29"/>
    </row>
    <row r="369" spans="1:14">
      <c r="A369" s="26">
        <v>87</v>
      </c>
      <c r="B369" s="9" t="s">
        <v>113</v>
      </c>
      <c r="C369" s="31" t="s">
        <v>278</v>
      </c>
      <c r="D369" s="34">
        <v>0</v>
      </c>
      <c r="F369" s="29"/>
      <c r="G369" s="29"/>
      <c r="H369" s="29"/>
      <c r="I369" s="29"/>
      <c r="J369" s="30" t="e">
        <f ca="1">ROUND((J367+J368),8)</f>
        <v>#NAME?</v>
      </c>
      <c r="K369" s="30"/>
      <c r="L369" s="29"/>
    </row>
    <row r="370" spans="1:14" s="27" customFormat="1">
      <c r="A370" s="7"/>
      <c r="B370" s="27" t="s">
        <v>262</v>
      </c>
      <c r="C370" s="27" t="s">
        <v>263</v>
      </c>
      <c r="D370" s="35" t="s">
        <v>264</v>
      </c>
      <c r="E370" s="27" t="s">
        <v>265</v>
      </c>
      <c r="F370" s="27" t="s">
        <v>266</v>
      </c>
      <c r="G370" s="27" t="s">
        <v>267</v>
      </c>
      <c r="H370" s="27" t="s">
        <v>268</v>
      </c>
      <c r="I370" s="27" t="s">
        <v>269</v>
      </c>
      <c r="J370" s="27" t="s">
        <v>270</v>
      </c>
      <c r="K370" s="27" t="s">
        <v>271</v>
      </c>
      <c r="L370" s="27" t="s">
        <v>272</v>
      </c>
      <c r="M370" s="27" t="s">
        <v>273</v>
      </c>
    </row>
    <row r="371" spans="1:14">
      <c r="A371" s="26">
        <v>1</v>
      </c>
      <c r="B371" s="9" t="s">
        <v>153</v>
      </c>
      <c r="C371" s="31" t="s">
        <v>274</v>
      </c>
      <c r="D371" s="34">
        <v>0</v>
      </c>
      <c r="E371" s="34"/>
      <c r="F371" s="29">
        <f>ROUND(SUM('Базовые цены с учетом расхода'!B6:B32),0)</f>
        <v>20303</v>
      </c>
      <c r="G371" s="29">
        <f>ROUND(SUM('Базовые цены с учетом расхода'!C6:C32),0)</f>
        <v>1476</v>
      </c>
      <c r="H371" s="29">
        <f>ROUND(SUM('Базовые цены с учетом расхода'!D6:D32),0)</f>
        <v>789</v>
      </c>
      <c r="I371" s="29">
        <f>ROUND(SUM('Базовые цены с учетом расхода'!E6:E32),0)</f>
        <v>61</v>
      </c>
      <c r="J371" s="30" t="e">
        <f ca="1">ROUND(SUM('Базовые цены с учетом расхода'!I6:I32),8)</f>
        <v>#NAME?</v>
      </c>
      <c r="K371" s="30" t="e">
        <f ca="1">ROUND(SUM('Базовые цены с учетом расхода'!K6:K32),8)</f>
        <v>#NAME?</v>
      </c>
      <c r="L371" s="29">
        <f>ROUND(SUM('Базовые цены с учетом расхода'!F6:F32),0)</f>
        <v>18038</v>
      </c>
      <c r="N371" s="31" t="s">
        <v>257</v>
      </c>
    </row>
    <row r="372" spans="1:14">
      <c r="A372" s="26">
        <v>2</v>
      </c>
      <c r="B372" s="9" t="s">
        <v>59</v>
      </c>
      <c r="C372" s="31" t="s">
        <v>275</v>
      </c>
      <c r="D372" s="34">
        <v>0</v>
      </c>
      <c r="F372" s="29">
        <f>ROUND(SUMIF(Определители!I6:I32,"= ",'Базовые цены с учетом расхода'!B6:B32),0)</f>
        <v>0</v>
      </c>
      <c r="G372" s="29">
        <f>ROUND(SUMIF(Определители!I6:I32,"= ",'Базовые цены с учетом расхода'!C6:C32),0)</f>
        <v>0</v>
      </c>
      <c r="H372" s="29">
        <f>ROUND(SUMIF(Определители!I6:I32,"= ",'Базовые цены с учетом расхода'!D6:D32),0)</f>
        <v>0</v>
      </c>
      <c r="I372" s="29">
        <f>ROUND(SUMIF(Определители!I6:I32,"= ",'Базовые цены с учетом расхода'!E6:E32),0)</f>
        <v>0</v>
      </c>
      <c r="J372" s="30">
        <f>ROUND(SUMIF(Определители!I6:I32,"= ",'Базовые цены с учетом расхода'!I6:I32),8)</f>
        <v>0</v>
      </c>
      <c r="K372" s="30">
        <f>ROUND(SUMIF(Определители!I6:I32,"= ",'Базовые цены с учетом расхода'!K6:K32),8)</f>
        <v>0</v>
      </c>
      <c r="L372" s="29">
        <f>ROUND(SUMIF(Определители!I6:I32,"= ",'Базовые цены с учетом расхода'!F6:F32),0)</f>
        <v>0</v>
      </c>
      <c r="N372" s="31" t="s">
        <v>260</v>
      </c>
    </row>
    <row r="373" spans="1:14">
      <c r="A373" s="26">
        <v>3</v>
      </c>
      <c r="B373" s="9" t="s">
        <v>60</v>
      </c>
      <c r="C373" s="31" t="s">
        <v>275</v>
      </c>
      <c r="D373" s="34">
        <v>0</v>
      </c>
      <c r="F373" s="29" t="e">
        <f ca="1">ROUND(СУММПРОИЗВЕСЛИ(0.01,Определители!I6:I32," ",'Базовые цены с учетом расхода'!B6:B32,Начисления!X6:X32,0),0)</f>
        <v>#NAME?</v>
      </c>
      <c r="G373" s="29"/>
      <c r="H373" s="29"/>
      <c r="I373" s="29"/>
      <c r="J373" s="30"/>
      <c r="K373" s="30"/>
      <c r="L373" s="29"/>
      <c r="N373" s="31" t="s">
        <v>261</v>
      </c>
    </row>
    <row r="374" spans="1:14">
      <c r="A374" s="26">
        <v>4</v>
      </c>
      <c r="B374" s="9" t="s">
        <v>61</v>
      </c>
      <c r="C374" s="31" t="s">
        <v>275</v>
      </c>
      <c r="D374" s="34">
        <v>0</v>
      </c>
      <c r="F374" s="29" t="e">
        <f ca="1">ROUND(СУММПРОИЗВЕСЛИ(0.01,Определители!I6:I32," ",'Базовые цены с учетом расхода'!B6:B32,Начисления!Y6:Y32,0),0)</f>
        <v>#NAME?</v>
      </c>
      <c r="G374" s="29"/>
      <c r="H374" s="29"/>
      <c r="I374" s="29"/>
      <c r="J374" s="30"/>
      <c r="K374" s="30"/>
      <c r="L374" s="29"/>
      <c r="N374" s="31" t="s">
        <v>279</v>
      </c>
    </row>
    <row r="375" spans="1:14">
      <c r="A375" s="26">
        <v>5</v>
      </c>
      <c r="B375" s="9" t="s">
        <v>62</v>
      </c>
      <c r="C375" s="31" t="s">
        <v>275</v>
      </c>
      <c r="D375" s="34">
        <v>0</v>
      </c>
      <c r="F375" s="29" t="e">
        <f ca="1">ROUND(ТРАНСПРАСХОД(Определители!B6:B32,Определители!H6:H32,Определители!I6:I32,'Базовые цены с учетом расхода'!B6:B32,Начисления!Z6:Z32,Начисления!AA6:AA32),0)</f>
        <v>#NAME?</v>
      </c>
      <c r="G375" s="29"/>
      <c r="H375" s="29"/>
      <c r="I375" s="29"/>
      <c r="J375" s="30"/>
      <c r="K375" s="30"/>
      <c r="L375" s="29"/>
      <c r="N375" s="31" t="s">
        <v>280</v>
      </c>
    </row>
    <row r="376" spans="1:14">
      <c r="A376" s="26">
        <v>6</v>
      </c>
      <c r="B376" s="9" t="s">
        <v>63</v>
      </c>
      <c r="C376" s="31" t="s">
        <v>275</v>
      </c>
      <c r="D376" s="34">
        <v>0</v>
      </c>
      <c r="F376" s="29" t="e">
        <f ca="1">ROUND(СУММПРОИЗВЕСЛИ(0.01,Определители!I6:I32," ",'Базовые цены с учетом расхода'!B6:B32,Начисления!AC6:AC32,0),0)</f>
        <v>#NAME?</v>
      </c>
      <c r="G376" s="29"/>
      <c r="H376" s="29"/>
      <c r="I376" s="29"/>
      <c r="J376" s="30"/>
      <c r="K376" s="30"/>
      <c r="L376" s="29"/>
      <c r="N376" s="31" t="s">
        <v>281</v>
      </c>
    </row>
    <row r="377" spans="1:14">
      <c r="A377" s="26">
        <v>7</v>
      </c>
      <c r="B377" s="9" t="s">
        <v>64</v>
      </c>
      <c r="C377" s="31" t="s">
        <v>275</v>
      </c>
      <c r="D377" s="34">
        <v>0</v>
      </c>
      <c r="F377" s="29" t="e">
        <f ca="1">ROUND(СУММПРОИЗВЕСЛИ(0.01,Определители!I6:I32," ",'Базовые цены с учетом расхода'!B6:B32,Начисления!AF6:AF32,0),0)</f>
        <v>#NAME?</v>
      </c>
      <c r="G377" s="29"/>
      <c r="H377" s="29"/>
      <c r="I377" s="29"/>
      <c r="J377" s="30"/>
      <c r="K377" s="30"/>
      <c r="L377" s="29"/>
      <c r="N377" s="31" t="s">
        <v>282</v>
      </c>
    </row>
    <row r="378" spans="1:14">
      <c r="A378" s="26">
        <v>8</v>
      </c>
      <c r="B378" s="9" t="s">
        <v>65</v>
      </c>
      <c r="C378" s="31" t="s">
        <v>275</v>
      </c>
      <c r="D378" s="34">
        <v>0</v>
      </c>
      <c r="F378" s="29" t="e">
        <f ca="1">ROUND(ЗАГОТСКЛАДРАСХОД(Определители!B6:B32,Определители!H6:H32,Определители!I6:I32,'Базовые цены с учетом расхода'!B6:B32,Начисления!X6:X32,Начисления!Y6:Y32,Начисления!Z6:Z32,Начисления!AA6:AA32,Начисления!AB6:AB32,Начисления!AC6:AC32,Начисления!AF6:AF32),0)</f>
        <v>#NAME?</v>
      </c>
      <c r="G378" s="29"/>
      <c r="H378" s="29"/>
      <c r="I378" s="29"/>
      <c r="J378" s="30"/>
      <c r="K378" s="30"/>
      <c r="L378" s="29"/>
      <c r="N378" s="31" t="s">
        <v>283</v>
      </c>
    </row>
    <row r="379" spans="1:14">
      <c r="A379" s="26">
        <v>9</v>
      </c>
      <c r="B379" s="9" t="s">
        <v>66</v>
      </c>
      <c r="C379" s="31" t="s">
        <v>275</v>
      </c>
      <c r="D379" s="34">
        <v>0</v>
      </c>
      <c r="F379" s="29" t="e">
        <f ca="1">ROUND(СУММПРОИЗВЕСЛИ(1,Определители!I6:I32," ",'Базовые цены с учетом расхода'!M6:M32,Начисления!I6:I32,0),0)</f>
        <v>#NAME?</v>
      </c>
      <c r="G379" s="29"/>
      <c r="H379" s="29"/>
      <c r="I379" s="29"/>
      <c r="J379" s="30"/>
      <c r="K379" s="30"/>
      <c r="L379" s="29"/>
      <c r="N379" s="31" t="s">
        <v>284</v>
      </c>
    </row>
    <row r="380" spans="1:14">
      <c r="A380" s="26">
        <v>10</v>
      </c>
      <c r="B380" s="9" t="s">
        <v>67</v>
      </c>
      <c r="C380" s="31" t="s">
        <v>276</v>
      </c>
      <c r="D380" s="34">
        <v>0</v>
      </c>
      <c r="F380" s="29" t="e">
        <f ca="1">ROUND((F379+F390+F410),0)</f>
        <v>#NAME?</v>
      </c>
      <c r="G380" s="29"/>
      <c r="H380" s="29"/>
      <c r="I380" s="29"/>
      <c r="J380" s="30"/>
      <c r="K380" s="30"/>
      <c r="L380" s="29"/>
      <c r="N380" s="31" t="s">
        <v>285</v>
      </c>
    </row>
    <row r="381" spans="1:14">
      <c r="A381" s="26">
        <v>11</v>
      </c>
      <c r="B381" s="9" t="s">
        <v>68</v>
      </c>
      <c r="C381" s="31" t="s">
        <v>276</v>
      </c>
      <c r="D381" s="34">
        <v>0</v>
      </c>
      <c r="F381" s="29" t="e">
        <f ca="1">ROUND((F372+F373+F374+F375+F376+F377+F378+F380),0)</f>
        <v>#NAME?</v>
      </c>
      <c r="G381" s="29"/>
      <c r="H381" s="29"/>
      <c r="I381" s="29"/>
      <c r="J381" s="30"/>
      <c r="K381" s="30"/>
      <c r="L381" s="29"/>
      <c r="N381" s="31" t="s">
        <v>286</v>
      </c>
    </row>
    <row r="382" spans="1:14">
      <c r="A382" s="26">
        <v>12</v>
      </c>
      <c r="B382" s="9" t="s">
        <v>69</v>
      </c>
      <c r="C382" s="31" t="s">
        <v>275</v>
      </c>
      <c r="D382" s="34">
        <v>0</v>
      </c>
      <c r="F382" s="29">
        <f>ROUND(SUMIF(Определители!I6:I32,"=1",'Базовые цены с учетом расхода'!B6:B32),0)</f>
        <v>0</v>
      </c>
      <c r="G382" s="29">
        <f>ROUND(SUMIF(Определители!I6:I32,"=1",'Базовые цены с учетом расхода'!C6:C32),0)</f>
        <v>0</v>
      </c>
      <c r="H382" s="29">
        <f>ROUND(SUMIF(Определители!I6:I32,"=1",'Базовые цены с учетом расхода'!D6:D32),0)</f>
        <v>0</v>
      </c>
      <c r="I382" s="29">
        <f>ROUND(SUMIF(Определители!I6:I32,"=1",'Базовые цены с учетом расхода'!E6:E32),0)</f>
        <v>0</v>
      </c>
      <c r="J382" s="30">
        <f>ROUND(SUMIF(Определители!I6:I32,"=1",'Базовые цены с учетом расхода'!I6:I32),8)</f>
        <v>0</v>
      </c>
      <c r="K382" s="30">
        <f>ROUND(SUMIF(Определители!I6:I32,"=1",'Базовые цены с учетом расхода'!K6:K32),8)</f>
        <v>0</v>
      </c>
      <c r="L382" s="29">
        <f>ROUND(SUMIF(Определители!I6:I32,"=1",'Базовые цены с учетом расхода'!F6:F32),0)</f>
        <v>0</v>
      </c>
      <c r="N382" s="31" t="s">
        <v>287</v>
      </c>
    </row>
    <row r="383" spans="1:14">
      <c r="A383" s="26">
        <v>13</v>
      </c>
      <c r="B383" s="9" t="s">
        <v>70</v>
      </c>
      <c r="C383" s="31" t="s">
        <v>275</v>
      </c>
      <c r="D383" s="34">
        <v>0</v>
      </c>
      <c r="F383" s="29"/>
      <c r="G383" s="29"/>
      <c r="H383" s="29"/>
      <c r="I383" s="29"/>
      <c r="J383" s="30"/>
      <c r="K383" s="30"/>
      <c r="L383" s="29"/>
      <c r="N383" s="31" t="s">
        <v>288</v>
      </c>
    </row>
    <row r="384" spans="1:14">
      <c r="A384" s="26">
        <v>14</v>
      </c>
      <c r="B384" s="9" t="s">
        <v>71</v>
      </c>
      <c r="C384" s="31" t="s">
        <v>275</v>
      </c>
      <c r="D384" s="34">
        <v>0</v>
      </c>
      <c r="F384" s="29"/>
      <c r="G384" s="29">
        <f>ROUND(SUMIF(Определители!I6:I32,"=1",'Базовые цены с учетом расхода'!T6:T32),0)</f>
        <v>0</v>
      </c>
      <c r="H384" s="29"/>
      <c r="I384" s="29"/>
      <c r="J384" s="30"/>
      <c r="K384" s="30"/>
      <c r="L384" s="29"/>
      <c r="N384" s="31" t="s">
        <v>289</v>
      </c>
    </row>
    <row r="385" spans="1:14">
      <c r="A385" s="26">
        <v>15</v>
      </c>
      <c r="B385" s="9" t="s">
        <v>72</v>
      </c>
      <c r="C385" s="31" t="s">
        <v>275</v>
      </c>
      <c r="D385" s="34">
        <v>0</v>
      </c>
      <c r="F385" s="29">
        <f>ROUND(SUMIF(Определители!I6:I32,"=1",'Базовые цены с учетом расхода'!U6:U32),0)</f>
        <v>0</v>
      </c>
      <c r="G385" s="29"/>
      <c r="H385" s="29"/>
      <c r="I385" s="29"/>
      <c r="J385" s="30"/>
      <c r="K385" s="30"/>
      <c r="L385" s="29"/>
      <c r="N385" s="31" t="s">
        <v>290</v>
      </c>
    </row>
    <row r="386" spans="1:14">
      <c r="A386" s="26">
        <v>16</v>
      </c>
      <c r="B386" s="9" t="s">
        <v>73</v>
      </c>
      <c r="C386" s="31" t="s">
        <v>275</v>
      </c>
      <c r="D386" s="34">
        <v>0</v>
      </c>
      <c r="F386" s="29" t="e">
        <f ca="1">ROUND(СУММЕСЛИ2(Определители!I6:I32,"1",Определители!G6:G32,"1",'Базовые цены с учетом расхода'!B6:B32),0)</f>
        <v>#NAME?</v>
      </c>
      <c r="G386" s="29"/>
      <c r="H386" s="29"/>
      <c r="I386" s="29"/>
      <c r="J386" s="30"/>
      <c r="K386" s="30"/>
      <c r="L386" s="29"/>
      <c r="N386" s="31" t="s">
        <v>291</v>
      </c>
    </row>
    <row r="387" spans="1:14">
      <c r="A387" s="26">
        <v>17</v>
      </c>
      <c r="B387" s="9" t="s">
        <v>74</v>
      </c>
      <c r="C387" s="31" t="s">
        <v>275</v>
      </c>
      <c r="D387" s="34">
        <v>0</v>
      </c>
      <c r="F387" s="29">
        <f>ROUND(SUMIF(Определители!I6:I32,"=1",'Базовые цены с учетом расхода'!H6:H32),0)</f>
        <v>0</v>
      </c>
      <c r="G387" s="29"/>
      <c r="H387" s="29"/>
      <c r="I387" s="29"/>
      <c r="J387" s="30"/>
      <c r="K387" s="30"/>
      <c r="L387" s="29"/>
      <c r="N387" s="31" t="s">
        <v>292</v>
      </c>
    </row>
    <row r="388" spans="1:14">
      <c r="A388" s="26">
        <v>18</v>
      </c>
      <c r="B388" s="9" t="s">
        <v>75</v>
      </c>
      <c r="C388" s="31" t="s">
        <v>275</v>
      </c>
      <c r="D388" s="34">
        <v>0</v>
      </c>
      <c r="F388" s="29">
        <f>ROUND(SUMIF(Определители!I6:I32,"=1",'Базовые цены с учетом расхода'!N6:N32),0)</f>
        <v>0</v>
      </c>
      <c r="G388" s="29"/>
      <c r="H388" s="29"/>
      <c r="I388" s="29"/>
      <c r="J388" s="30"/>
      <c r="K388" s="30"/>
      <c r="L388" s="29"/>
      <c r="N388" s="31" t="s">
        <v>293</v>
      </c>
    </row>
    <row r="389" spans="1:14">
      <c r="A389" s="26">
        <v>19</v>
      </c>
      <c r="B389" s="9" t="s">
        <v>76</v>
      </c>
      <c r="C389" s="31" t="s">
        <v>275</v>
      </c>
      <c r="D389" s="34">
        <v>0</v>
      </c>
      <c r="F389" s="29">
        <f>ROUND(SUMIF(Определители!I6:I32,"=1",'Базовые цены с учетом расхода'!O6:O32),0)</f>
        <v>0</v>
      </c>
      <c r="G389" s="29"/>
      <c r="H389" s="29"/>
      <c r="I389" s="29"/>
      <c r="J389" s="30"/>
      <c r="K389" s="30"/>
      <c r="L389" s="29"/>
      <c r="N389" s="31" t="s">
        <v>294</v>
      </c>
    </row>
    <row r="390" spans="1:14">
      <c r="A390" s="26">
        <v>20</v>
      </c>
      <c r="B390" s="9" t="s">
        <v>67</v>
      </c>
      <c r="C390" s="31" t="s">
        <v>275</v>
      </c>
      <c r="D390" s="34">
        <v>0</v>
      </c>
      <c r="F390" s="29" t="e">
        <f ca="1">ROUND(СУММПРОИЗВЕСЛИ(1,Определители!I6:I32," ",'Базовые цены с учетом расхода'!M6:M32,Начисления!I6:I32,0),0)</f>
        <v>#NAME?</v>
      </c>
      <c r="G390" s="29"/>
      <c r="H390" s="29"/>
      <c r="I390" s="29"/>
      <c r="J390" s="30"/>
      <c r="K390" s="30"/>
      <c r="L390" s="29"/>
      <c r="N390" s="31" t="s">
        <v>295</v>
      </c>
    </row>
    <row r="391" spans="1:14">
      <c r="A391" s="26">
        <v>21</v>
      </c>
      <c r="B391" s="9" t="s">
        <v>77</v>
      </c>
      <c r="C391" s="31" t="s">
        <v>276</v>
      </c>
      <c r="D391" s="34">
        <v>0</v>
      </c>
      <c r="F391" s="29">
        <f>ROUND((F382+F388+F389),0)</f>
        <v>0</v>
      </c>
      <c r="G391" s="29"/>
      <c r="H391" s="29"/>
      <c r="I391" s="29"/>
      <c r="J391" s="30"/>
      <c r="K391" s="30"/>
      <c r="L391" s="29"/>
      <c r="N391" s="31" t="s">
        <v>296</v>
      </c>
    </row>
    <row r="392" spans="1:14">
      <c r="A392" s="26">
        <v>22</v>
      </c>
      <c r="B392" s="9" t="s">
        <v>78</v>
      </c>
      <c r="C392" s="31" t="s">
        <v>275</v>
      </c>
      <c r="D392" s="34">
        <v>0</v>
      </c>
      <c r="F392" s="29">
        <f>ROUND(SUMIF(Определители!I6:I32,"=2",'Базовые цены с учетом расхода'!B6:B32),0)</f>
        <v>19000</v>
      </c>
      <c r="G392" s="29">
        <f>ROUND(SUMIF(Определители!I6:I32,"=2",'Базовые цены с учетом расхода'!C6:C32),0)</f>
        <v>1066</v>
      </c>
      <c r="H392" s="29">
        <f>ROUND(SUMIF(Определители!I6:I32,"=2",'Базовые цены с учетом расхода'!D6:D32),0)</f>
        <v>84</v>
      </c>
      <c r="I392" s="29">
        <f>ROUND(SUMIF(Определители!I6:I32,"=2",'Базовые цены с учетом расхода'!E6:E32),0)</f>
        <v>7</v>
      </c>
      <c r="J392" s="30" t="e">
        <f ca="1">ROUND(SUMIF(Определители!I6:I32,"=2",'Базовые цены с учетом расхода'!I6:I32),8)</f>
        <v>#NAME?</v>
      </c>
      <c r="K392" s="30" t="e">
        <f ca="1">ROUND(SUMIF(Определители!I6:I32,"=2",'Базовые цены с учетом расхода'!K6:K32),8)</f>
        <v>#NAME?</v>
      </c>
      <c r="L392" s="29">
        <f>ROUND(SUMIF(Определители!I6:I32,"=2",'Базовые цены с учетом расхода'!F6:F32),0)</f>
        <v>17850</v>
      </c>
      <c r="N392" s="31" t="s">
        <v>297</v>
      </c>
    </row>
    <row r="393" spans="1:14">
      <c r="A393" s="26">
        <v>23</v>
      </c>
      <c r="B393" s="9" t="s">
        <v>70</v>
      </c>
      <c r="C393" s="31" t="s">
        <v>275</v>
      </c>
      <c r="D393" s="34">
        <v>0</v>
      </c>
      <c r="F393" s="29"/>
      <c r="G393" s="29"/>
      <c r="H393" s="29"/>
      <c r="I393" s="29"/>
      <c r="J393" s="30"/>
      <c r="K393" s="30"/>
      <c r="L393" s="29"/>
      <c r="N393" s="31" t="s">
        <v>298</v>
      </c>
    </row>
    <row r="394" spans="1:14">
      <c r="A394" s="26">
        <v>24</v>
      </c>
      <c r="B394" s="9" t="s">
        <v>79</v>
      </c>
      <c r="C394" s="31" t="s">
        <v>275</v>
      </c>
      <c r="D394" s="34">
        <v>0</v>
      </c>
      <c r="F394" s="29" t="e">
        <f ca="1">ROUND(СУММЕСЛИ2(Определители!I6:I32,"2",Определители!G6:G32,"1",'Базовые цены с учетом расхода'!B6:B32),0)</f>
        <v>#NAME?</v>
      </c>
      <c r="G394" s="29"/>
      <c r="H394" s="29"/>
      <c r="I394" s="29"/>
      <c r="J394" s="30"/>
      <c r="K394" s="30"/>
      <c r="L394" s="29"/>
      <c r="N394" s="31" t="s">
        <v>299</v>
      </c>
    </row>
    <row r="395" spans="1:14">
      <c r="A395" s="26">
        <v>25</v>
      </c>
      <c r="B395" s="9" t="s">
        <v>74</v>
      </c>
      <c r="C395" s="31" t="s">
        <v>275</v>
      </c>
      <c r="D395" s="34">
        <v>0</v>
      </c>
      <c r="F395" s="29">
        <f>ROUND(SUMIF(Определители!I6:I32,"=2",'Базовые цены с учетом расхода'!H6:H32),0)</f>
        <v>0</v>
      </c>
      <c r="G395" s="29"/>
      <c r="H395" s="29"/>
      <c r="I395" s="29"/>
      <c r="J395" s="30"/>
      <c r="K395" s="30"/>
      <c r="L395" s="29"/>
      <c r="N395" s="31" t="s">
        <v>300</v>
      </c>
    </row>
    <row r="396" spans="1:14">
      <c r="A396" s="26">
        <v>26</v>
      </c>
      <c r="B396" s="9" t="s">
        <v>75</v>
      </c>
      <c r="C396" s="31" t="s">
        <v>275</v>
      </c>
      <c r="D396" s="34">
        <v>0</v>
      </c>
      <c r="F396" s="29">
        <f>ROUND(SUMIF(Определители!I6:I32,"=2",'Базовые цены с учетом расхода'!N6:N32),0)</f>
        <v>936</v>
      </c>
      <c r="G396" s="29"/>
      <c r="H396" s="29"/>
      <c r="I396" s="29"/>
      <c r="J396" s="30"/>
      <c r="K396" s="30"/>
      <c r="L396" s="29"/>
      <c r="N396" s="31" t="s">
        <v>301</v>
      </c>
    </row>
    <row r="397" spans="1:14">
      <c r="A397" s="26">
        <v>27</v>
      </c>
      <c r="B397" s="9" t="s">
        <v>76</v>
      </c>
      <c r="C397" s="31" t="s">
        <v>275</v>
      </c>
      <c r="D397" s="34">
        <v>0</v>
      </c>
      <c r="F397" s="29">
        <f>ROUND(SUMIF(Определители!I6:I32,"=2",'Базовые цены с учетом расхода'!O6:O32),0)</f>
        <v>654</v>
      </c>
      <c r="G397" s="29"/>
      <c r="H397" s="29"/>
      <c r="I397" s="29"/>
      <c r="J397" s="30"/>
      <c r="K397" s="30"/>
      <c r="L397" s="29"/>
      <c r="N397" s="31" t="s">
        <v>302</v>
      </c>
    </row>
    <row r="398" spans="1:14">
      <c r="A398" s="26">
        <v>28</v>
      </c>
      <c r="B398" s="9" t="s">
        <v>82</v>
      </c>
      <c r="C398" s="31" t="s">
        <v>276</v>
      </c>
      <c r="D398" s="34">
        <v>0</v>
      </c>
      <c r="F398" s="29">
        <f>ROUND((F392+F396+F397),0)</f>
        <v>20590</v>
      </c>
      <c r="G398" s="29"/>
      <c r="H398" s="29"/>
      <c r="I398" s="29"/>
      <c r="J398" s="30"/>
      <c r="K398" s="30"/>
      <c r="L398" s="29"/>
      <c r="N398" s="31" t="s">
        <v>303</v>
      </c>
    </row>
    <row r="399" spans="1:14">
      <c r="A399" s="26">
        <v>29</v>
      </c>
      <c r="B399" s="9" t="s">
        <v>83</v>
      </c>
      <c r="C399" s="31" t="s">
        <v>275</v>
      </c>
      <c r="D399" s="34">
        <v>0</v>
      </c>
      <c r="F399" s="29">
        <f>ROUND(SUMIF(Определители!I6:I32,"=3",'Базовые цены с учетом расхода'!B6:B32),0)</f>
        <v>1303</v>
      </c>
      <c r="G399" s="29">
        <f>ROUND(SUMIF(Определители!I6:I32,"=3",'Базовые цены с учетом расхода'!C6:C32),0)</f>
        <v>410</v>
      </c>
      <c r="H399" s="29">
        <f>ROUND(SUMIF(Определители!I6:I32,"=3",'Базовые цены с учетом расхода'!D6:D32),0)</f>
        <v>705</v>
      </c>
      <c r="I399" s="29">
        <f>ROUND(SUMIF(Определители!I6:I32,"=3",'Базовые цены с учетом расхода'!E6:E32),0)</f>
        <v>54</v>
      </c>
      <c r="J399" s="30" t="e">
        <f ca="1">ROUND(SUMIF(Определители!I6:I32,"=3",'Базовые цены с учетом расхода'!I6:I32),8)</f>
        <v>#NAME?</v>
      </c>
      <c r="K399" s="30" t="e">
        <f ca="1">ROUND(SUMIF(Определители!I6:I32,"=3",'Базовые цены с учетом расхода'!K6:K32),8)</f>
        <v>#NAME?</v>
      </c>
      <c r="L399" s="29">
        <f>ROUND(SUMIF(Определители!I6:I32,"=3",'Базовые цены с учетом расхода'!F6:F32),0)</f>
        <v>188</v>
      </c>
      <c r="N399" s="31" t="s">
        <v>304</v>
      </c>
    </row>
    <row r="400" spans="1:14">
      <c r="A400" s="26">
        <v>30</v>
      </c>
      <c r="B400" s="9" t="s">
        <v>74</v>
      </c>
      <c r="C400" s="31" t="s">
        <v>275</v>
      </c>
      <c r="D400" s="34">
        <v>0</v>
      </c>
      <c r="F400" s="29">
        <f>ROUND(SUMIF(Определители!I6:I32,"=3",'Базовые цены с учетом расхода'!H6:H32),0)</f>
        <v>0</v>
      </c>
      <c r="G400" s="29"/>
      <c r="H400" s="29"/>
      <c r="I400" s="29"/>
      <c r="J400" s="30"/>
      <c r="K400" s="30"/>
      <c r="L400" s="29"/>
      <c r="N400" s="31" t="s">
        <v>305</v>
      </c>
    </row>
    <row r="401" spans="1:14">
      <c r="A401" s="26">
        <v>31</v>
      </c>
      <c r="B401" s="9" t="s">
        <v>75</v>
      </c>
      <c r="C401" s="31" t="s">
        <v>275</v>
      </c>
      <c r="D401" s="34">
        <v>0</v>
      </c>
      <c r="F401" s="29">
        <f>ROUND(SUMIF(Определители!I6:I32,"=3",'Базовые цены с учетом расхода'!N6:N32),0)</f>
        <v>375</v>
      </c>
      <c r="G401" s="29"/>
      <c r="H401" s="29"/>
      <c r="I401" s="29"/>
      <c r="J401" s="30"/>
      <c r="K401" s="30"/>
      <c r="L401" s="29"/>
      <c r="N401" s="31" t="s">
        <v>306</v>
      </c>
    </row>
    <row r="402" spans="1:14">
      <c r="A402" s="26">
        <v>32</v>
      </c>
      <c r="B402" s="9" t="s">
        <v>76</v>
      </c>
      <c r="C402" s="31" t="s">
        <v>275</v>
      </c>
      <c r="D402" s="34">
        <v>0</v>
      </c>
      <c r="F402" s="29">
        <f>ROUND(SUMIF(Определители!I6:I32,"=3",'Базовые цены с учетом расхода'!O6:O32),0)</f>
        <v>334</v>
      </c>
      <c r="G402" s="29"/>
      <c r="H402" s="29"/>
      <c r="I402" s="29"/>
      <c r="J402" s="30"/>
      <c r="K402" s="30"/>
      <c r="L402" s="29"/>
      <c r="N402" s="31" t="s">
        <v>307</v>
      </c>
    </row>
    <row r="403" spans="1:14">
      <c r="A403" s="26">
        <v>33</v>
      </c>
      <c r="B403" s="9" t="s">
        <v>84</v>
      </c>
      <c r="C403" s="31" t="s">
        <v>276</v>
      </c>
      <c r="D403" s="34">
        <v>0</v>
      </c>
      <c r="F403" s="29">
        <f>ROUND((F399+F401+F402),0)</f>
        <v>2012</v>
      </c>
      <c r="G403" s="29"/>
      <c r="H403" s="29"/>
      <c r="I403" s="29"/>
      <c r="J403" s="30"/>
      <c r="K403" s="30"/>
      <c r="L403" s="29"/>
      <c r="N403" s="31" t="s">
        <v>308</v>
      </c>
    </row>
    <row r="404" spans="1:14">
      <c r="A404" s="26">
        <v>34</v>
      </c>
      <c r="B404" s="9" t="s">
        <v>85</v>
      </c>
      <c r="C404" s="31" t="s">
        <v>275</v>
      </c>
      <c r="D404" s="34">
        <v>0</v>
      </c>
      <c r="F404" s="29">
        <f>ROUND(SUMIF(Определители!I6:I32,"=4",'Базовые цены с учетом расхода'!B6:B32),0)</f>
        <v>0</v>
      </c>
      <c r="G404" s="29">
        <f>ROUND(SUMIF(Определители!I6:I32,"=4",'Базовые цены с учетом расхода'!C6:C32),0)</f>
        <v>0</v>
      </c>
      <c r="H404" s="29">
        <f>ROUND(SUMIF(Определители!I6:I32,"=4",'Базовые цены с учетом расхода'!D6:D32),0)</f>
        <v>0</v>
      </c>
      <c r="I404" s="29">
        <f>ROUND(SUMIF(Определители!I6:I32,"=4",'Базовые цены с учетом расхода'!E6:E32),0)</f>
        <v>0</v>
      </c>
      <c r="J404" s="30">
        <f>ROUND(SUMIF(Определители!I6:I32,"=4",'Базовые цены с учетом расхода'!I6:I32),8)</f>
        <v>0</v>
      </c>
      <c r="K404" s="30">
        <f>ROUND(SUMIF(Определители!I6:I32,"=4",'Базовые цены с учетом расхода'!K6:K32),8)</f>
        <v>0</v>
      </c>
      <c r="L404" s="29">
        <f>ROUND(SUMIF(Определители!I6:I32,"=4",'Базовые цены с учетом расхода'!F6:F32),0)</f>
        <v>0</v>
      </c>
      <c r="N404" s="31" t="s">
        <v>309</v>
      </c>
    </row>
    <row r="405" spans="1:14">
      <c r="A405" s="26">
        <v>35</v>
      </c>
      <c r="B405" s="9" t="s">
        <v>70</v>
      </c>
      <c r="C405" s="31" t="s">
        <v>275</v>
      </c>
      <c r="D405" s="34">
        <v>0</v>
      </c>
      <c r="F405" s="29"/>
      <c r="G405" s="29"/>
      <c r="H405" s="29"/>
      <c r="I405" s="29"/>
      <c r="J405" s="30"/>
      <c r="K405" s="30"/>
      <c r="L405" s="29"/>
      <c r="N405" s="31" t="s">
        <v>310</v>
      </c>
    </row>
    <row r="406" spans="1:14">
      <c r="A406" s="26">
        <v>36</v>
      </c>
      <c r="B406" s="9" t="s">
        <v>86</v>
      </c>
      <c r="C406" s="31" t="s">
        <v>275</v>
      </c>
      <c r="D406" s="34">
        <v>0</v>
      </c>
      <c r="F406" s="29">
        <f>ROUND(SUMIF(Определители!I6:I32,"=4",'Базовые цены с учетом расхода'!AJ6:AJ32),0)</f>
        <v>0</v>
      </c>
      <c r="G406" s="29">
        <f>ROUND(SUMIF(Определители!I6:I32,"=4",'Базовые цены с учетом расхода'!AI6:AI32),0)</f>
        <v>0</v>
      </c>
      <c r="H406" s="29">
        <f>ROUND(SUMIF(Определители!I6:I32,"=4",'Базовые цены с учетом расхода'!AH6:AH32),0)</f>
        <v>0</v>
      </c>
      <c r="I406" s="29">
        <f>ROUND(SUMIF(Определители!I6:I32,"=4",'Базовые цены с учетом расхода'!V6:V32),0)</f>
        <v>0</v>
      </c>
      <c r="J406" s="30"/>
      <c r="K406" s="30"/>
      <c r="L406" s="29"/>
      <c r="N406" s="31" t="s">
        <v>311</v>
      </c>
    </row>
    <row r="407" spans="1:14">
      <c r="A407" s="26">
        <v>37</v>
      </c>
      <c r="B407" s="9" t="s">
        <v>74</v>
      </c>
      <c r="C407" s="31" t="s">
        <v>275</v>
      </c>
      <c r="D407" s="34">
        <v>0</v>
      </c>
      <c r="F407" s="29">
        <f>ROUND(SUMIF(Определители!I6:I32,"=4",'Базовые цены с учетом расхода'!H6:H32),0)</f>
        <v>0</v>
      </c>
      <c r="G407" s="29"/>
      <c r="H407" s="29"/>
      <c r="I407" s="29"/>
      <c r="J407" s="30"/>
      <c r="K407" s="30"/>
      <c r="L407" s="29"/>
      <c r="N407" s="31" t="s">
        <v>312</v>
      </c>
    </row>
    <row r="408" spans="1:14">
      <c r="A408" s="26">
        <v>38</v>
      </c>
      <c r="B408" s="9" t="s">
        <v>75</v>
      </c>
      <c r="C408" s="31" t="s">
        <v>275</v>
      </c>
      <c r="D408" s="34">
        <v>0</v>
      </c>
      <c r="F408" s="29">
        <f>ROUND(SUMIF(Определители!I6:I32,"=4",'Базовые цены с учетом расхода'!N6:N32),0)</f>
        <v>0</v>
      </c>
      <c r="G408" s="29"/>
      <c r="H408" s="29"/>
      <c r="I408" s="29"/>
      <c r="J408" s="30"/>
      <c r="K408" s="30"/>
      <c r="L408" s="29"/>
      <c r="N408" s="31" t="s">
        <v>313</v>
      </c>
    </row>
    <row r="409" spans="1:14">
      <c r="A409" s="26">
        <v>39</v>
      </c>
      <c r="B409" s="9" t="s">
        <v>76</v>
      </c>
      <c r="C409" s="31" t="s">
        <v>275</v>
      </c>
      <c r="D409" s="34">
        <v>0</v>
      </c>
      <c r="F409" s="29">
        <f>ROUND(SUMIF(Определители!I6:I32,"=4",'Базовые цены с учетом расхода'!O6:O32),0)</f>
        <v>0</v>
      </c>
      <c r="G409" s="29"/>
      <c r="H409" s="29"/>
      <c r="I409" s="29"/>
      <c r="J409" s="30"/>
      <c r="K409" s="30"/>
      <c r="L409" s="29"/>
      <c r="N409" s="31" t="s">
        <v>314</v>
      </c>
    </row>
    <row r="410" spans="1:14">
      <c r="A410" s="26">
        <v>40</v>
      </c>
      <c r="B410" s="9" t="s">
        <v>67</v>
      </c>
      <c r="C410" s="31" t="s">
        <v>275</v>
      </c>
      <c r="D410" s="34">
        <v>0</v>
      </c>
      <c r="F410" s="29" t="e">
        <f ca="1">ROUND(СУММПРОИЗВЕСЛИ(1,Определители!I6:I32," ",'Базовые цены с учетом расхода'!M6:M32,Начисления!I6:I32,0),0)</f>
        <v>#NAME?</v>
      </c>
      <c r="G410" s="29"/>
      <c r="H410" s="29"/>
      <c r="I410" s="29"/>
      <c r="J410" s="30"/>
      <c r="K410" s="30"/>
      <c r="L410" s="29"/>
      <c r="N410" s="31" t="s">
        <v>315</v>
      </c>
    </row>
    <row r="411" spans="1:14">
      <c r="A411" s="26">
        <v>41</v>
      </c>
      <c r="B411" s="9" t="s">
        <v>87</v>
      </c>
      <c r="C411" s="31" t="s">
        <v>276</v>
      </c>
      <c r="D411" s="34">
        <v>0</v>
      </c>
      <c r="F411" s="29">
        <f>ROUND((F404+F408+F409),0)</f>
        <v>0</v>
      </c>
      <c r="G411" s="29"/>
      <c r="H411" s="29"/>
      <c r="I411" s="29"/>
      <c r="J411" s="30"/>
      <c r="K411" s="30"/>
      <c r="L411" s="29"/>
      <c r="N411" s="31" t="s">
        <v>316</v>
      </c>
    </row>
    <row r="412" spans="1:14">
      <c r="A412" s="26">
        <v>42</v>
      </c>
      <c r="B412" s="9" t="s">
        <v>88</v>
      </c>
      <c r="C412" s="31" t="s">
        <v>275</v>
      </c>
      <c r="D412" s="34">
        <v>0</v>
      </c>
      <c r="F412" s="29">
        <f>ROUND(SUMIF(Определители!I6:I32,"=5",'Базовые цены с учетом расхода'!B6:B32),0)</f>
        <v>0</v>
      </c>
      <c r="G412" s="29">
        <f>ROUND(SUMIF(Определители!I6:I32,"=5",'Базовые цены с учетом расхода'!C6:C32),0)</f>
        <v>0</v>
      </c>
      <c r="H412" s="29">
        <f>ROUND(SUMIF(Определители!I6:I32,"=5",'Базовые цены с учетом расхода'!D6:D32),0)</f>
        <v>0</v>
      </c>
      <c r="I412" s="29">
        <f>ROUND(SUMIF(Определители!I6:I32,"=5",'Базовые цены с учетом расхода'!E6:E32),0)</f>
        <v>0</v>
      </c>
      <c r="J412" s="30">
        <f>ROUND(SUMIF(Определители!I6:I32,"=5",'Базовые цены с учетом расхода'!I6:I32),8)</f>
        <v>0</v>
      </c>
      <c r="K412" s="30">
        <f>ROUND(SUMIF(Определители!I6:I32,"=5",'Базовые цены с учетом расхода'!K6:K32),8)</f>
        <v>0</v>
      </c>
      <c r="L412" s="29">
        <f>ROUND(SUMIF(Определители!I6:I32,"=5",'Базовые цены с учетом расхода'!F6:F32),0)</f>
        <v>0</v>
      </c>
      <c r="N412" s="31" t="s">
        <v>317</v>
      </c>
    </row>
    <row r="413" spans="1:14">
      <c r="A413" s="26">
        <v>43</v>
      </c>
      <c r="B413" s="9" t="s">
        <v>74</v>
      </c>
      <c r="C413" s="31" t="s">
        <v>275</v>
      </c>
      <c r="D413" s="34">
        <v>0</v>
      </c>
      <c r="F413" s="29">
        <f>ROUND(SUMIF(Определители!I6:I32,"=5",'Базовые цены с учетом расхода'!H6:H32),0)</f>
        <v>0</v>
      </c>
      <c r="G413" s="29"/>
      <c r="H413" s="29"/>
      <c r="I413" s="29"/>
      <c r="J413" s="30"/>
      <c r="K413" s="30"/>
      <c r="L413" s="29"/>
      <c r="N413" s="31" t="s">
        <v>318</v>
      </c>
    </row>
    <row r="414" spans="1:14">
      <c r="A414" s="26">
        <v>44</v>
      </c>
      <c r="B414" s="9" t="s">
        <v>75</v>
      </c>
      <c r="C414" s="31" t="s">
        <v>275</v>
      </c>
      <c r="D414" s="34">
        <v>0</v>
      </c>
      <c r="F414" s="29">
        <f>ROUND(SUMIF(Определители!I6:I32,"=5",'Базовые цены с учетом расхода'!N6:N32),0)</f>
        <v>0</v>
      </c>
      <c r="G414" s="29"/>
      <c r="H414" s="29"/>
      <c r="I414" s="29"/>
      <c r="J414" s="30"/>
      <c r="K414" s="30"/>
      <c r="L414" s="29"/>
      <c r="N414" s="31" t="s">
        <v>319</v>
      </c>
    </row>
    <row r="415" spans="1:14">
      <c r="A415" s="26">
        <v>45</v>
      </c>
      <c r="B415" s="9" t="s">
        <v>76</v>
      </c>
      <c r="C415" s="31" t="s">
        <v>275</v>
      </c>
      <c r="D415" s="34">
        <v>0</v>
      </c>
      <c r="F415" s="29">
        <f>ROUND(SUMIF(Определители!I6:I32,"=5",'Базовые цены с учетом расхода'!O6:O32),0)</f>
        <v>0</v>
      </c>
      <c r="G415" s="29"/>
      <c r="H415" s="29"/>
      <c r="I415" s="29"/>
      <c r="J415" s="30"/>
      <c r="K415" s="30"/>
      <c r="L415" s="29"/>
      <c r="N415" s="31" t="s">
        <v>320</v>
      </c>
    </row>
    <row r="416" spans="1:14">
      <c r="A416" s="26">
        <v>46</v>
      </c>
      <c r="B416" s="9" t="s">
        <v>89</v>
      </c>
      <c r="C416" s="31" t="s">
        <v>276</v>
      </c>
      <c r="D416" s="34">
        <v>0</v>
      </c>
      <c r="F416" s="29">
        <f>ROUND((F412+F414+F415),0)</f>
        <v>0</v>
      </c>
      <c r="G416" s="29"/>
      <c r="H416" s="29"/>
      <c r="I416" s="29"/>
      <c r="J416" s="30"/>
      <c r="K416" s="30"/>
      <c r="L416" s="29"/>
      <c r="N416" s="31" t="s">
        <v>321</v>
      </c>
    </row>
    <row r="417" spans="1:14">
      <c r="A417" s="26">
        <v>47</v>
      </c>
      <c r="B417" s="9" t="s">
        <v>90</v>
      </c>
      <c r="C417" s="31" t="s">
        <v>275</v>
      </c>
      <c r="D417" s="34">
        <v>0</v>
      </c>
      <c r="F417" s="29">
        <f>ROUND(SUMIF(Определители!I6:I32,"=6",'Базовые цены с учетом расхода'!B6:B32),0)</f>
        <v>0</v>
      </c>
      <c r="G417" s="29">
        <f>ROUND(SUMIF(Определители!I6:I32,"=6",'Базовые цены с учетом расхода'!C6:C32),0)</f>
        <v>0</v>
      </c>
      <c r="H417" s="29">
        <f>ROUND(SUMIF(Определители!I6:I32,"=6",'Базовые цены с учетом расхода'!D6:D32),0)</f>
        <v>0</v>
      </c>
      <c r="I417" s="29">
        <f>ROUND(SUMIF(Определители!I6:I32,"=6",'Базовые цены с учетом расхода'!E6:E32),0)</f>
        <v>0</v>
      </c>
      <c r="J417" s="30">
        <f>ROUND(SUMIF(Определители!I6:I32,"=6",'Базовые цены с учетом расхода'!I6:I32),8)</f>
        <v>0</v>
      </c>
      <c r="K417" s="30">
        <f>ROUND(SUMIF(Определители!I6:I32,"=6",'Базовые цены с учетом расхода'!K6:K32),8)</f>
        <v>0</v>
      </c>
      <c r="L417" s="29">
        <f>ROUND(SUMIF(Определители!I6:I32,"=6",'Базовые цены с учетом расхода'!F6:F32),0)</f>
        <v>0</v>
      </c>
      <c r="N417" s="31" t="s">
        <v>322</v>
      </c>
    </row>
    <row r="418" spans="1:14">
      <c r="A418" s="26">
        <v>48</v>
      </c>
      <c r="B418" s="9" t="s">
        <v>74</v>
      </c>
      <c r="C418" s="31" t="s">
        <v>275</v>
      </c>
      <c r="D418" s="34">
        <v>0</v>
      </c>
      <c r="F418" s="29">
        <f>ROUND(SUMIF(Определители!I6:I32,"=6",'Базовые цены с учетом расхода'!H6:H32),0)</f>
        <v>0</v>
      </c>
      <c r="G418" s="29"/>
      <c r="H418" s="29"/>
      <c r="I418" s="29"/>
      <c r="J418" s="30"/>
      <c r="K418" s="30"/>
      <c r="L418" s="29"/>
      <c r="N418" s="31" t="s">
        <v>323</v>
      </c>
    </row>
    <row r="419" spans="1:14">
      <c r="A419" s="26">
        <v>49</v>
      </c>
      <c r="B419" s="9" t="s">
        <v>75</v>
      </c>
      <c r="C419" s="31" t="s">
        <v>275</v>
      </c>
      <c r="D419" s="34">
        <v>0</v>
      </c>
      <c r="F419" s="29">
        <f>ROUND(SUMIF(Определители!I6:I32,"=6",'Базовые цены с учетом расхода'!N6:N32),0)</f>
        <v>0</v>
      </c>
      <c r="G419" s="29"/>
      <c r="H419" s="29"/>
      <c r="I419" s="29"/>
      <c r="J419" s="30"/>
      <c r="K419" s="30"/>
      <c r="L419" s="29"/>
      <c r="N419" s="31" t="s">
        <v>324</v>
      </c>
    </row>
    <row r="420" spans="1:14">
      <c r="A420" s="26">
        <v>50</v>
      </c>
      <c r="B420" s="9" t="s">
        <v>76</v>
      </c>
      <c r="C420" s="31" t="s">
        <v>275</v>
      </c>
      <c r="D420" s="34">
        <v>0</v>
      </c>
      <c r="F420" s="29">
        <f>ROUND(SUMIF(Определители!I6:I32,"=6",'Базовые цены с учетом расхода'!O6:O32),0)</f>
        <v>0</v>
      </c>
      <c r="G420" s="29"/>
      <c r="H420" s="29"/>
      <c r="I420" s="29"/>
      <c r="J420" s="30"/>
      <c r="K420" s="30"/>
      <c r="L420" s="29"/>
      <c r="N420" s="31" t="s">
        <v>325</v>
      </c>
    </row>
    <row r="421" spans="1:14">
      <c r="A421" s="26">
        <v>51</v>
      </c>
      <c r="B421" s="9" t="s">
        <v>91</v>
      </c>
      <c r="C421" s="31" t="s">
        <v>276</v>
      </c>
      <c r="D421" s="34">
        <v>0</v>
      </c>
      <c r="F421" s="29">
        <f>ROUND((F417+F419+F420),0)</f>
        <v>0</v>
      </c>
      <c r="G421" s="29"/>
      <c r="H421" s="29"/>
      <c r="I421" s="29"/>
      <c r="J421" s="30"/>
      <c r="K421" s="30"/>
      <c r="L421" s="29"/>
      <c r="N421" s="31" t="s">
        <v>326</v>
      </c>
    </row>
    <row r="422" spans="1:14">
      <c r="A422" s="26">
        <v>52</v>
      </c>
      <c r="B422" s="9" t="s">
        <v>92</v>
      </c>
      <c r="C422" s="31" t="s">
        <v>275</v>
      </c>
      <c r="D422" s="34">
        <v>0</v>
      </c>
      <c r="F422" s="29">
        <f>ROUND(SUMIF(Определители!I6:I32,"=7",'Базовые цены с учетом расхода'!B6:B32),0)</f>
        <v>0</v>
      </c>
      <c r="G422" s="29">
        <f>ROUND(SUMIF(Определители!I6:I32,"=7",'Базовые цены с учетом расхода'!C6:C32),0)</f>
        <v>0</v>
      </c>
      <c r="H422" s="29">
        <f>ROUND(SUMIF(Определители!I6:I32,"=7",'Базовые цены с учетом расхода'!D6:D32),0)</f>
        <v>0</v>
      </c>
      <c r="I422" s="29">
        <f>ROUND(SUMIF(Определители!I6:I32,"=7",'Базовые цены с учетом расхода'!E6:E32),0)</f>
        <v>0</v>
      </c>
      <c r="J422" s="30">
        <f>ROUND(SUMIF(Определители!I6:I32,"=7",'Базовые цены с учетом расхода'!I6:I32),8)</f>
        <v>0</v>
      </c>
      <c r="K422" s="30">
        <f>ROUND(SUMIF(Определители!I6:I32,"=7",'Базовые цены с учетом расхода'!K6:K32),8)</f>
        <v>0</v>
      </c>
      <c r="L422" s="29">
        <f>ROUND(SUMIF(Определители!I6:I32,"=7",'Базовые цены с учетом расхода'!F6:F32),0)</f>
        <v>0</v>
      </c>
      <c r="N422" s="31" t="s">
        <v>327</v>
      </c>
    </row>
    <row r="423" spans="1:14">
      <c r="A423" s="26">
        <v>53</v>
      </c>
      <c r="B423" s="9" t="s">
        <v>70</v>
      </c>
      <c r="C423" s="31" t="s">
        <v>275</v>
      </c>
      <c r="D423" s="34">
        <v>0</v>
      </c>
      <c r="F423" s="29"/>
      <c r="G423" s="29"/>
      <c r="H423" s="29"/>
      <c r="I423" s="29"/>
      <c r="J423" s="30"/>
      <c r="K423" s="30"/>
      <c r="L423" s="29"/>
      <c r="N423" s="31" t="s">
        <v>328</v>
      </c>
    </row>
    <row r="424" spans="1:14">
      <c r="A424" s="26">
        <v>54</v>
      </c>
      <c r="B424" s="9" t="s">
        <v>79</v>
      </c>
      <c r="C424" s="31" t="s">
        <v>275</v>
      </c>
      <c r="D424" s="34">
        <v>0</v>
      </c>
      <c r="F424" s="29" t="e">
        <f ca="1">ROUND(СУММЕСЛИ2(Определители!I6:I32,"2",Определители!G6:G32,"1",'Базовые цены с учетом расхода'!B6:B32),0)</f>
        <v>#NAME?</v>
      </c>
      <c r="G424" s="29"/>
      <c r="H424" s="29"/>
      <c r="I424" s="29"/>
      <c r="J424" s="30"/>
      <c r="K424" s="30"/>
      <c r="L424" s="29"/>
      <c r="N424" s="31" t="s">
        <v>329</v>
      </c>
    </row>
    <row r="425" spans="1:14">
      <c r="A425" s="26">
        <v>55</v>
      </c>
      <c r="B425" s="9" t="s">
        <v>74</v>
      </c>
      <c r="C425" s="31" t="s">
        <v>275</v>
      </c>
      <c r="D425" s="34">
        <v>0</v>
      </c>
      <c r="F425" s="29">
        <f>ROUND(SUMIF(Определители!I6:I32,"=7",'Базовые цены с учетом расхода'!H6:H32),0)</f>
        <v>0</v>
      </c>
      <c r="G425" s="29"/>
      <c r="H425" s="29"/>
      <c r="I425" s="29"/>
      <c r="J425" s="30"/>
      <c r="K425" s="30"/>
      <c r="L425" s="29"/>
      <c r="N425" s="31" t="s">
        <v>330</v>
      </c>
    </row>
    <row r="426" spans="1:14">
      <c r="A426" s="26">
        <v>56</v>
      </c>
      <c r="B426" s="9" t="s">
        <v>75</v>
      </c>
      <c r="C426" s="31" t="s">
        <v>275</v>
      </c>
      <c r="D426" s="34">
        <v>0</v>
      </c>
      <c r="F426" s="29">
        <f>ROUND(SUMIF(Определители!I6:I32,"=7",'Базовые цены с учетом расхода'!N6:N32),0)</f>
        <v>0</v>
      </c>
      <c r="G426" s="29"/>
      <c r="H426" s="29"/>
      <c r="I426" s="29"/>
      <c r="J426" s="30"/>
      <c r="K426" s="30"/>
      <c r="L426" s="29"/>
      <c r="N426" s="31" t="s">
        <v>331</v>
      </c>
    </row>
    <row r="427" spans="1:14">
      <c r="A427" s="26">
        <v>57</v>
      </c>
      <c r="B427" s="9" t="s">
        <v>76</v>
      </c>
      <c r="C427" s="31" t="s">
        <v>275</v>
      </c>
      <c r="D427" s="34">
        <v>0</v>
      </c>
      <c r="F427" s="29">
        <f>ROUND(SUMIF(Определители!I6:I32,"=7",'Базовые цены с учетом расхода'!O6:O32),0)</f>
        <v>0</v>
      </c>
      <c r="G427" s="29"/>
      <c r="H427" s="29"/>
      <c r="I427" s="29"/>
      <c r="J427" s="30"/>
      <c r="K427" s="30"/>
      <c r="L427" s="29"/>
      <c r="N427" s="31" t="s">
        <v>332</v>
      </c>
    </row>
    <row r="428" spans="1:14">
      <c r="A428" s="26">
        <v>58</v>
      </c>
      <c r="B428" s="9" t="s">
        <v>93</v>
      </c>
      <c r="C428" s="31" t="s">
        <v>276</v>
      </c>
      <c r="D428" s="34">
        <v>0</v>
      </c>
      <c r="F428" s="29">
        <f>ROUND((F422+F426+F427),0)</f>
        <v>0</v>
      </c>
      <c r="G428" s="29"/>
      <c r="H428" s="29"/>
      <c r="I428" s="29"/>
      <c r="J428" s="30"/>
      <c r="K428" s="30"/>
      <c r="L428" s="29"/>
      <c r="N428" s="31" t="s">
        <v>333</v>
      </c>
    </row>
    <row r="429" spans="1:14">
      <c r="A429" s="26">
        <v>59</v>
      </c>
      <c r="B429" s="9" t="s">
        <v>94</v>
      </c>
      <c r="C429" s="31" t="s">
        <v>275</v>
      </c>
      <c r="D429" s="34">
        <v>0</v>
      </c>
      <c r="F429" s="29">
        <f>ROUND(SUMIF(Определители!I6:I32,"=;",'Базовые цены с учетом расхода'!B6:B32),0)</f>
        <v>0</v>
      </c>
      <c r="G429" s="29">
        <f>ROUND(SUMIF(Определители!I6:I32,"=;",'Базовые цены с учетом расхода'!C6:C32),0)</f>
        <v>0</v>
      </c>
      <c r="H429" s="29">
        <f>ROUND(SUMIF(Определители!I6:I32,"=;",'Базовые цены с учетом расхода'!D6:D32),0)</f>
        <v>0</v>
      </c>
      <c r="I429" s="29">
        <f>ROUND(SUMIF(Определители!I6:I32,"=;",'Базовые цены с учетом расхода'!E6:E32),0)</f>
        <v>0</v>
      </c>
      <c r="J429" s="30">
        <f>ROUND(SUMIF(Определители!I6:I32,"=;",'Базовые цены с учетом расхода'!I6:I32),8)</f>
        <v>0</v>
      </c>
      <c r="K429" s="30">
        <f>ROUND(SUMIF(Определители!I6:I32,"=;",'Базовые цены с учетом расхода'!K6:K32),8)</f>
        <v>0</v>
      </c>
      <c r="L429" s="29">
        <f>ROUND(SUMIF(Определители!I6:I32,"=;",'Базовые цены с учетом расхода'!F6:F32),0)</f>
        <v>0</v>
      </c>
      <c r="N429" s="31" t="s">
        <v>334</v>
      </c>
    </row>
    <row r="430" spans="1:14">
      <c r="A430" s="26">
        <v>60</v>
      </c>
      <c r="B430" s="9" t="s">
        <v>95</v>
      </c>
      <c r="C430" s="31" t="s">
        <v>275</v>
      </c>
      <c r="D430" s="34">
        <v>0</v>
      </c>
      <c r="F430" s="29">
        <f>ROUND(SUMIF(Определители!I6:I32,"=;",'Базовые цены с учетом расхода'!AF6:AF32),0)</f>
        <v>0</v>
      </c>
      <c r="G430" s="29"/>
      <c r="H430" s="29"/>
      <c r="I430" s="29"/>
      <c r="J430" s="30"/>
      <c r="K430" s="30"/>
      <c r="L430" s="29"/>
      <c r="N430" s="31" t="s">
        <v>335</v>
      </c>
    </row>
    <row r="431" spans="1:14">
      <c r="A431" s="26">
        <v>61</v>
      </c>
      <c r="B431" s="9" t="s">
        <v>96</v>
      </c>
      <c r="C431" s="31" t="s">
        <v>275</v>
      </c>
      <c r="D431" s="34">
        <v>0</v>
      </c>
      <c r="F431" s="29">
        <f>ROUND(SUMIF(Определители!I6:I32,"=;",'Базовые цены с учетом расхода'!AG6:AG32),0)</f>
        <v>0</v>
      </c>
      <c r="G431" s="29"/>
      <c r="H431" s="29"/>
      <c r="I431" s="29"/>
      <c r="J431" s="30"/>
      <c r="K431" s="30"/>
      <c r="L431" s="29"/>
      <c r="N431" s="31" t="s">
        <v>336</v>
      </c>
    </row>
    <row r="432" spans="1:14">
      <c r="A432" s="26">
        <v>62</v>
      </c>
      <c r="B432" s="9" t="s">
        <v>75</v>
      </c>
      <c r="C432" s="31" t="s">
        <v>275</v>
      </c>
      <c r="D432" s="34">
        <v>0</v>
      </c>
      <c r="F432" s="29">
        <f>ROUND(SUMIF(Определители!I6:I32,"=;",'Базовые цены с учетом расхода'!N6:N32),0)</f>
        <v>0</v>
      </c>
      <c r="G432" s="29"/>
      <c r="H432" s="29"/>
      <c r="I432" s="29"/>
      <c r="J432" s="30"/>
      <c r="K432" s="30"/>
      <c r="L432" s="29"/>
      <c r="N432" s="31" t="s">
        <v>337</v>
      </c>
    </row>
    <row r="433" spans="1:14">
      <c r="A433" s="26">
        <v>63</v>
      </c>
      <c r="B433" s="9" t="s">
        <v>76</v>
      </c>
      <c r="C433" s="31" t="s">
        <v>275</v>
      </c>
      <c r="D433" s="34">
        <v>0</v>
      </c>
      <c r="F433" s="29">
        <f>ROUND(SUMIF(Определители!I6:I32,"=;",'Базовые цены с учетом расхода'!O6:O32),0)</f>
        <v>0</v>
      </c>
      <c r="G433" s="29"/>
      <c r="H433" s="29"/>
      <c r="I433" s="29"/>
      <c r="J433" s="30"/>
      <c r="K433" s="30"/>
      <c r="L433" s="29"/>
      <c r="N433" s="31" t="s">
        <v>338</v>
      </c>
    </row>
    <row r="434" spans="1:14">
      <c r="A434" s="26">
        <v>64</v>
      </c>
      <c r="B434" s="9" t="s">
        <v>97</v>
      </c>
      <c r="C434" s="31" t="s">
        <v>276</v>
      </c>
      <c r="D434" s="34">
        <v>0</v>
      </c>
      <c r="F434" s="29">
        <f>ROUND((F429+F432+F433),0)</f>
        <v>0</v>
      </c>
      <c r="G434" s="29"/>
      <c r="H434" s="29"/>
      <c r="I434" s="29"/>
      <c r="J434" s="30"/>
      <c r="K434" s="30"/>
      <c r="L434" s="29"/>
      <c r="N434" s="31" t="s">
        <v>339</v>
      </c>
    </row>
    <row r="435" spans="1:14">
      <c r="A435" s="26">
        <v>65</v>
      </c>
      <c r="B435" s="9" t="s">
        <v>98</v>
      </c>
      <c r="C435" s="31" t="s">
        <v>275</v>
      </c>
      <c r="D435" s="34">
        <v>0</v>
      </c>
      <c r="F435" s="29">
        <f>ROUND(SUMIF(Определители!I6:I32,"=9",'Базовые цены с учетом расхода'!B6:B32),0)</f>
        <v>0</v>
      </c>
      <c r="G435" s="29">
        <f>ROUND(SUMIF(Определители!I6:I32,"=9",'Базовые цены с учетом расхода'!C6:C32),0)</f>
        <v>0</v>
      </c>
      <c r="H435" s="29">
        <f>ROUND(SUMIF(Определители!I6:I32,"=9",'Базовые цены с учетом расхода'!D6:D32),0)</f>
        <v>0</v>
      </c>
      <c r="I435" s="29">
        <f>ROUND(SUMIF(Определители!I6:I32,"=9",'Базовые цены с учетом расхода'!E6:E32),0)</f>
        <v>0</v>
      </c>
      <c r="J435" s="30">
        <f>ROUND(SUMIF(Определители!I6:I32,"=9",'Базовые цены с учетом расхода'!I6:I32),8)</f>
        <v>0</v>
      </c>
      <c r="K435" s="30">
        <f>ROUND(SUMIF(Определители!I6:I32,"=9",'Базовые цены с учетом расхода'!K6:K32),8)</f>
        <v>0</v>
      </c>
      <c r="L435" s="29">
        <f>ROUND(SUMIF(Определители!I6:I32,"=9",'Базовые цены с учетом расхода'!F6:F32),0)</f>
        <v>0</v>
      </c>
      <c r="N435" s="31" t="s">
        <v>340</v>
      </c>
    </row>
    <row r="436" spans="1:14">
      <c r="A436" s="26">
        <v>66</v>
      </c>
      <c r="B436" s="9" t="s">
        <v>75</v>
      </c>
      <c r="C436" s="31" t="s">
        <v>275</v>
      </c>
      <c r="D436" s="34">
        <v>0</v>
      </c>
      <c r="F436" s="29">
        <f>ROUND(SUMIF(Определители!I6:I32,"=9",'Базовые цены с учетом расхода'!N6:N32),0)</f>
        <v>0</v>
      </c>
      <c r="G436" s="29"/>
      <c r="H436" s="29"/>
      <c r="I436" s="29"/>
      <c r="J436" s="30"/>
      <c r="K436" s="30"/>
      <c r="L436" s="29"/>
      <c r="N436" s="31" t="s">
        <v>341</v>
      </c>
    </row>
    <row r="437" spans="1:14">
      <c r="A437" s="26">
        <v>67</v>
      </c>
      <c r="B437" s="9" t="s">
        <v>76</v>
      </c>
      <c r="C437" s="31" t="s">
        <v>275</v>
      </c>
      <c r="D437" s="34">
        <v>0</v>
      </c>
      <c r="F437" s="29">
        <f>ROUND(SUMIF(Определители!I6:I32,"=9",'Базовые цены с учетом расхода'!O6:O32),0)</f>
        <v>0</v>
      </c>
      <c r="G437" s="29"/>
      <c r="H437" s="29"/>
      <c r="I437" s="29"/>
      <c r="J437" s="30"/>
      <c r="K437" s="30"/>
      <c r="L437" s="29"/>
      <c r="N437" s="31" t="s">
        <v>342</v>
      </c>
    </row>
    <row r="438" spans="1:14">
      <c r="A438" s="26">
        <v>68</v>
      </c>
      <c r="B438" s="9" t="s">
        <v>99</v>
      </c>
      <c r="C438" s="31" t="s">
        <v>276</v>
      </c>
      <c r="D438" s="34">
        <v>0</v>
      </c>
      <c r="F438" s="29">
        <f>ROUND((F435+F436+F437),0)</f>
        <v>0</v>
      </c>
      <c r="G438" s="29"/>
      <c r="H438" s="29"/>
      <c r="I438" s="29"/>
      <c r="J438" s="30"/>
      <c r="K438" s="30"/>
      <c r="L438" s="29"/>
      <c r="N438" s="31" t="s">
        <v>343</v>
      </c>
    </row>
    <row r="439" spans="1:14">
      <c r="A439" s="26">
        <v>69</v>
      </c>
      <c r="B439" s="9" t="s">
        <v>100</v>
      </c>
      <c r="C439" s="31" t="s">
        <v>275</v>
      </c>
      <c r="D439" s="34">
        <v>0</v>
      </c>
      <c r="F439" s="29">
        <f>ROUND(SUMIF(Определители!I6:I32,"=:",'Базовые цены с учетом расхода'!B6:B32),0)</f>
        <v>0</v>
      </c>
      <c r="G439" s="29">
        <f>ROUND(SUMIF(Определители!I6:I32,"=:",'Базовые цены с учетом расхода'!C6:C32),0)</f>
        <v>0</v>
      </c>
      <c r="H439" s="29">
        <f>ROUND(SUMIF(Определители!I6:I32,"=:",'Базовые цены с учетом расхода'!D6:D32),0)</f>
        <v>0</v>
      </c>
      <c r="I439" s="29">
        <f>ROUND(SUMIF(Определители!I6:I32,"=:",'Базовые цены с учетом расхода'!E6:E32),0)</f>
        <v>0</v>
      </c>
      <c r="J439" s="30">
        <f>ROUND(SUMIF(Определители!I6:I32,"=:",'Базовые цены с учетом расхода'!I6:I32),8)</f>
        <v>0</v>
      </c>
      <c r="K439" s="30">
        <f>ROUND(SUMIF(Определители!I6:I32,"=:",'Базовые цены с учетом расхода'!K6:K32),8)</f>
        <v>0</v>
      </c>
      <c r="L439" s="29">
        <f>ROUND(SUMIF(Определители!I6:I32,"=:",'Базовые цены с учетом расхода'!F6:F32),0)</f>
        <v>0</v>
      </c>
      <c r="N439" s="31" t="s">
        <v>344</v>
      </c>
    </row>
    <row r="440" spans="1:14">
      <c r="A440" s="26">
        <v>70</v>
      </c>
      <c r="B440" s="9" t="s">
        <v>74</v>
      </c>
      <c r="C440" s="31" t="s">
        <v>275</v>
      </c>
      <c r="D440" s="34">
        <v>0</v>
      </c>
      <c r="F440" s="29">
        <f>ROUND(SUMIF(Определители!I6:I32,"=:",'Базовые цены с учетом расхода'!H6:H32),0)</f>
        <v>0</v>
      </c>
      <c r="G440" s="29"/>
      <c r="H440" s="29"/>
      <c r="I440" s="29"/>
      <c r="J440" s="30"/>
      <c r="K440" s="30"/>
      <c r="L440" s="29"/>
      <c r="N440" s="31" t="s">
        <v>345</v>
      </c>
    </row>
    <row r="441" spans="1:14">
      <c r="A441" s="26">
        <v>71</v>
      </c>
      <c r="B441" s="9" t="s">
        <v>75</v>
      </c>
      <c r="C441" s="31" t="s">
        <v>275</v>
      </c>
      <c r="D441" s="34">
        <v>0</v>
      </c>
      <c r="F441" s="29">
        <f>ROUND(SUMIF(Определители!I6:I32,"=:",'Базовые цены с учетом расхода'!N6:N32),0)</f>
        <v>0</v>
      </c>
      <c r="G441" s="29"/>
      <c r="H441" s="29"/>
      <c r="I441" s="29"/>
      <c r="J441" s="30"/>
      <c r="K441" s="30"/>
      <c r="L441" s="29"/>
      <c r="N441" s="31" t="s">
        <v>346</v>
      </c>
    </row>
    <row r="442" spans="1:14">
      <c r="A442" s="26">
        <v>72</v>
      </c>
      <c r="B442" s="9" t="s">
        <v>76</v>
      </c>
      <c r="C442" s="31" t="s">
        <v>275</v>
      </c>
      <c r="D442" s="34">
        <v>0</v>
      </c>
      <c r="F442" s="29">
        <f>ROUND(SUMIF(Определители!I6:I32,"=:",'Базовые цены с учетом расхода'!O6:O32),0)</f>
        <v>0</v>
      </c>
      <c r="G442" s="29"/>
      <c r="H442" s="29"/>
      <c r="I442" s="29"/>
      <c r="J442" s="30"/>
      <c r="K442" s="30"/>
      <c r="L442" s="29"/>
      <c r="N442" s="31" t="s">
        <v>347</v>
      </c>
    </row>
    <row r="443" spans="1:14">
      <c r="A443" s="26">
        <v>73</v>
      </c>
      <c r="B443" s="9" t="s">
        <v>101</v>
      </c>
      <c r="C443" s="31" t="s">
        <v>276</v>
      </c>
      <c r="D443" s="34">
        <v>0</v>
      </c>
      <c r="F443" s="29">
        <f>ROUND((F439+F441+F442),0)</f>
        <v>0</v>
      </c>
      <c r="G443" s="29"/>
      <c r="H443" s="29"/>
      <c r="I443" s="29"/>
      <c r="J443" s="30"/>
      <c r="K443" s="30"/>
      <c r="L443" s="29"/>
      <c r="N443" s="31" t="s">
        <v>348</v>
      </c>
    </row>
    <row r="444" spans="1:14">
      <c r="A444" s="26">
        <v>74</v>
      </c>
      <c r="B444" s="9" t="s">
        <v>102</v>
      </c>
      <c r="C444" s="31" t="s">
        <v>275</v>
      </c>
      <c r="D444" s="34">
        <v>0</v>
      </c>
      <c r="F444" s="29">
        <f>ROUND(SUMIF(Определители!I6:I32,"=8",'Базовые цены с учетом расхода'!B6:B32),0)</f>
        <v>0</v>
      </c>
      <c r="G444" s="29">
        <f>ROUND(SUMIF(Определители!I6:I32,"=8",'Базовые цены с учетом расхода'!C6:C32),0)</f>
        <v>0</v>
      </c>
      <c r="H444" s="29">
        <f>ROUND(SUMIF(Определители!I6:I32,"=8",'Базовые цены с учетом расхода'!D6:D32),0)</f>
        <v>0</v>
      </c>
      <c r="I444" s="29">
        <f>ROUND(SUMIF(Определители!I6:I32,"=8",'Базовые цены с учетом расхода'!E6:E32),0)</f>
        <v>0</v>
      </c>
      <c r="J444" s="30">
        <f>ROUND(SUMIF(Определители!I6:I32,"=8",'Базовые цены с учетом расхода'!I6:I32),8)</f>
        <v>0</v>
      </c>
      <c r="K444" s="30">
        <f>ROUND(SUMIF(Определители!I6:I32,"=8",'Базовые цены с учетом расхода'!K6:K32),8)</f>
        <v>0</v>
      </c>
      <c r="L444" s="29">
        <f>ROUND(SUMIF(Определители!I6:I32,"=8",'Базовые цены с учетом расхода'!F6:F32),0)</f>
        <v>0</v>
      </c>
      <c r="N444" s="31" t="s">
        <v>349</v>
      </c>
    </row>
    <row r="445" spans="1:14">
      <c r="A445" s="26">
        <v>75</v>
      </c>
      <c r="B445" s="9" t="s">
        <v>74</v>
      </c>
      <c r="C445" s="31" t="s">
        <v>275</v>
      </c>
      <c r="D445" s="34">
        <v>0</v>
      </c>
      <c r="F445" s="29">
        <f>ROUND(SUMIF(Определители!I6:I32,"=8",'Базовые цены с учетом расхода'!H6:H32),0)</f>
        <v>0</v>
      </c>
      <c r="G445" s="29"/>
      <c r="H445" s="29"/>
      <c r="I445" s="29"/>
      <c r="J445" s="30"/>
      <c r="K445" s="30"/>
      <c r="L445" s="29"/>
      <c r="N445" s="31" t="s">
        <v>350</v>
      </c>
    </row>
    <row r="446" spans="1:14">
      <c r="A446" s="26">
        <v>76</v>
      </c>
      <c r="B446" s="9" t="s">
        <v>158</v>
      </c>
      <c r="C446" s="31" t="s">
        <v>276</v>
      </c>
      <c r="D446" s="34">
        <v>0</v>
      </c>
      <c r="F446" s="29" t="e">
        <f ca="1">ROUND((F381+F391+F398+F403+F411+F416+F421+F428+F438+F443+F444+F434),0)</f>
        <v>#NAME?</v>
      </c>
      <c r="G446" s="29">
        <f>ROUND((G381+G391+G398+G403+G411+G416+G421+G428+G438+G443+G444+G434),0)</f>
        <v>0</v>
      </c>
      <c r="H446" s="29">
        <f>ROUND((H381+H391+H398+H403+H411+H416+H421+H428+H438+H443+H444+H434),0)</f>
        <v>0</v>
      </c>
      <c r="I446" s="29">
        <f>ROUND((I381+I391+I398+I403+I411+I416+I421+I428+I438+I443+I444+I434),0)</f>
        <v>0</v>
      </c>
      <c r="J446" s="30">
        <f>ROUND((J381+J391+J398+J403+J411+J416+J421+J428+J438+J443+J444+J434),8)</f>
        <v>0</v>
      </c>
      <c r="K446" s="30">
        <f>ROUND((K381+K391+K398+K403+K411+K416+K421+K428+K438+K443+K444+K434),8)</f>
        <v>0</v>
      </c>
      <c r="L446" s="29">
        <f>ROUND((L381+L391+L398+L403+L411+L416+L421+L428+L438+L443+L444+L434),0)</f>
        <v>0</v>
      </c>
      <c r="N446" s="31" t="s">
        <v>351</v>
      </c>
    </row>
    <row r="447" spans="1:14">
      <c r="A447" s="26">
        <v>77</v>
      </c>
      <c r="B447" s="9" t="s">
        <v>104</v>
      </c>
      <c r="C447" s="31" t="s">
        <v>276</v>
      </c>
      <c r="D447" s="34">
        <v>0</v>
      </c>
      <c r="F447" s="29">
        <f>ROUND((F387+F395+F400+F407+F413+F418+F425+F440+F445),0)</f>
        <v>0</v>
      </c>
      <c r="G447" s="29"/>
      <c r="H447" s="29"/>
      <c r="I447" s="29"/>
      <c r="J447" s="30"/>
      <c r="K447" s="30"/>
      <c r="L447" s="29"/>
      <c r="N447" s="31" t="s">
        <v>352</v>
      </c>
    </row>
    <row r="448" spans="1:14">
      <c r="A448" s="26">
        <v>78</v>
      </c>
      <c r="B448" s="9" t="s">
        <v>105</v>
      </c>
      <c r="C448" s="31" t="s">
        <v>276</v>
      </c>
      <c r="D448" s="34">
        <v>0</v>
      </c>
      <c r="F448" s="29">
        <f>ROUND((F388+F396+F401+F408+F414+F419+F426+F436+F441+F432),0)</f>
        <v>1311</v>
      </c>
      <c r="G448" s="29"/>
      <c r="H448" s="29"/>
      <c r="I448" s="29"/>
      <c r="J448" s="30"/>
      <c r="K448" s="30"/>
      <c r="L448" s="29"/>
      <c r="N448" s="31" t="s">
        <v>353</v>
      </c>
    </row>
    <row r="449" spans="1:14">
      <c r="A449" s="26">
        <v>79</v>
      </c>
      <c r="B449" s="9" t="s">
        <v>106</v>
      </c>
      <c r="C449" s="31" t="s">
        <v>276</v>
      </c>
      <c r="D449" s="34">
        <v>0</v>
      </c>
      <c r="F449" s="29">
        <f>ROUND((F389+F397+F402+F409+F415+F420+F427+F437+F442+F433),0)</f>
        <v>988</v>
      </c>
      <c r="G449" s="29"/>
      <c r="H449" s="29"/>
      <c r="I449" s="29"/>
      <c r="J449" s="30"/>
      <c r="K449" s="30"/>
      <c r="L449" s="29"/>
      <c r="N449" s="31" t="s">
        <v>354</v>
      </c>
    </row>
    <row r="450" spans="1:14">
      <c r="A450" s="26">
        <v>80</v>
      </c>
      <c r="B450" s="9" t="s">
        <v>33</v>
      </c>
      <c r="C450" s="31" t="s">
        <v>277</v>
      </c>
      <c r="D450" s="34">
        <v>0</v>
      </c>
      <c r="F450" s="29">
        <f>ROUND(SUM('Базовые цены с учетом расхода'!X6:X32),0)</f>
        <v>0</v>
      </c>
      <c r="G450" s="29"/>
      <c r="H450" s="29"/>
      <c r="I450" s="29"/>
      <c r="J450" s="30"/>
      <c r="K450" s="30"/>
      <c r="L450" s="29">
        <f>ROUND(SUM('Базовые цены с учетом расхода'!X6:X32),0)</f>
        <v>0</v>
      </c>
      <c r="N450" s="31" t="s">
        <v>355</v>
      </c>
    </row>
    <row r="451" spans="1:14">
      <c r="A451" s="26">
        <v>81</v>
      </c>
      <c r="B451" s="9" t="s">
        <v>107</v>
      </c>
      <c r="C451" s="31" t="s">
        <v>277</v>
      </c>
      <c r="D451" s="34">
        <v>0</v>
      </c>
      <c r="F451" s="29">
        <f>ROUND(SUM(G451:N451),0)</f>
        <v>0</v>
      </c>
      <c r="G451" s="29"/>
      <c r="H451" s="29"/>
      <c r="I451" s="29"/>
      <c r="J451" s="30"/>
      <c r="K451" s="30"/>
      <c r="L451" s="29">
        <f>ROUND(SUM('Базовые цены с учетом расхода'!AE6:AE32),0)</f>
        <v>0</v>
      </c>
      <c r="N451" s="31" t="s">
        <v>356</v>
      </c>
    </row>
    <row r="452" spans="1:14">
      <c r="A452" s="26">
        <v>82</v>
      </c>
      <c r="B452" s="9" t="s">
        <v>108</v>
      </c>
      <c r="C452" s="31" t="s">
        <v>277</v>
      </c>
      <c r="D452" s="34">
        <v>0</v>
      </c>
      <c r="F452" s="29">
        <f>ROUND(SUM('Базовые цены с учетом расхода'!C6:C32),0)</f>
        <v>1476</v>
      </c>
      <c r="G452" s="29"/>
      <c r="H452" s="29"/>
      <c r="I452" s="29"/>
      <c r="J452" s="30"/>
      <c r="K452" s="30"/>
      <c r="L452" s="29"/>
      <c r="N452" s="31" t="s">
        <v>357</v>
      </c>
    </row>
    <row r="453" spans="1:14">
      <c r="A453" s="26">
        <v>83</v>
      </c>
      <c r="B453" s="9" t="s">
        <v>109</v>
      </c>
      <c r="C453" s="31" t="s">
        <v>277</v>
      </c>
      <c r="D453" s="34">
        <v>0</v>
      </c>
      <c r="F453" s="29">
        <f>ROUND(SUM('Базовые цены с учетом расхода'!E6:E32),0)</f>
        <v>61</v>
      </c>
      <c r="G453" s="29"/>
      <c r="H453" s="29"/>
      <c r="I453" s="29"/>
      <c r="J453" s="30"/>
      <c r="K453" s="30"/>
      <c r="L453" s="29"/>
      <c r="N453" s="31" t="s">
        <v>358</v>
      </c>
    </row>
    <row r="454" spans="1:14">
      <c r="A454" s="26">
        <v>84</v>
      </c>
      <c r="B454" s="9" t="s">
        <v>110</v>
      </c>
      <c r="C454" s="31" t="s">
        <v>278</v>
      </c>
      <c r="D454" s="34">
        <v>0</v>
      </c>
      <c r="F454" s="29">
        <f>ROUND((F452+F453),0)</f>
        <v>1537</v>
      </c>
      <c r="G454" s="29"/>
      <c r="H454" s="29"/>
      <c r="I454" s="29"/>
      <c r="J454" s="30"/>
      <c r="K454" s="30"/>
      <c r="L454" s="29"/>
      <c r="N454" s="31" t="s">
        <v>359</v>
      </c>
    </row>
    <row r="455" spans="1:14">
      <c r="A455" s="26">
        <v>85</v>
      </c>
      <c r="B455" s="9" t="s">
        <v>111</v>
      </c>
      <c r="C455" s="31" t="s">
        <v>277</v>
      </c>
      <c r="D455" s="34">
        <v>0</v>
      </c>
      <c r="F455" s="29"/>
      <c r="G455" s="29"/>
      <c r="H455" s="29"/>
      <c r="I455" s="29"/>
      <c r="J455" s="30" t="e">
        <f ca="1">ROUND(SUM('Базовые цены с учетом расхода'!I6:I32),8)</f>
        <v>#NAME?</v>
      </c>
      <c r="K455" s="30"/>
      <c r="L455" s="29"/>
      <c r="N455" s="31" t="s">
        <v>360</v>
      </c>
    </row>
    <row r="456" spans="1:14">
      <c r="A456" s="26">
        <v>86</v>
      </c>
      <c r="B456" s="9" t="s">
        <v>112</v>
      </c>
      <c r="C456" s="31" t="s">
        <v>277</v>
      </c>
      <c r="D456" s="34">
        <v>0</v>
      </c>
      <c r="F456" s="29"/>
      <c r="G456" s="29"/>
      <c r="H456" s="29"/>
      <c r="I456" s="29"/>
      <c r="J456" s="30" t="e">
        <f ca="1">ROUND(SUM('Базовые цены с учетом расхода'!K6:K32),8)</f>
        <v>#NAME?</v>
      </c>
      <c r="K456" s="30"/>
      <c r="L456" s="29"/>
      <c r="N456" s="31" t="s">
        <v>361</v>
      </c>
    </row>
    <row r="457" spans="1:14">
      <c r="A457" s="26">
        <v>87</v>
      </c>
      <c r="B457" s="9" t="s">
        <v>113</v>
      </c>
      <c r="C457" s="31" t="s">
        <v>278</v>
      </c>
      <c r="D457" s="34">
        <v>0</v>
      </c>
      <c r="F457" s="29"/>
      <c r="G457" s="29"/>
      <c r="H457" s="29"/>
      <c r="I457" s="29"/>
      <c r="J457" s="30" t="e">
        <f ca="1">ROUND((J455+J456),8)</f>
        <v>#NAME?</v>
      </c>
      <c r="K457" s="30"/>
      <c r="L457" s="29"/>
      <c r="N457" s="31" t="s">
        <v>362</v>
      </c>
    </row>
  </sheetData>
  <mergeCells count="8">
    <mergeCell ref="B189:N190"/>
    <mergeCell ref="B280:N281"/>
    <mergeCell ref="A2:N2"/>
    <mergeCell ref="B3:N3"/>
    <mergeCell ref="B4:N4"/>
    <mergeCell ref="A5:N5"/>
    <mergeCell ref="B7:N8"/>
    <mergeCell ref="B98:N99"/>
  </mergeCells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2:N457"/>
  <sheetViews>
    <sheetView workbookViewId="0"/>
  </sheetViews>
  <sheetFormatPr defaultRowHeight="10.5"/>
  <cols>
    <col min="1" max="1" width="4.7109375" style="26" customWidth="1"/>
    <col min="2" max="2" width="44.42578125" style="9" customWidth="1"/>
    <col min="3" max="3" width="3.42578125" style="31" customWidth="1"/>
    <col min="4" max="4" width="6" style="34" customWidth="1"/>
    <col min="5" max="5" width="6" style="9" customWidth="1"/>
    <col min="6" max="9" width="10.7109375" style="34" customWidth="1"/>
    <col min="10" max="11" width="18.7109375" style="34" customWidth="1"/>
    <col min="12" max="12" width="10.7109375" style="34" customWidth="1"/>
    <col min="13" max="13" width="9.140625" style="34" customWidth="1"/>
    <col min="14" max="14" width="3.42578125" style="31" hidden="1" customWidth="1"/>
    <col min="15" max="16384" width="9.140625" style="34"/>
  </cols>
  <sheetData>
    <row r="2" spans="1:14">
      <c r="A2" s="60"/>
      <c r="B2" s="67"/>
      <c r="C2" s="67"/>
      <c r="D2" s="68"/>
      <c r="E2" s="67"/>
      <c r="F2" s="68"/>
      <c r="G2" s="68"/>
      <c r="H2" s="68"/>
      <c r="I2" s="68"/>
      <c r="J2" s="68"/>
      <c r="K2" s="68"/>
      <c r="L2" s="68"/>
      <c r="M2" s="68"/>
      <c r="N2" s="67"/>
    </row>
    <row r="3" spans="1:14">
      <c r="A3" s="28"/>
      <c r="B3" s="62" t="s">
        <v>197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1:14">
      <c r="A4" s="28"/>
      <c r="B4" s="62" t="s">
        <v>198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</row>
    <row r="5" spans="1:14">
      <c r="A5" s="60"/>
      <c r="B5" s="67"/>
      <c r="C5" s="67"/>
      <c r="D5" s="68"/>
      <c r="E5" s="67"/>
      <c r="F5" s="68"/>
      <c r="G5" s="68"/>
      <c r="H5" s="68"/>
      <c r="I5" s="68"/>
      <c r="J5" s="68"/>
      <c r="K5" s="68"/>
      <c r="L5" s="68"/>
      <c r="M5" s="68"/>
      <c r="N5" s="67"/>
    </row>
    <row r="7" spans="1:14">
      <c r="B7" s="49" t="s">
        <v>26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8" spans="1:14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</row>
    <row r="9" spans="1:14" s="27" customFormat="1">
      <c r="A9" s="7"/>
      <c r="B9" s="27" t="s">
        <v>262</v>
      </c>
      <c r="C9" s="27" t="s">
        <v>263</v>
      </c>
      <c r="D9" s="35" t="s">
        <v>264</v>
      </c>
      <c r="E9" s="27" t="s">
        <v>265</v>
      </c>
      <c r="F9" s="27" t="s">
        <v>266</v>
      </c>
      <c r="G9" s="27" t="s">
        <v>267</v>
      </c>
      <c r="H9" s="27" t="s">
        <v>268</v>
      </c>
      <c r="I9" s="27" t="s">
        <v>269</v>
      </c>
      <c r="J9" s="27" t="s">
        <v>270</v>
      </c>
      <c r="K9" s="27" t="s">
        <v>271</v>
      </c>
      <c r="L9" s="27" t="s">
        <v>272</v>
      </c>
      <c r="M9" s="27" t="s">
        <v>273</v>
      </c>
    </row>
    <row r="10" spans="1:14">
      <c r="A10" s="26">
        <v>1</v>
      </c>
      <c r="B10" s="9" t="s">
        <v>153</v>
      </c>
      <c r="C10" s="31" t="s">
        <v>274</v>
      </c>
      <c r="D10" s="34">
        <v>0</v>
      </c>
      <c r="E10" s="34"/>
      <c r="F10" s="29">
        <f>ROUND(SUM('Текущие цены с учетом расхода'!B9:B11),0)</f>
        <v>35036</v>
      </c>
      <c r="G10" s="29">
        <f>ROUND(SUM('Текущие цены с учетом расхода'!C9:C11),0)</f>
        <v>7556</v>
      </c>
      <c r="H10" s="29">
        <f>ROUND(SUM('Текущие цены с учетом расхода'!D9:D11),0)</f>
        <v>296</v>
      </c>
      <c r="I10" s="29">
        <f>ROUND(SUM('Текущие цены с учетом расхода'!E9:E11),0)</f>
        <v>75</v>
      </c>
      <c r="J10" s="30" t="e">
        <f ca="1">ROUND(SUM('Текущие цены с учетом расхода'!I9:I11),8)</f>
        <v>#NAME?</v>
      </c>
      <c r="K10" s="30" t="e">
        <f ca="1">ROUND(SUM('Текущие цены с учетом расхода'!K9:K11),8)</f>
        <v>#NAME?</v>
      </c>
      <c r="L10" s="29">
        <f>ROUND(SUM('Текущие цены с учетом расхода'!F9:F11),0)</f>
        <v>27184</v>
      </c>
      <c r="N10" s="34"/>
    </row>
    <row r="11" spans="1:14">
      <c r="A11" s="26">
        <v>2</v>
      </c>
      <c r="B11" s="9" t="s">
        <v>59</v>
      </c>
      <c r="C11" s="31" t="s">
        <v>275</v>
      </c>
      <c r="D11" s="34">
        <v>0</v>
      </c>
      <c r="F11" s="29">
        <f>ROUND(SUMIF(Определители!I9:I11,"= ",'Текущие цены с учетом расхода'!B9:B11),0)</f>
        <v>0</v>
      </c>
      <c r="G11" s="29">
        <f>ROUND(SUMIF(Определители!I9:I11,"= ",'Текущие цены с учетом расхода'!C9:C11),0)</f>
        <v>0</v>
      </c>
      <c r="H11" s="29">
        <f>ROUND(SUMIF(Определители!I9:I11,"= ",'Текущие цены с учетом расхода'!D9:D11),0)</f>
        <v>0</v>
      </c>
      <c r="I11" s="29">
        <f>ROUND(SUMIF(Определители!I9:I11,"= ",'Текущие цены с учетом расхода'!E9:E11),0)</f>
        <v>0</v>
      </c>
      <c r="J11" s="30">
        <f>ROUND(SUMIF(Определители!I9:I11,"= ",'Текущие цены с учетом расхода'!I9:I11),8)</f>
        <v>0</v>
      </c>
      <c r="K11" s="30">
        <f>ROUND(SUMIF(Определители!I9:I11,"= ",'Текущие цены с учетом расхода'!K9:K11),8)</f>
        <v>0</v>
      </c>
      <c r="L11" s="29">
        <f>ROUND(SUMIF(Определители!I9:I11,"= ",'Текущие цены с учетом расхода'!F9:F11),0)</f>
        <v>0</v>
      </c>
    </row>
    <row r="12" spans="1:14">
      <c r="A12" s="26">
        <v>3</v>
      </c>
      <c r="B12" s="9" t="s">
        <v>60</v>
      </c>
      <c r="C12" s="31" t="s">
        <v>275</v>
      </c>
      <c r="D12" s="34">
        <v>0</v>
      </c>
      <c r="F12" s="29" t="e">
        <f ca="1">ROUND(СУММПРОИЗВЕСЛИ(0.01,Определители!I9:I11," ",'Текущие цены с учетом расхода'!B9:B11,Начисления!X9:X11,0),0)</f>
        <v>#NAME?</v>
      </c>
      <c r="G12" s="29"/>
      <c r="H12" s="29"/>
      <c r="I12" s="29"/>
      <c r="J12" s="30"/>
      <c r="K12" s="30"/>
      <c r="L12" s="29"/>
    </row>
    <row r="13" spans="1:14">
      <c r="A13" s="26">
        <v>4</v>
      </c>
      <c r="B13" s="9" t="s">
        <v>61</v>
      </c>
      <c r="C13" s="31" t="s">
        <v>275</v>
      </c>
      <c r="D13" s="34">
        <v>0</v>
      </c>
      <c r="F13" s="29" t="e">
        <f ca="1">ROUND(СУММПРОИЗВЕСЛИ(0.01,Определители!I9:I11," ",'Текущие цены с учетом расхода'!B9:B11,Начисления!Y9:Y11,0),0)</f>
        <v>#NAME?</v>
      </c>
      <c r="G13" s="29"/>
      <c r="H13" s="29"/>
      <c r="I13" s="29"/>
      <c r="J13" s="30"/>
      <c r="K13" s="30"/>
      <c r="L13" s="29"/>
    </row>
    <row r="14" spans="1:14">
      <c r="A14" s="26">
        <v>5</v>
      </c>
      <c r="B14" s="9" t="s">
        <v>62</v>
      </c>
      <c r="C14" s="31" t="s">
        <v>275</v>
      </c>
      <c r="D14" s="34">
        <v>0</v>
      </c>
      <c r="F14" s="29" t="e">
        <f ca="1">ROUND(ТРАНСПРАСХОД(Определители!B9:B11,Определители!H9:H11,Определители!I9:I11,'Текущие цены с учетом расхода'!B9:B11,Начисления!Z9:Z11,Начисления!AA9:AA11),0)</f>
        <v>#NAME?</v>
      </c>
      <c r="G14" s="29"/>
      <c r="H14" s="29"/>
      <c r="I14" s="29"/>
      <c r="J14" s="30"/>
      <c r="K14" s="30"/>
      <c r="L14" s="29"/>
    </row>
    <row r="15" spans="1:14">
      <c r="A15" s="26">
        <v>6</v>
      </c>
      <c r="B15" s="9" t="s">
        <v>63</v>
      </c>
      <c r="C15" s="31" t="s">
        <v>275</v>
      </c>
      <c r="D15" s="34">
        <v>0</v>
      </c>
      <c r="F15" s="29" t="e">
        <f ca="1">ROUND(СУММПРОИЗВЕСЛИ(0.01,Определители!I9:I11," ",'Текущие цены с учетом расхода'!B9:B11,Начисления!AC9:AC11,0),0)</f>
        <v>#NAME?</v>
      </c>
      <c r="G15" s="29"/>
      <c r="H15" s="29"/>
      <c r="I15" s="29"/>
      <c r="J15" s="30"/>
      <c r="K15" s="30"/>
      <c r="L15" s="29"/>
    </row>
    <row r="16" spans="1:14">
      <c r="A16" s="26">
        <v>7</v>
      </c>
      <c r="B16" s="9" t="s">
        <v>64</v>
      </c>
      <c r="C16" s="31" t="s">
        <v>275</v>
      </c>
      <c r="D16" s="34">
        <v>0</v>
      </c>
      <c r="F16" s="29" t="e">
        <f ca="1">ROUND(СУММПРОИЗВЕСЛИ(0.01,Определители!I9:I11," ",'Текущие цены с учетом расхода'!B9:B11,Начисления!AF9:AF11,0),0)</f>
        <v>#NAME?</v>
      </c>
      <c r="G16" s="29"/>
      <c r="H16" s="29"/>
      <c r="I16" s="29"/>
      <c r="J16" s="30"/>
      <c r="K16" s="30"/>
      <c r="L16" s="29"/>
    </row>
    <row r="17" spans="1:12">
      <c r="A17" s="26">
        <v>8</v>
      </c>
      <c r="B17" s="9" t="s">
        <v>65</v>
      </c>
      <c r="C17" s="31" t="s">
        <v>275</v>
      </c>
      <c r="D17" s="34">
        <v>0</v>
      </c>
      <c r="F17" s="29" t="e">
        <f ca="1">ROUND(ЗАГОТСКЛАДРАСХОД(Определители!B9:B11,Определители!H9:H11,Определители!I9:I11,'Текущие цены с учетом расхода'!B9:B11,Начисления!X9:X11,Начисления!Y9:Y11,Начисления!Z9:Z11,Начисления!AA9:AA11,Начисления!AB9:AB11,Начисления!AC9:AC11,Начисления!AF9:AF11),0)</f>
        <v>#NAME?</v>
      </c>
      <c r="G17" s="29"/>
      <c r="H17" s="29"/>
      <c r="I17" s="29"/>
      <c r="J17" s="30"/>
      <c r="K17" s="30"/>
      <c r="L17" s="29"/>
    </row>
    <row r="18" spans="1:12">
      <c r="A18" s="26">
        <v>9</v>
      </c>
      <c r="B18" s="9" t="s">
        <v>66</v>
      </c>
      <c r="C18" s="31" t="s">
        <v>275</v>
      </c>
      <c r="D18" s="34">
        <v>0</v>
      </c>
      <c r="F18" s="29" t="e">
        <f ca="1">ROUND(СУММПРОИЗВЕСЛИ(1,Определители!I9:I11," ",'Текущие цены с учетом расхода'!M9:M11,Начисления!I9:I11,0),0)</f>
        <v>#NAME?</v>
      </c>
      <c r="G18" s="29"/>
      <c r="H18" s="29"/>
      <c r="I18" s="29"/>
      <c r="J18" s="30"/>
      <c r="K18" s="30"/>
      <c r="L18" s="29"/>
    </row>
    <row r="19" spans="1:12">
      <c r="A19" s="26">
        <v>10</v>
      </c>
      <c r="B19" s="9" t="s">
        <v>67</v>
      </c>
      <c r="C19" s="31" t="s">
        <v>276</v>
      </c>
      <c r="D19" s="34">
        <v>0</v>
      </c>
      <c r="F19" s="29" t="e">
        <f ca="1">ROUND((F18+F29+F49),0)</f>
        <v>#NAME?</v>
      </c>
      <c r="G19" s="29"/>
      <c r="H19" s="29"/>
      <c r="I19" s="29"/>
      <c r="J19" s="30"/>
      <c r="K19" s="30"/>
      <c r="L19" s="29"/>
    </row>
    <row r="20" spans="1:12">
      <c r="A20" s="26">
        <v>11</v>
      </c>
      <c r="B20" s="9" t="s">
        <v>68</v>
      </c>
      <c r="C20" s="31" t="s">
        <v>276</v>
      </c>
      <c r="D20" s="34">
        <v>0</v>
      </c>
      <c r="F20" s="29" t="e">
        <f ca="1">ROUND((F11+F12+F13+F14+F15+F16+F17+F19),0)</f>
        <v>#NAME?</v>
      </c>
      <c r="G20" s="29"/>
      <c r="H20" s="29"/>
      <c r="I20" s="29"/>
      <c r="J20" s="30"/>
      <c r="K20" s="30"/>
      <c r="L20" s="29"/>
    </row>
    <row r="21" spans="1:12">
      <c r="A21" s="26">
        <v>12</v>
      </c>
      <c r="B21" s="9" t="s">
        <v>69</v>
      </c>
      <c r="C21" s="31" t="s">
        <v>275</v>
      </c>
      <c r="D21" s="34">
        <v>0</v>
      </c>
      <c r="F21" s="29">
        <f>ROUND(SUMIF(Определители!I9:I11,"=1",'Текущие цены с учетом расхода'!B9:B11),0)</f>
        <v>0</v>
      </c>
      <c r="G21" s="29">
        <f>ROUND(SUMIF(Определители!I9:I11,"=1",'Текущие цены с учетом расхода'!C9:C11),0)</f>
        <v>0</v>
      </c>
      <c r="H21" s="29">
        <f>ROUND(SUMIF(Определители!I9:I11,"=1",'Текущие цены с учетом расхода'!D9:D11),0)</f>
        <v>0</v>
      </c>
      <c r="I21" s="29">
        <f>ROUND(SUMIF(Определители!I9:I11,"=1",'Текущие цены с учетом расхода'!E9:E11),0)</f>
        <v>0</v>
      </c>
      <c r="J21" s="30">
        <f>ROUND(SUMIF(Определители!I9:I11,"=1",'Текущие цены с учетом расхода'!I9:I11),8)</f>
        <v>0</v>
      </c>
      <c r="K21" s="30">
        <f>ROUND(SUMIF(Определители!I9:I11,"=1",'Текущие цены с учетом расхода'!K9:K11),8)</f>
        <v>0</v>
      </c>
      <c r="L21" s="29">
        <f>ROUND(SUMIF(Определители!I9:I11,"=1",'Текущие цены с учетом расхода'!F9:F11),0)</f>
        <v>0</v>
      </c>
    </row>
    <row r="22" spans="1:12">
      <c r="A22" s="26">
        <v>13</v>
      </c>
      <c r="B22" s="9" t="s">
        <v>70</v>
      </c>
      <c r="C22" s="31" t="s">
        <v>275</v>
      </c>
      <c r="D22" s="34">
        <v>0</v>
      </c>
      <c r="F22" s="29"/>
      <c r="G22" s="29"/>
      <c r="H22" s="29"/>
      <c r="I22" s="29"/>
      <c r="J22" s="30"/>
      <c r="K22" s="30"/>
      <c r="L22" s="29"/>
    </row>
    <row r="23" spans="1:12">
      <c r="A23" s="26">
        <v>14</v>
      </c>
      <c r="B23" s="9" t="s">
        <v>71</v>
      </c>
      <c r="C23" s="31" t="s">
        <v>275</v>
      </c>
      <c r="D23" s="34">
        <v>0</v>
      </c>
      <c r="F23" s="29"/>
      <c r="G23" s="29">
        <f>ROUND(SUMIF(Определители!I9:I11,"=1",'Текущие цены с учетом расхода'!T9:T11),0)</f>
        <v>0</v>
      </c>
      <c r="H23" s="29"/>
      <c r="I23" s="29"/>
      <c r="J23" s="30"/>
      <c r="K23" s="30"/>
      <c r="L23" s="29"/>
    </row>
    <row r="24" spans="1:12">
      <c r="A24" s="26">
        <v>15</v>
      </c>
      <c r="B24" s="9" t="s">
        <v>72</v>
      </c>
      <c r="C24" s="31" t="s">
        <v>275</v>
      </c>
      <c r="D24" s="34">
        <v>0</v>
      </c>
      <c r="F24" s="29">
        <f>ROUND(SUMIF(Определители!I9:I11,"=1",'Текущие цены с учетом расхода'!U9:U11),0)</f>
        <v>0</v>
      </c>
      <c r="G24" s="29"/>
      <c r="H24" s="29"/>
      <c r="I24" s="29"/>
      <c r="J24" s="30"/>
      <c r="K24" s="30"/>
      <c r="L24" s="29"/>
    </row>
    <row r="25" spans="1:12">
      <c r="A25" s="26">
        <v>16</v>
      </c>
      <c r="B25" s="9" t="s">
        <v>73</v>
      </c>
      <c r="C25" s="31" t="s">
        <v>275</v>
      </c>
      <c r="D25" s="34">
        <v>0</v>
      </c>
      <c r="F25" s="29" t="e">
        <f ca="1">ROUND(СУММЕСЛИ2(Определители!I9:I11,"1",Определители!G9:G11,"1",'Текущие цены с учетом расхода'!B9:B11),0)</f>
        <v>#NAME?</v>
      </c>
      <c r="G25" s="29"/>
      <c r="H25" s="29"/>
      <c r="I25" s="29"/>
      <c r="J25" s="30"/>
      <c r="K25" s="30"/>
      <c r="L25" s="29"/>
    </row>
    <row r="26" spans="1:12">
      <c r="A26" s="26">
        <v>17</v>
      </c>
      <c r="B26" s="9" t="s">
        <v>74</v>
      </c>
      <c r="C26" s="31" t="s">
        <v>275</v>
      </c>
      <c r="D26" s="34">
        <v>0</v>
      </c>
      <c r="F26" s="29">
        <f>ROUND(SUMIF(Определители!I9:I11,"=1",'Текущие цены с учетом расхода'!H9:H11),0)</f>
        <v>0</v>
      </c>
      <c r="G26" s="29"/>
      <c r="H26" s="29"/>
      <c r="I26" s="29"/>
      <c r="J26" s="30"/>
      <c r="K26" s="30"/>
      <c r="L26" s="29"/>
    </row>
    <row r="27" spans="1:12">
      <c r="A27" s="26">
        <v>18</v>
      </c>
      <c r="B27" s="9" t="s">
        <v>75</v>
      </c>
      <c r="C27" s="31" t="s">
        <v>275</v>
      </c>
      <c r="D27" s="34">
        <v>0</v>
      </c>
      <c r="F27" s="29">
        <f>ROUND(SUMIF(Определители!I9:I11,"=1",'Текущие цены с учетом расхода'!N9:N11),0)</f>
        <v>0</v>
      </c>
      <c r="G27" s="29"/>
      <c r="H27" s="29"/>
      <c r="I27" s="29"/>
      <c r="J27" s="30"/>
      <c r="K27" s="30"/>
      <c r="L27" s="29"/>
    </row>
    <row r="28" spans="1:12">
      <c r="A28" s="26">
        <v>19</v>
      </c>
      <c r="B28" s="9" t="s">
        <v>76</v>
      </c>
      <c r="C28" s="31" t="s">
        <v>275</v>
      </c>
      <c r="D28" s="34">
        <v>0</v>
      </c>
      <c r="F28" s="29">
        <f>ROUND(SUMIF(Определители!I9:I11,"=1",'Текущие цены с учетом расхода'!O9:O11),0)</f>
        <v>0</v>
      </c>
      <c r="G28" s="29"/>
      <c r="H28" s="29"/>
      <c r="I28" s="29"/>
      <c r="J28" s="30"/>
      <c r="K28" s="30"/>
      <c r="L28" s="29"/>
    </row>
    <row r="29" spans="1:12">
      <c r="A29" s="26">
        <v>20</v>
      </c>
      <c r="B29" s="9" t="s">
        <v>67</v>
      </c>
      <c r="C29" s="31" t="s">
        <v>275</v>
      </c>
      <c r="D29" s="34">
        <v>0</v>
      </c>
      <c r="F29" s="29" t="e">
        <f ca="1">ROUND(СУММПРОИЗВЕСЛИ(1,Определители!I9:I11," ",'Текущие цены с учетом расхода'!M9:M11,Начисления!I9:I11,0),0)</f>
        <v>#NAME?</v>
      </c>
      <c r="G29" s="29"/>
      <c r="H29" s="29"/>
      <c r="I29" s="29"/>
      <c r="J29" s="30"/>
      <c r="K29" s="30"/>
      <c r="L29" s="29"/>
    </row>
    <row r="30" spans="1:12">
      <c r="A30" s="26">
        <v>21</v>
      </c>
      <c r="B30" s="9" t="s">
        <v>77</v>
      </c>
      <c r="C30" s="31" t="s">
        <v>276</v>
      </c>
      <c r="D30" s="34">
        <v>0</v>
      </c>
      <c r="F30" s="29">
        <f>ROUND((F21+F27+F28),0)</f>
        <v>0</v>
      </c>
      <c r="G30" s="29"/>
      <c r="H30" s="29"/>
      <c r="I30" s="29"/>
      <c r="J30" s="30"/>
      <c r="K30" s="30"/>
      <c r="L30" s="29"/>
    </row>
    <row r="31" spans="1:12">
      <c r="A31" s="26">
        <v>22</v>
      </c>
      <c r="B31" s="9" t="s">
        <v>78</v>
      </c>
      <c r="C31" s="31" t="s">
        <v>275</v>
      </c>
      <c r="D31" s="34">
        <v>0</v>
      </c>
      <c r="F31" s="29">
        <f>ROUND(SUMIF(Определители!I9:I11,"=2",'Текущие цены с учетом расхода'!B9:B11),0)</f>
        <v>35036</v>
      </c>
      <c r="G31" s="29">
        <f>ROUND(SUMIF(Определители!I9:I11,"=2",'Текущие цены с учетом расхода'!C9:C11),0)</f>
        <v>7556</v>
      </c>
      <c r="H31" s="29">
        <f>ROUND(SUMIF(Определители!I9:I11,"=2",'Текущие цены с учетом расхода'!D9:D11),0)</f>
        <v>296</v>
      </c>
      <c r="I31" s="29">
        <f>ROUND(SUMIF(Определители!I9:I11,"=2",'Текущие цены с учетом расхода'!E9:E11),0)</f>
        <v>75</v>
      </c>
      <c r="J31" s="30" t="e">
        <f ca="1">ROUND(SUMIF(Определители!I9:I11,"=2",'Текущие цены с учетом расхода'!I9:I11),8)</f>
        <v>#NAME?</v>
      </c>
      <c r="K31" s="30" t="e">
        <f ca="1">ROUND(SUMIF(Определители!I9:I11,"=2",'Текущие цены с учетом расхода'!K9:K11),8)</f>
        <v>#NAME?</v>
      </c>
      <c r="L31" s="29">
        <f>ROUND(SUMIF(Определители!I9:I11,"=2",'Текущие цены с учетом расхода'!F9:F11),0)</f>
        <v>27184</v>
      </c>
    </row>
    <row r="32" spans="1:12">
      <c r="A32" s="26">
        <v>23</v>
      </c>
      <c r="B32" s="9" t="s">
        <v>70</v>
      </c>
      <c r="C32" s="31" t="s">
        <v>275</v>
      </c>
      <c r="D32" s="34">
        <v>0</v>
      </c>
      <c r="F32" s="29"/>
      <c r="G32" s="29"/>
      <c r="H32" s="29"/>
      <c r="I32" s="29"/>
      <c r="J32" s="30"/>
      <c r="K32" s="30"/>
      <c r="L32" s="29"/>
    </row>
    <row r="33" spans="1:12">
      <c r="A33" s="26">
        <v>24</v>
      </c>
      <c r="B33" s="9" t="s">
        <v>79</v>
      </c>
      <c r="C33" s="31" t="s">
        <v>275</v>
      </c>
      <c r="D33" s="34">
        <v>0</v>
      </c>
      <c r="F33" s="29" t="e">
        <f ca="1">ROUND(СУММЕСЛИ2(Определители!I9:I11,"2",Определители!G9:G11,"1",'Текущие цены с учетом расхода'!B9:B11),0)</f>
        <v>#NAME?</v>
      </c>
      <c r="G33" s="29"/>
      <c r="H33" s="29"/>
      <c r="I33" s="29"/>
      <c r="J33" s="30"/>
      <c r="K33" s="30"/>
      <c r="L33" s="29"/>
    </row>
    <row r="34" spans="1:12">
      <c r="A34" s="26">
        <v>25</v>
      </c>
      <c r="B34" s="9" t="s">
        <v>74</v>
      </c>
      <c r="C34" s="31" t="s">
        <v>275</v>
      </c>
      <c r="D34" s="34">
        <v>0</v>
      </c>
      <c r="F34" s="29">
        <f>ROUND(SUMIF(Определители!I9:I11,"=2",'Текущие цены с учетом расхода'!H9:H11),0)</f>
        <v>0</v>
      </c>
      <c r="G34" s="29"/>
      <c r="H34" s="29"/>
      <c r="I34" s="29"/>
      <c r="J34" s="30"/>
      <c r="K34" s="30"/>
      <c r="L34" s="29"/>
    </row>
    <row r="35" spans="1:12">
      <c r="A35" s="26">
        <v>26</v>
      </c>
      <c r="B35" s="9" t="s">
        <v>75</v>
      </c>
      <c r="C35" s="31" t="s">
        <v>275</v>
      </c>
      <c r="D35" s="34">
        <v>0</v>
      </c>
      <c r="F35" s="29">
        <f>ROUND(SUMIF(Определители!I9:I11,"=2",'Текущие цены с учетом расхода'!N9:N11),0)</f>
        <v>6559</v>
      </c>
      <c r="G35" s="29"/>
      <c r="H35" s="29"/>
      <c r="I35" s="29"/>
      <c r="J35" s="30"/>
      <c r="K35" s="30"/>
      <c r="L35" s="29"/>
    </row>
    <row r="36" spans="1:12">
      <c r="A36" s="26">
        <v>27</v>
      </c>
      <c r="B36" s="9" t="s">
        <v>76</v>
      </c>
      <c r="C36" s="31" t="s">
        <v>275</v>
      </c>
      <c r="D36" s="34">
        <v>0</v>
      </c>
      <c r="F36" s="29">
        <f>ROUND(SUMIF(Определители!I9:I11,"=2",'Текущие цены с учетом расхода'!O9:O11),0)</f>
        <v>4854</v>
      </c>
      <c r="G36" s="29"/>
      <c r="H36" s="29"/>
      <c r="I36" s="29"/>
      <c r="J36" s="30"/>
      <c r="K36" s="30"/>
      <c r="L36" s="29"/>
    </row>
    <row r="37" spans="1:12">
      <c r="A37" s="26">
        <v>28</v>
      </c>
      <c r="B37" s="9" t="s">
        <v>82</v>
      </c>
      <c r="C37" s="31" t="s">
        <v>276</v>
      </c>
      <c r="D37" s="34">
        <v>0</v>
      </c>
      <c r="F37" s="29">
        <f>ROUND((F31+F35+F36),0)</f>
        <v>46449</v>
      </c>
      <c r="G37" s="29"/>
      <c r="H37" s="29"/>
      <c r="I37" s="29"/>
      <c r="J37" s="30"/>
      <c r="K37" s="30"/>
      <c r="L37" s="29"/>
    </row>
    <row r="38" spans="1:12">
      <c r="A38" s="26">
        <v>29</v>
      </c>
      <c r="B38" s="9" t="s">
        <v>83</v>
      </c>
      <c r="C38" s="31" t="s">
        <v>275</v>
      </c>
      <c r="D38" s="34">
        <v>0</v>
      </c>
      <c r="F38" s="29">
        <f>ROUND(SUMIF(Определители!I9:I11,"=3",'Текущие цены с учетом расхода'!B9:B11),0)</f>
        <v>0</v>
      </c>
      <c r="G38" s="29">
        <f>ROUND(SUMIF(Определители!I9:I11,"=3",'Текущие цены с учетом расхода'!C9:C11),0)</f>
        <v>0</v>
      </c>
      <c r="H38" s="29">
        <f>ROUND(SUMIF(Определители!I9:I11,"=3",'Текущие цены с учетом расхода'!D9:D11),0)</f>
        <v>0</v>
      </c>
      <c r="I38" s="29">
        <f>ROUND(SUMIF(Определители!I9:I11,"=3",'Текущие цены с учетом расхода'!E9:E11),0)</f>
        <v>0</v>
      </c>
      <c r="J38" s="30">
        <f>ROUND(SUMIF(Определители!I9:I11,"=3",'Текущие цены с учетом расхода'!I9:I11),8)</f>
        <v>0</v>
      </c>
      <c r="K38" s="30">
        <f>ROUND(SUMIF(Определители!I9:I11,"=3",'Текущие цены с учетом расхода'!K9:K11),8)</f>
        <v>0</v>
      </c>
      <c r="L38" s="29">
        <f>ROUND(SUMIF(Определители!I9:I11,"=3",'Текущие цены с учетом расхода'!F9:F11),0)</f>
        <v>0</v>
      </c>
    </row>
    <row r="39" spans="1:12">
      <c r="A39" s="26">
        <v>30</v>
      </c>
      <c r="B39" s="9" t="s">
        <v>74</v>
      </c>
      <c r="C39" s="31" t="s">
        <v>275</v>
      </c>
      <c r="D39" s="34">
        <v>0</v>
      </c>
      <c r="F39" s="29">
        <f>ROUND(SUMIF(Определители!I9:I11,"=3",'Текущие цены с учетом расхода'!H9:H11),0)</f>
        <v>0</v>
      </c>
      <c r="G39" s="29"/>
      <c r="H39" s="29"/>
      <c r="I39" s="29"/>
      <c r="J39" s="30"/>
      <c r="K39" s="30"/>
      <c r="L39" s="29"/>
    </row>
    <row r="40" spans="1:12">
      <c r="A40" s="26">
        <v>31</v>
      </c>
      <c r="B40" s="9" t="s">
        <v>75</v>
      </c>
      <c r="C40" s="31" t="s">
        <v>275</v>
      </c>
      <c r="D40" s="34">
        <v>0</v>
      </c>
      <c r="F40" s="29">
        <f>ROUND(SUMIF(Определители!I9:I11,"=3",'Текущие цены с учетом расхода'!N9:N11),0)</f>
        <v>0</v>
      </c>
      <c r="G40" s="29"/>
      <c r="H40" s="29"/>
      <c r="I40" s="29"/>
      <c r="J40" s="30"/>
      <c r="K40" s="30"/>
      <c r="L40" s="29"/>
    </row>
    <row r="41" spans="1:12">
      <c r="A41" s="26">
        <v>32</v>
      </c>
      <c r="B41" s="9" t="s">
        <v>76</v>
      </c>
      <c r="C41" s="31" t="s">
        <v>275</v>
      </c>
      <c r="D41" s="34">
        <v>0</v>
      </c>
      <c r="F41" s="29">
        <f>ROUND(SUMIF(Определители!I9:I11,"=3",'Текущие цены с учетом расхода'!O9:O11),0)</f>
        <v>0</v>
      </c>
      <c r="G41" s="29"/>
      <c r="H41" s="29"/>
      <c r="I41" s="29"/>
      <c r="J41" s="30"/>
      <c r="K41" s="30"/>
      <c r="L41" s="29"/>
    </row>
    <row r="42" spans="1:12">
      <c r="A42" s="26">
        <v>33</v>
      </c>
      <c r="B42" s="9" t="s">
        <v>84</v>
      </c>
      <c r="C42" s="31" t="s">
        <v>276</v>
      </c>
      <c r="D42" s="34">
        <v>0</v>
      </c>
      <c r="F42" s="29">
        <f>ROUND((F38+F40+F41),0)</f>
        <v>0</v>
      </c>
      <c r="G42" s="29"/>
      <c r="H42" s="29"/>
      <c r="I42" s="29"/>
      <c r="J42" s="30"/>
      <c r="K42" s="30"/>
      <c r="L42" s="29"/>
    </row>
    <row r="43" spans="1:12">
      <c r="A43" s="26">
        <v>34</v>
      </c>
      <c r="B43" s="9" t="s">
        <v>85</v>
      </c>
      <c r="C43" s="31" t="s">
        <v>275</v>
      </c>
      <c r="D43" s="34">
        <v>0</v>
      </c>
      <c r="F43" s="29">
        <f>ROUND(SUMIF(Определители!I9:I11,"=4",'Текущие цены с учетом расхода'!B9:B11),0)</f>
        <v>0</v>
      </c>
      <c r="G43" s="29">
        <f>ROUND(SUMIF(Определители!I9:I11,"=4",'Текущие цены с учетом расхода'!C9:C11),0)</f>
        <v>0</v>
      </c>
      <c r="H43" s="29">
        <f>ROUND(SUMIF(Определители!I9:I11,"=4",'Текущие цены с учетом расхода'!D9:D11),0)</f>
        <v>0</v>
      </c>
      <c r="I43" s="29">
        <f>ROUND(SUMIF(Определители!I9:I11,"=4",'Текущие цены с учетом расхода'!E9:E11),0)</f>
        <v>0</v>
      </c>
      <c r="J43" s="30">
        <f>ROUND(SUMIF(Определители!I9:I11,"=4",'Текущие цены с учетом расхода'!I9:I11),8)</f>
        <v>0</v>
      </c>
      <c r="K43" s="30">
        <f>ROUND(SUMIF(Определители!I9:I11,"=4",'Текущие цены с учетом расхода'!K9:K11),8)</f>
        <v>0</v>
      </c>
      <c r="L43" s="29">
        <f>ROUND(SUMIF(Определители!I9:I11,"=4",'Текущие цены с учетом расхода'!F9:F11),0)</f>
        <v>0</v>
      </c>
    </row>
    <row r="44" spans="1:12">
      <c r="A44" s="26">
        <v>35</v>
      </c>
      <c r="B44" s="9" t="s">
        <v>70</v>
      </c>
      <c r="C44" s="31" t="s">
        <v>275</v>
      </c>
      <c r="D44" s="34">
        <v>0</v>
      </c>
      <c r="F44" s="29"/>
      <c r="G44" s="29"/>
      <c r="H44" s="29"/>
      <c r="I44" s="29"/>
      <c r="J44" s="30"/>
      <c r="K44" s="30"/>
      <c r="L44" s="29"/>
    </row>
    <row r="45" spans="1:12">
      <c r="A45" s="26">
        <v>36</v>
      </c>
      <c r="B45" s="9" t="s">
        <v>86</v>
      </c>
      <c r="C45" s="31" t="s">
        <v>275</v>
      </c>
      <c r="D45" s="34">
        <v>0</v>
      </c>
      <c r="F45" s="29">
        <f>ROUND(SUMIF(Определители!I9:I11,"=4",'Текущие цены с учетом расхода'!AJ9:AJ11),0)</f>
        <v>0</v>
      </c>
      <c r="G45" s="29">
        <f>ROUND(SUMIF(Определители!I9:I11,"=4",'Текущие цены с учетом расхода'!AI9:AI11),0)</f>
        <v>0</v>
      </c>
      <c r="H45" s="29">
        <f>ROUND(SUMIF(Определители!I9:I11,"=4",'Текущие цены с учетом расхода'!AH9:AH11),0)</f>
        <v>0</v>
      </c>
      <c r="I45" s="29">
        <f>ROUND(SUMIF(Определители!I9:I11,"=4",'Текущие цены с учетом расхода'!V9:V11),0)</f>
        <v>0</v>
      </c>
      <c r="J45" s="30"/>
      <c r="K45" s="30"/>
      <c r="L45" s="29"/>
    </row>
    <row r="46" spans="1:12">
      <c r="A46" s="26">
        <v>37</v>
      </c>
      <c r="B46" s="9" t="s">
        <v>74</v>
      </c>
      <c r="C46" s="31" t="s">
        <v>275</v>
      </c>
      <c r="D46" s="34">
        <v>0</v>
      </c>
      <c r="F46" s="29">
        <f>ROUND(SUMIF(Определители!I9:I11,"=4",'Текущие цены с учетом расхода'!H9:H11),0)</f>
        <v>0</v>
      </c>
      <c r="G46" s="29"/>
      <c r="H46" s="29"/>
      <c r="I46" s="29"/>
      <c r="J46" s="30"/>
      <c r="K46" s="30"/>
      <c r="L46" s="29"/>
    </row>
    <row r="47" spans="1:12">
      <c r="A47" s="26">
        <v>38</v>
      </c>
      <c r="B47" s="9" t="s">
        <v>75</v>
      </c>
      <c r="C47" s="31" t="s">
        <v>275</v>
      </c>
      <c r="D47" s="34">
        <v>0</v>
      </c>
      <c r="F47" s="29">
        <f>ROUND(SUMIF(Определители!I9:I11,"=4",'Текущие цены с учетом расхода'!N9:N11),0)</f>
        <v>0</v>
      </c>
      <c r="G47" s="29"/>
      <c r="H47" s="29"/>
      <c r="I47" s="29"/>
      <c r="J47" s="30"/>
      <c r="K47" s="30"/>
      <c r="L47" s="29"/>
    </row>
    <row r="48" spans="1:12">
      <c r="A48" s="26">
        <v>39</v>
      </c>
      <c r="B48" s="9" t="s">
        <v>76</v>
      </c>
      <c r="C48" s="31" t="s">
        <v>275</v>
      </c>
      <c r="D48" s="34">
        <v>0</v>
      </c>
      <c r="F48" s="29">
        <f>ROUND(SUMIF(Определители!I9:I11,"=4",'Текущие цены с учетом расхода'!O9:O11),0)</f>
        <v>0</v>
      </c>
      <c r="G48" s="29"/>
      <c r="H48" s="29"/>
      <c r="I48" s="29"/>
      <c r="J48" s="30"/>
      <c r="K48" s="30"/>
      <c r="L48" s="29"/>
    </row>
    <row r="49" spans="1:12">
      <c r="A49" s="26">
        <v>40</v>
      </c>
      <c r="B49" s="9" t="s">
        <v>67</v>
      </c>
      <c r="C49" s="31" t="s">
        <v>275</v>
      </c>
      <c r="D49" s="34">
        <v>0</v>
      </c>
      <c r="F49" s="29" t="e">
        <f ca="1">ROUND(СУММПРОИЗВЕСЛИ(1,Определители!I9:I11," ",'Текущие цены с учетом расхода'!M9:M11,Начисления!I9:I11,0),0)</f>
        <v>#NAME?</v>
      </c>
      <c r="G49" s="29"/>
      <c r="H49" s="29"/>
      <c r="I49" s="29"/>
      <c r="J49" s="30"/>
      <c r="K49" s="30"/>
      <c r="L49" s="29"/>
    </row>
    <row r="50" spans="1:12">
      <c r="A50" s="26">
        <v>41</v>
      </c>
      <c r="B50" s="9" t="s">
        <v>87</v>
      </c>
      <c r="C50" s="31" t="s">
        <v>276</v>
      </c>
      <c r="D50" s="34">
        <v>0</v>
      </c>
      <c r="F50" s="29">
        <f>ROUND((F43+F47+F48),0)</f>
        <v>0</v>
      </c>
      <c r="G50" s="29"/>
      <c r="H50" s="29"/>
      <c r="I50" s="29"/>
      <c r="J50" s="30"/>
      <c r="K50" s="30"/>
      <c r="L50" s="29"/>
    </row>
    <row r="51" spans="1:12">
      <c r="A51" s="26">
        <v>42</v>
      </c>
      <c r="B51" s="9" t="s">
        <v>88</v>
      </c>
      <c r="C51" s="31" t="s">
        <v>275</v>
      </c>
      <c r="D51" s="34">
        <v>0</v>
      </c>
      <c r="F51" s="29">
        <f>ROUND(SUMIF(Определители!I9:I11,"=5",'Текущие цены с учетом расхода'!B9:B11),0)</f>
        <v>0</v>
      </c>
      <c r="G51" s="29">
        <f>ROUND(SUMIF(Определители!I9:I11,"=5",'Текущие цены с учетом расхода'!C9:C11),0)</f>
        <v>0</v>
      </c>
      <c r="H51" s="29">
        <f>ROUND(SUMIF(Определители!I9:I11,"=5",'Текущие цены с учетом расхода'!D9:D11),0)</f>
        <v>0</v>
      </c>
      <c r="I51" s="29">
        <f>ROUND(SUMIF(Определители!I9:I11,"=5",'Текущие цены с учетом расхода'!E9:E11),0)</f>
        <v>0</v>
      </c>
      <c r="J51" s="30">
        <f>ROUND(SUMIF(Определители!I9:I11,"=5",'Текущие цены с учетом расхода'!I9:I11),8)</f>
        <v>0</v>
      </c>
      <c r="K51" s="30">
        <f>ROUND(SUMIF(Определители!I9:I11,"=5",'Текущие цены с учетом расхода'!K9:K11),8)</f>
        <v>0</v>
      </c>
      <c r="L51" s="29">
        <f>ROUND(SUMIF(Определители!I9:I11,"=5",'Текущие цены с учетом расхода'!F9:F11),0)</f>
        <v>0</v>
      </c>
    </row>
    <row r="52" spans="1:12">
      <c r="A52" s="26">
        <v>43</v>
      </c>
      <c r="B52" s="9" t="s">
        <v>74</v>
      </c>
      <c r="C52" s="31" t="s">
        <v>275</v>
      </c>
      <c r="D52" s="34">
        <v>0</v>
      </c>
      <c r="F52" s="29">
        <f>ROUND(SUMIF(Определители!I9:I11,"=5",'Текущие цены с учетом расхода'!H9:H11),0)</f>
        <v>0</v>
      </c>
      <c r="G52" s="29"/>
      <c r="H52" s="29"/>
      <c r="I52" s="29"/>
      <c r="J52" s="30"/>
      <c r="K52" s="30"/>
      <c r="L52" s="29"/>
    </row>
    <row r="53" spans="1:12">
      <c r="A53" s="26">
        <v>44</v>
      </c>
      <c r="B53" s="9" t="s">
        <v>75</v>
      </c>
      <c r="C53" s="31" t="s">
        <v>275</v>
      </c>
      <c r="D53" s="34">
        <v>0</v>
      </c>
      <c r="F53" s="29">
        <f>ROUND(SUMIF(Определители!I9:I11,"=5",'Текущие цены с учетом расхода'!N9:N11),0)</f>
        <v>0</v>
      </c>
      <c r="G53" s="29"/>
      <c r="H53" s="29"/>
      <c r="I53" s="29"/>
      <c r="J53" s="30"/>
      <c r="K53" s="30"/>
      <c r="L53" s="29"/>
    </row>
    <row r="54" spans="1:12">
      <c r="A54" s="26">
        <v>45</v>
      </c>
      <c r="B54" s="9" t="s">
        <v>76</v>
      </c>
      <c r="C54" s="31" t="s">
        <v>275</v>
      </c>
      <c r="D54" s="34">
        <v>0</v>
      </c>
      <c r="F54" s="29">
        <f>ROUND(SUMIF(Определители!I9:I11,"=5",'Текущие цены с учетом расхода'!O9:O11),0)</f>
        <v>0</v>
      </c>
      <c r="G54" s="29"/>
      <c r="H54" s="29"/>
      <c r="I54" s="29"/>
      <c r="J54" s="30"/>
      <c r="K54" s="30"/>
      <c r="L54" s="29"/>
    </row>
    <row r="55" spans="1:12">
      <c r="A55" s="26">
        <v>46</v>
      </c>
      <c r="B55" s="9" t="s">
        <v>89</v>
      </c>
      <c r="C55" s="31" t="s">
        <v>276</v>
      </c>
      <c r="D55" s="34">
        <v>0</v>
      </c>
      <c r="F55" s="29">
        <f>ROUND((F51+F53+F54),0)</f>
        <v>0</v>
      </c>
      <c r="G55" s="29"/>
      <c r="H55" s="29"/>
      <c r="I55" s="29"/>
      <c r="J55" s="30"/>
      <c r="K55" s="30"/>
      <c r="L55" s="29"/>
    </row>
    <row r="56" spans="1:12">
      <c r="A56" s="26">
        <v>47</v>
      </c>
      <c r="B56" s="9" t="s">
        <v>90</v>
      </c>
      <c r="C56" s="31" t="s">
        <v>275</v>
      </c>
      <c r="D56" s="34">
        <v>0</v>
      </c>
      <c r="F56" s="29">
        <f>ROUND(SUMIF(Определители!I9:I11,"=6",'Текущие цены с учетом расхода'!B9:B11),0)</f>
        <v>0</v>
      </c>
      <c r="G56" s="29">
        <f>ROUND(SUMIF(Определители!I9:I11,"=6",'Текущие цены с учетом расхода'!C9:C11),0)</f>
        <v>0</v>
      </c>
      <c r="H56" s="29">
        <f>ROUND(SUMIF(Определители!I9:I11,"=6",'Текущие цены с учетом расхода'!D9:D11),0)</f>
        <v>0</v>
      </c>
      <c r="I56" s="29">
        <f>ROUND(SUMIF(Определители!I9:I11,"=6",'Текущие цены с учетом расхода'!E9:E11),0)</f>
        <v>0</v>
      </c>
      <c r="J56" s="30">
        <f>ROUND(SUMIF(Определители!I9:I11,"=6",'Текущие цены с учетом расхода'!I9:I11),8)</f>
        <v>0</v>
      </c>
      <c r="K56" s="30">
        <f>ROUND(SUMIF(Определители!I9:I11,"=6",'Текущие цены с учетом расхода'!K9:K11),8)</f>
        <v>0</v>
      </c>
      <c r="L56" s="29">
        <f>ROUND(SUMIF(Определители!I9:I11,"=6",'Текущие цены с учетом расхода'!F9:F11),0)</f>
        <v>0</v>
      </c>
    </row>
    <row r="57" spans="1:12">
      <c r="A57" s="26">
        <v>48</v>
      </c>
      <c r="B57" s="9" t="s">
        <v>74</v>
      </c>
      <c r="C57" s="31" t="s">
        <v>275</v>
      </c>
      <c r="D57" s="34">
        <v>0</v>
      </c>
      <c r="F57" s="29">
        <f>ROUND(SUMIF(Определители!I9:I11,"=6",'Текущие цены с учетом расхода'!H9:H11),0)</f>
        <v>0</v>
      </c>
      <c r="G57" s="29"/>
      <c r="H57" s="29"/>
      <c r="I57" s="29"/>
      <c r="J57" s="30"/>
      <c r="K57" s="30"/>
      <c r="L57" s="29"/>
    </row>
    <row r="58" spans="1:12">
      <c r="A58" s="26">
        <v>49</v>
      </c>
      <c r="B58" s="9" t="s">
        <v>75</v>
      </c>
      <c r="C58" s="31" t="s">
        <v>275</v>
      </c>
      <c r="D58" s="34">
        <v>0</v>
      </c>
      <c r="F58" s="29">
        <f>ROUND(SUMIF(Определители!I9:I11,"=6",'Текущие цены с учетом расхода'!N9:N11),0)</f>
        <v>0</v>
      </c>
      <c r="G58" s="29"/>
      <c r="H58" s="29"/>
      <c r="I58" s="29"/>
      <c r="J58" s="30"/>
      <c r="K58" s="30"/>
      <c r="L58" s="29"/>
    </row>
    <row r="59" spans="1:12">
      <c r="A59" s="26">
        <v>50</v>
      </c>
      <c r="B59" s="9" t="s">
        <v>76</v>
      </c>
      <c r="C59" s="31" t="s">
        <v>275</v>
      </c>
      <c r="D59" s="34">
        <v>0</v>
      </c>
      <c r="F59" s="29">
        <f>ROUND(SUMIF(Определители!I9:I11,"=6",'Текущие цены с учетом расхода'!O9:O11),0)</f>
        <v>0</v>
      </c>
      <c r="G59" s="29"/>
      <c r="H59" s="29"/>
      <c r="I59" s="29"/>
      <c r="J59" s="30"/>
      <c r="K59" s="30"/>
      <c r="L59" s="29"/>
    </row>
    <row r="60" spans="1:12">
      <c r="A60" s="26">
        <v>51</v>
      </c>
      <c r="B60" s="9" t="s">
        <v>91</v>
      </c>
      <c r="C60" s="31" t="s">
        <v>276</v>
      </c>
      <c r="D60" s="34">
        <v>0</v>
      </c>
      <c r="F60" s="29">
        <f>ROUND((F56+F58+F59),0)</f>
        <v>0</v>
      </c>
      <c r="G60" s="29"/>
      <c r="H60" s="29"/>
      <c r="I60" s="29"/>
      <c r="J60" s="30"/>
      <c r="K60" s="30"/>
      <c r="L60" s="29"/>
    </row>
    <row r="61" spans="1:12">
      <c r="A61" s="26">
        <v>52</v>
      </c>
      <c r="B61" s="9" t="s">
        <v>92</v>
      </c>
      <c r="C61" s="31" t="s">
        <v>275</v>
      </c>
      <c r="D61" s="34">
        <v>0</v>
      </c>
      <c r="F61" s="29">
        <f>ROUND(SUMIF(Определители!I9:I11,"=7",'Текущие цены с учетом расхода'!B9:B11),0)</f>
        <v>0</v>
      </c>
      <c r="G61" s="29">
        <f>ROUND(SUMIF(Определители!I9:I11,"=7",'Текущие цены с учетом расхода'!C9:C11),0)</f>
        <v>0</v>
      </c>
      <c r="H61" s="29">
        <f>ROUND(SUMIF(Определители!I9:I11,"=7",'Текущие цены с учетом расхода'!D9:D11),0)</f>
        <v>0</v>
      </c>
      <c r="I61" s="29">
        <f>ROUND(SUMIF(Определители!I9:I11,"=7",'Текущие цены с учетом расхода'!E9:E11),0)</f>
        <v>0</v>
      </c>
      <c r="J61" s="30">
        <f>ROUND(SUMIF(Определители!I9:I11,"=7",'Текущие цены с учетом расхода'!I9:I11),8)</f>
        <v>0</v>
      </c>
      <c r="K61" s="30">
        <f>ROUND(SUMIF(Определители!I9:I11,"=7",'Текущие цены с учетом расхода'!K9:K11),8)</f>
        <v>0</v>
      </c>
      <c r="L61" s="29">
        <f>ROUND(SUMIF(Определители!I9:I11,"=7",'Текущие цены с учетом расхода'!F9:F11),0)</f>
        <v>0</v>
      </c>
    </row>
    <row r="62" spans="1:12">
      <c r="A62" s="26">
        <v>53</v>
      </c>
      <c r="B62" s="9" t="s">
        <v>70</v>
      </c>
      <c r="C62" s="31" t="s">
        <v>275</v>
      </c>
      <c r="D62" s="34">
        <v>0</v>
      </c>
      <c r="F62" s="29"/>
      <c r="G62" s="29"/>
      <c r="H62" s="29"/>
      <c r="I62" s="29"/>
      <c r="J62" s="30"/>
      <c r="K62" s="30"/>
      <c r="L62" s="29"/>
    </row>
    <row r="63" spans="1:12">
      <c r="A63" s="26">
        <v>54</v>
      </c>
      <c r="B63" s="9" t="s">
        <v>79</v>
      </c>
      <c r="C63" s="31" t="s">
        <v>275</v>
      </c>
      <c r="D63" s="34">
        <v>0</v>
      </c>
      <c r="F63" s="29" t="e">
        <f ca="1">ROUND(СУММЕСЛИ2(Определители!I9:I11,"2",Определители!G9:G11,"1",'Текущие цены с учетом расхода'!B9:B11),0)</f>
        <v>#NAME?</v>
      </c>
      <c r="G63" s="29"/>
      <c r="H63" s="29"/>
      <c r="I63" s="29"/>
      <c r="J63" s="30"/>
      <c r="K63" s="30"/>
      <c r="L63" s="29"/>
    </row>
    <row r="64" spans="1:12">
      <c r="A64" s="26">
        <v>55</v>
      </c>
      <c r="B64" s="9" t="s">
        <v>74</v>
      </c>
      <c r="C64" s="31" t="s">
        <v>275</v>
      </c>
      <c r="D64" s="34">
        <v>0</v>
      </c>
      <c r="F64" s="29">
        <f>ROUND(SUMIF(Определители!I9:I11,"=7",'Текущие цены с учетом расхода'!H9:H11),0)</f>
        <v>0</v>
      </c>
      <c r="G64" s="29"/>
      <c r="H64" s="29"/>
      <c r="I64" s="29"/>
      <c r="J64" s="30"/>
      <c r="K64" s="30"/>
      <c r="L64" s="29"/>
    </row>
    <row r="65" spans="1:12">
      <c r="A65" s="26">
        <v>56</v>
      </c>
      <c r="B65" s="9" t="s">
        <v>75</v>
      </c>
      <c r="C65" s="31" t="s">
        <v>275</v>
      </c>
      <c r="D65" s="34">
        <v>0</v>
      </c>
      <c r="F65" s="29">
        <f>ROUND(SUMIF(Определители!I9:I11,"=7",'Текущие цены с учетом расхода'!N9:N11),0)</f>
        <v>0</v>
      </c>
      <c r="G65" s="29"/>
      <c r="H65" s="29"/>
      <c r="I65" s="29"/>
      <c r="J65" s="30"/>
      <c r="K65" s="30"/>
      <c r="L65" s="29"/>
    </row>
    <row r="66" spans="1:12">
      <c r="A66" s="26">
        <v>57</v>
      </c>
      <c r="B66" s="9" t="s">
        <v>76</v>
      </c>
      <c r="C66" s="31" t="s">
        <v>275</v>
      </c>
      <c r="D66" s="34">
        <v>0</v>
      </c>
      <c r="F66" s="29">
        <f>ROUND(SUMIF(Определители!I9:I11,"=7",'Текущие цены с учетом расхода'!O9:O11),0)</f>
        <v>0</v>
      </c>
      <c r="G66" s="29"/>
      <c r="H66" s="29"/>
      <c r="I66" s="29"/>
      <c r="J66" s="30"/>
      <c r="K66" s="30"/>
      <c r="L66" s="29"/>
    </row>
    <row r="67" spans="1:12">
      <c r="A67" s="26">
        <v>58</v>
      </c>
      <c r="B67" s="9" t="s">
        <v>93</v>
      </c>
      <c r="C67" s="31" t="s">
        <v>276</v>
      </c>
      <c r="D67" s="34">
        <v>0</v>
      </c>
      <c r="F67" s="29">
        <f>ROUND((F61+F65+F66),0)</f>
        <v>0</v>
      </c>
      <c r="G67" s="29"/>
      <c r="H67" s="29"/>
      <c r="I67" s="29"/>
      <c r="J67" s="30"/>
      <c r="K67" s="30"/>
      <c r="L67" s="29"/>
    </row>
    <row r="68" spans="1:12">
      <c r="A68" s="26">
        <v>59</v>
      </c>
      <c r="B68" s="9" t="s">
        <v>94</v>
      </c>
      <c r="C68" s="31" t="s">
        <v>275</v>
      </c>
      <c r="D68" s="34">
        <v>0</v>
      </c>
      <c r="F68" s="29">
        <f>ROUND(SUMIF(Определители!I9:I11,"=;",'Текущие цены с учетом расхода'!B9:B11),0)</f>
        <v>0</v>
      </c>
      <c r="G68" s="29">
        <f>ROUND(SUMIF(Определители!I9:I11,"=;",'Текущие цены с учетом расхода'!C9:C11),0)</f>
        <v>0</v>
      </c>
      <c r="H68" s="29">
        <f>ROUND(SUMIF(Определители!I9:I11,"=;",'Текущие цены с учетом расхода'!D9:D11),0)</f>
        <v>0</v>
      </c>
      <c r="I68" s="29">
        <f>ROUND(SUMIF(Определители!I9:I11,"=;",'Текущие цены с учетом расхода'!E9:E11),0)</f>
        <v>0</v>
      </c>
      <c r="J68" s="30">
        <f>ROUND(SUMIF(Определители!I9:I11,"=;",'Текущие цены с учетом расхода'!I9:I11),8)</f>
        <v>0</v>
      </c>
      <c r="K68" s="30">
        <f>ROUND(SUMIF(Определители!I9:I11,"=;",'Текущие цены с учетом расхода'!K9:K11),8)</f>
        <v>0</v>
      </c>
      <c r="L68" s="29">
        <f>ROUND(SUMIF(Определители!I9:I11,"=;",'Текущие цены с учетом расхода'!F9:F11),0)</f>
        <v>0</v>
      </c>
    </row>
    <row r="69" spans="1:12">
      <c r="A69" s="26">
        <v>60</v>
      </c>
      <c r="B69" s="9" t="s">
        <v>95</v>
      </c>
      <c r="C69" s="31" t="s">
        <v>275</v>
      </c>
      <c r="D69" s="34">
        <v>0</v>
      </c>
      <c r="F69" s="29">
        <f>ROUND(SUMIF(Определители!I9:I11,"=;",'Текущие цены с учетом расхода'!AF9:AF11),0)</f>
        <v>0</v>
      </c>
      <c r="G69" s="29"/>
      <c r="H69" s="29"/>
      <c r="I69" s="29"/>
      <c r="J69" s="30"/>
      <c r="K69" s="30"/>
      <c r="L69" s="29"/>
    </row>
    <row r="70" spans="1:12">
      <c r="A70" s="26">
        <v>61</v>
      </c>
      <c r="B70" s="9" t="s">
        <v>96</v>
      </c>
      <c r="C70" s="31" t="s">
        <v>275</v>
      </c>
      <c r="D70" s="34">
        <v>0</v>
      </c>
      <c r="F70" s="29">
        <f>ROUND(SUMIF(Определители!I9:I11,"=;",'Текущие цены с учетом расхода'!AG9:AG11),0)</f>
        <v>0</v>
      </c>
      <c r="G70" s="29"/>
      <c r="H70" s="29"/>
      <c r="I70" s="29"/>
      <c r="J70" s="30"/>
      <c r="K70" s="30"/>
      <c r="L70" s="29"/>
    </row>
    <row r="71" spans="1:12">
      <c r="A71" s="26">
        <v>62</v>
      </c>
      <c r="B71" s="9" t="s">
        <v>75</v>
      </c>
      <c r="C71" s="31" t="s">
        <v>275</v>
      </c>
      <c r="D71" s="34">
        <v>0</v>
      </c>
      <c r="F71" s="29">
        <f>ROUND(SUMIF(Определители!I9:I11,"=;",'Текущие цены с учетом расхода'!N9:N11),0)</f>
        <v>0</v>
      </c>
      <c r="G71" s="29"/>
      <c r="H71" s="29"/>
      <c r="I71" s="29"/>
      <c r="J71" s="30"/>
      <c r="K71" s="30"/>
      <c r="L71" s="29"/>
    </row>
    <row r="72" spans="1:12">
      <c r="A72" s="26">
        <v>63</v>
      </c>
      <c r="B72" s="9" t="s">
        <v>76</v>
      </c>
      <c r="C72" s="31" t="s">
        <v>275</v>
      </c>
      <c r="D72" s="34">
        <v>0</v>
      </c>
      <c r="F72" s="29">
        <f>ROUND(SUMIF(Определители!I9:I11,"=;",'Текущие цены с учетом расхода'!O9:O11),0)</f>
        <v>0</v>
      </c>
      <c r="G72" s="29"/>
      <c r="H72" s="29"/>
      <c r="I72" s="29"/>
      <c r="J72" s="30"/>
      <c r="K72" s="30"/>
      <c r="L72" s="29"/>
    </row>
    <row r="73" spans="1:12">
      <c r="A73" s="26">
        <v>64</v>
      </c>
      <c r="B73" s="9" t="s">
        <v>97</v>
      </c>
      <c r="C73" s="31" t="s">
        <v>276</v>
      </c>
      <c r="D73" s="34">
        <v>0</v>
      </c>
      <c r="F73" s="29">
        <f>ROUND((F68+F71+F72),0)</f>
        <v>0</v>
      </c>
      <c r="G73" s="29"/>
      <c r="H73" s="29"/>
      <c r="I73" s="29"/>
      <c r="J73" s="30"/>
      <c r="K73" s="30"/>
      <c r="L73" s="29"/>
    </row>
    <row r="74" spans="1:12">
      <c r="A74" s="26">
        <v>65</v>
      </c>
      <c r="B74" s="9" t="s">
        <v>98</v>
      </c>
      <c r="C74" s="31" t="s">
        <v>275</v>
      </c>
      <c r="D74" s="34">
        <v>0</v>
      </c>
      <c r="F74" s="29">
        <f>ROUND(SUMIF(Определители!I9:I11,"=9",'Текущие цены с учетом расхода'!B9:B11),0)</f>
        <v>0</v>
      </c>
      <c r="G74" s="29">
        <f>ROUND(SUMIF(Определители!I9:I11,"=9",'Текущие цены с учетом расхода'!C9:C11),0)</f>
        <v>0</v>
      </c>
      <c r="H74" s="29">
        <f>ROUND(SUMIF(Определители!I9:I11,"=9",'Текущие цены с учетом расхода'!D9:D11),0)</f>
        <v>0</v>
      </c>
      <c r="I74" s="29">
        <f>ROUND(SUMIF(Определители!I9:I11,"=9",'Текущие цены с учетом расхода'!E9:E11),0)</f>
        <v>0</v>
      </c>
      <c r="J74" s="30">
        <f>ROUND(SUMIF(Определители!I9:I11,"=9",'Текущие цены с учетом расхода'!I9:I11),8)</f>
        <v>0</v>
      </c>
      <c r="K74" s="30">
        <f>ROUND(SUMIF(Определители!I9:I11,"=9",'Текущие цены с учетом расхода'!K9:K11),8)</f>
        <v>0</v>
      </c>
      <c r="L74" s="29">
        <f>ROUND(SUMIF(Определители!I9:I11,"=9",'Текущие цены с учетом расхода'!F9:F11),0)</f>
        <v>0</v>
      </c>
    </row>
    <row r="75" spans="1:12">
      <c r="A75" s="26">
        <v>66</v>
      </c>
      <c r="B75" s="9" t="s">
        <v>75</v>
      </c>
      <c r="C75" s="31" t="s">
        <v>275</v>
      </c>
      <c r="D75" s="34">
        <v>0</v>
      </c>
      <c r="F75" s="29">
        <f>ROUND(SUMIF(Определители!I9:I11,"=9",'Текущие цены с учетом расхода'!N9:N11),0)</f>
        <v>0</v>
      </c>
      <c r="G75" s="29"/>
      <c r="H75" s="29"/>
      <c r="I75" s="29"/>
      <c r="J75" s="30"/>
      <c r="K75" s="30"/>
      <c r="L75" s="29"/>
    </row>
    <row r="76" spans="1:12">
      <c r="A76" s="26">
        <v>67</v>
      </c>
      <c r="B76" s="9" t="s">
        <v>76</v>
      </c>
      <c r="C76" s="31" t="s">
        <v>275</v>
      </c>
      <c r="D76" s="34">
        <v>0</v>
      </c>
      <c r="F76" s="29">
        <f>ROUND(SUMIF(Определители!I9:I11,"=9",'Текущие цены с учетом расхода'!O9:O11),0)</f>
        <v>0</v>
      </c>
      <c r="G76" s="29"/>
      <c r="H76" s="29"/>
      <c r="I76" s="29"/>
      <c r="J76" s="30"/>
      <c r="K76" s="30"/>
      <c r="L76" s="29"/>
    </row>
    <row r="77" spans="1:12">
      <c r="A77" s="26">
        <v>68</v>
      </c>
      <c r="B77" s="9" t="s">
        <v>99</v>
      </c>
      <c r="C77" s="31" t="s">
        <v>276</v>
      </c>
      <c r="D77" s="34">
        <v>0</v>
      </c>
      <c r="F77" s="29">
        <f>ROUND((F74+F75+F76),0)</f>
        <v>0</v>
      </c>
      <c r="G77" s="29"/>
      <c r="H77" s="29"/>
      <c r="I77" s="29"/>
      <c r="J77" s="30"/>
      <c r="K77" s="30"/>
      <c r="L77" s="29"/>
    </row>
    <row r="78" spans="1:12">
      <c r="A78" s="26">
        <v>69</v>
      </c>
      <c r="B78" s="9" t="s">
        <v>100</v>
      </c>
      <c r="C78" s="31" t="s">
        <v>275</v>
      </c>
      <c r="D78" s="34">
        <v>0</v>
      </c>
      <c r="F78" s="29">
        <f>ROUND(SUMIF(Определители!I9:I11,"=:",'Текущие цены с учетом расхода'!B9:B11),0)</f>
        <v>0</v>
      </c>
      <c r="G78" s="29">
        <f>ROUND(SUMIF(Определители!I9:I11,"=:",'Текущие цены с учетом расхода'!C9:C11),0)</f>
        <v>0</v>
      </c>
      <c r="H78" s="29">
        <f>ROUND(SUMIF(Определители!I9:I11,"=:",'Текущие цены с учетом расхода'!D9:D11),0)</f>
        <v>0</v>
      </c>
      <c r="I78" s="29">
        <f>ROUND(SUMIF(Определители!I9:I11,"=:",'Текущие цены с учетом расхода'!E9:E11),0)</f>
        <v>0</v>
      </c>
      <c r="J78" s="30">
        <f>ROUND(SUMIF(Определители!I9:I11,"=:",'Текущие цены с учетом расхода'!I9:I11),8)</f>
        <v>0</v>
      </c>
      <c r="K78" s="30">
        <f>ROUND(SUMIF(Определители!I9:I11,"=:",'Текущие цены с учетом расхода'!K9:K11),8)</f>
        <v>0</v>
      </c>
      <c r="L78" s="29">
        <f>ROUND(SUMIF(Определители!I9:I11,"=:",'Текущие цены с учетом расхода'!F9:F11),0)</f>
        <v>0</v>
      </c>
    </row>
    <row r="79" spans="1:12">
      <c r="A79" s="26">
        <v>70</v>
      </c>
      <c r="B79" s="9" t="s">
        <v>74</v>
      </c>
      <c r="C79" s="31" t="s">
        <v>275</v>
      </c>
      <c r="D79" s="34">
        <v>0</v>
      </c>
      <c r="F79" s="29">
        <f>ROUND(SUMIF(Определители!I9:I11,"=:",'Текущие цены с учетом расхода'!H9:H11),0)</f>
        <v>0</v>
      </c>
      <c r="G79" s="29"/>
      <c r="H79" s="29"/>
      <c r="I79" s="29"/>
      <c r="J79" s="30"/>
      <c r="K79" s="30"/>
      <c r="L79" s="29"/>
    </row>
    <row r="80" spans="1:12">
      <c r="A80" s="26">
        <v>71</v>
      </c>
      <c r="B80" s="9" t="s">
        <v>75</v>
      </c>
      <c r="C80" s="31" t="s">
        <v>275</v>
      </c>
      <c r="D80" s="34">
        <v>0</v>
      </c>
      <c r="F80" s="29">
        <f>ROUND(SUMIF(Определители!I9:I11,"=:",'Текущие цены с учетом расхода'!N9:N11),0)</f>
        <v>0</v>
      </c>
      <c r="G80" s="29"/>
      <c r="H80" s="29"/>
      <c r="I80" s="29"/>
      <c r="J80" s="30"/>
      <c r="K80" s="30"/>
      <c r="L80" s="29"/>
    </row>
    <row r="81" spans="1:12">
      <c r="A81" s="26">
        <v>72</v>
      </c>
      <c r="B81" s="9" t="s">
        <v>76</v>
      </c>
      <c r="C81" s="31" t="s">
        <v>275</v>
      </c>
      <c r="D81" s="34">
        <v>0</v>
      </c>
      <c r="F81" s="29">
        <f>ROUND(SUMIF(Определители!I9:I11,"=:",'Текущие цены с учетом расхода'!O9:O11),0)</f>
        <v>0</v>
      </c>
      <c r="G81" s="29"/>
      <c r="H81" s="29"/>
      <c r="I81" s="29"/>
      <c r="J81" s="30"/>
      <c r="K81" s="30"/>
      <c r="L81" s="29"/>
    </row>
    <row r="82" spans="1:12">
      <c r="A82" s="26">
        <v>73</v>
      </c>
      <c r="B82" s="9" t="s">
        <v>101</v>
      </c>
      <c r="C82" s="31" t="s">
        <v>276</v>
      </c>
      <c r="D82" s="34">
        <v>0</v>
      </c>
      <c r="F82" s="29">
        <f>ROUND((F78+F80+F81),0)</f>
        <v>0</v>
      </c>
      <c r="G82" s="29"/>
      <c r="H82" s="29"/>
      <c r="I82" s="29"/>
      <c r="J82" s="30"/>
      <c r="K82" s="30"/>
      <c r="L82" s="29"/>
    </row>
    <row r="83" spans="1:12">
      <c r="A83" s="26">
        <v>74</v>
      </c>
      <c r="B83" s="9" t="s">
        <v>102</v>
      </c>
      <c r="C83" s="31" t="s">
        <v>275</v>
      </c>
      <c r="D83" s="34">
        <v>0</v>
      </c>
      <c r="F83" s="29">
        <f>ROUND(SUMIF(Определители!I9:I11,"=8",'Текущие цены с учетом расхода'!B9:B11),0)</f>
        <v>0</v>
      </c>
      <c r="G83" s="29">
        <f>ROUND(SUMIF(Определители!I9:I11,"=8",'Текущие цены с учетом расхода'!C9:C11),0)</f>
        <v>0</v>
      </c>
      <c r="H83" s="29">
        <f>ROUND(SUMIF(Определители!I9:I11,"=8",'Текущие цены с учетом расхода'!D9:D11),0)</f>
        <v>0</v>
      </c>
      <c r="I83" s="29">
        <f>ROUND(SUMIF(Определители!I9:I11,"=8",'Текущие цены с учетом расхода'!E9:E11),0)</f>
        <v>0</v>
      </c>
      <c r="J83" s="30">
        <f>ROUND(SUMIF(Определители!I9:I11,"=8",'Текущие цены с учетом расхода'!I9:I11),8)</f>
        <v>0</v>
      </c>
      <c r="K83" s="30">
        <f>ROUND(SUMIF(Определители!I9:I11,"=8",'Текущие цены с учетом расхода'!K9:K11),8)</f>
        <v>0</v>
      </c>
      <c r="L83" s="29">
        <f>ROUND(SUMIF(Определители!I9:I11,"=8",'Текущие цены с учетом расхода'!F9:F11),0)</f>
        <v>0</v>
      </c>
    </row>
    <row r="84" spans="1:12">
      <c r="A84" s="26">
        <v>75</v>
      </c>
      <c r="B84" s="9" t="s">
        <v>74</v>
      </c>
      <c r="C84" s="31" t="s">
        <v>275</v>
      </c>
      <c r="D84" s="34">
        <v>0</v>
      </c>
      <c r="F84" s="29">
        <f>ROUND(SUMIF(Определители!I9:I11,"=8",'Текущие цены с учетом расхода'!H9:H11),0)</f>
        <v>0</v>
      </c>
      <c r="G84" s="29"/>
      <c r="H84" s="29"/>
      <c r="I84" s="29"/>
      <c r="J84" s="30"/>
      <c r="K84" s="30"/>
      <c r="L84" s="29"/>
    </row>
    <row r="85" spans="1:12">
      <c r="A85" s="26">
        <v>76</v>
      </c>
      <c r="B85" s="9" t="s">
        <v>158</v>
      </c>
      <c r="C85" s="31" t="s">
        <v>276</v>
      </c>
      <c r="D85" s="34">
        <v>0</v>
      </c>
      <c r="F85" s="29" t="e">
        <f ca="1">ROUND((F20+F30+F37+F42+F50+F55+F60+F67+F77+F82+F83+F73),0)</f>
        <v>#NAME?</v>
      </c>
      <c r="G85" s="29">
        <f>ROUND((G20+G30+G37+G42+G50+G55+G60+G67+G77+G82+G83+G73),0)</f>
        <v>0</v>
      </c>
      <c r="H85" s="29">
        <f>ROUND((H20+H30+H37+H42+H50+H55+H60+H67+H77+H82+H83+H73),0)</f>
        <v>0</v>
      </c>
      <c r="I85" s="29">
        <f>ROUND((I20+I30+I37+I42+I50+I55+I60+I67+I77+I82+I83+I73),0)</f>
        <v>0</v>
      </c>
      <c r="J85" s="30">
        <f>ROUND((J20+J30+J37+J42+J50+J55+J60+J67+J77+J82+J83+J73),8)</f>
        <v>0</v>
      </c>
      <c r="K85" s="30">
        <f>ROUND((K20+K30+K37+K42+K50+K55+K60+K67+K77+K82+K83+K73),8)</f>
        <v>0</v>
      </c>
      <c r="L85" s="29">
        <f>ROUND((L20+L30+L37+L42+L50+L55+L60+L67+L77+L82+L83+L73),0)</f>
        <v>0</v>
      </c>
    </row>
    <row r="86" spans="1:12">
      <c r="A86" s="26">
        <v>77</v>
      </c>
      <c r="B86" s="9" t="s">
        <v>104</v>
      </c>
      <c r="C86" s="31" t="s">
        <v>276</v>
      </c>
      <c r="D86" s="34">
        <v>0</v>
      </c>
      <c r="F86" s="29">
        <f>ROUND((F26+F34+F39+F46+F52+F57+F64+F79+F84),0)</f>
        <v>0</v>
      </c>
      <c r="G86" s="29"/>
      <c r="H86" s="29"/>
      <c r="I86" s="29"/>
      <c r="J86" s="30"/>
      <c r="K86" s="30"/>
      <c r="L86" s="29"/>
    </row>
    <row r="87" spans="1:12">
      <c r="A87" s="26">
        <v>78</v>
      </c>
      <c r="B87" s="9" t="s">
        <v>105</v>
      </c>
      <c r="C87" s="31" t="s">
        <v>276</v>
      </c>
      <c r="D87" s="34">
        <v>0</v>
      </c>
      <c r="F87" s="29">
        <f>ROUND((F27+F35+F40+F47+F53+F58+F65+F75+F80+F71),0)</f>
        <v>6559</v>
      </c>
      <c r="G87" s="29"/>
      <c r="H87" s="29"/>
      <c r="I87" s="29"/>
      <c r="J87" s="30"/>
      <c r="K87" s="30"/>
      <c r="L87" s="29"/>
    </row>
    <row r="88" spans="1:12">
      <c r="A88" s="26">
        <v>79</v>
      </c>
      <c r="B88" s="9" t="s">
        <v>106</v>
      </c>
      <c r="C88" s="31" t="s">
        <v>276</v>
      </c>
      <c r="D88" s="34">
        <v>0</v>
      </c>
      <c r="F88" s="29">
        <f>ROUND((F28+F36+F41+F48+F54+F59+F66+F76+F81+F72),0)</f>
        <v>4854</v>
      </c>
      <c r="G88" s="29"/>
      <c r="H88" s="29"/>
      <c r="I88" s="29"/>
      <c r="J88" s="30"/>
      <c r="K88" s="30"/>
      <c r="L88" s="29"/>
    </row>
    <row r="89" spans="1:12">
      <c r="A89" s="26">
        <v>80</v>
      </c>
      <c r="B89" s="9" t="s">
        <v>33</v>
      </c>
      <c r="C89" s="31" t="s">
        <v>277</v>
      </c>
      <c r="D89" s="34">
        <v>0</v>
      </c>
      <c r="F89" s="29">
        <f>ROUND(SUM('Текущие цены с учетом расхода'!X9:X11),0)</f>
        <v>0</v>
      </c>
      <c r="G89" s="29"/>
      <c r="H89" s="29"/>
      <c r="I89" s="29"/>
      <c r="J89" s="30"/>
      <c r="K89" s="30"/>
      <c r="L89" s="29">
        <f>ROUND(SUM('Текущие цены с учетом расхода'!X9:X11),0)</f>
        <v>0</v>
      </c>
    </row>
    <row r="90" spans="1:12">
      <c r="A90" s="26">
        <v>81</v>
      </c>
      <c r="B90" s="9" t="s">
        <v>107</v>
      </c>
      <c r="C90" s="31" t="s">
        <v>277</v>
      </c>
      <c r="D90" s="34">
        <v>0</v>
      </c>
      <c r="F90" s="29">
        <f>ROUND(SUM(G90:N90),0)</f>
        <v>0</v>
      </c>
      <c r="G90" s="29"/>
      <c r="H90" s="29"/>
      <c r="I90" s="29"/>
      <c r="J90" s="30"/>
      <c r="K90" s="30"/>
      <c r="L90" s="29">
        <f>ROUND(SUM('Текущие цены с учетом расхода'!AE9:AE11),0)</f>
        <v>0</v>
      </c>
    </row>
    <row r="91" spans="1:12">
      <c r="A91" s="26">
        <v>82</v>
      </c>
      <c r="B91" s="9" t="s">
        <v>108</v>
      </c>
      <c r="C91" s="31" t="s">
        <v>277</v>
      </c>
      <c r="D91" s="34">
        <v>0</v>
      </c>
      <c r="F91" s="29">
        <f>ROUND(SUM('Текущие цены с учетом расхода'!C9:C11),0)</f>
        <v>7556</v>
      </c>
      <c r="G91" s="29"/>
      <c r="H91" s="29"/>
      <c r="I91" s="29"/>
      <c r="J91" s="30"/>
      <c r="K91" s="30"/>
      <c r="L91" s="29"/>
    </row>
    <row r="92" spans="1:12">
      <c r="A92" s="26">
        <v>83</v>
      </c>
      <c r="B92" s="9" t="s">
        <v>109</v>
      </c>
      <c r="C92" s="31" t="s">
        <v>277</v>
      </c>
      <c r="D92" s="34">
        <v>0</v>
      </c>
      <c r="F92" s="29">
        <f>ROUND(SUM('Текущие цены с учетом расхода'!E9:E11),0)</f>
        <v>75</v>
      </c>
      <c r="G92" s="29"/>
      <c r="H92" s="29"/>
      <c r="I92" s="29"/>
      <c r="J92" s="30"/>
      <c r="K92" s="30"/>
      <c r="L92" s="29"/>
    </row>
    <row r="93" spans="1:12">
      <c r="A93" s="26">
        <v>84</v>
      </c>
      <c r="B93" s="9" t="s">
        <v>110</v>
      </c>
      <c r="C93" s="31" t="s">
        <v>278</v>
      </c>
      <c r="D93" s="34">
        <v>0</v>
      </c>
      <c r="F93" s="29">
        <f>ROUND((F91+F92),0)</f>
        <v>7631</v>
      </c>
      <c r="G93" s="29"/>
      <c r="H93" s="29"/>
      <c r="I93" s="29"/>
      <c r="J93" s="30"/>
      <c r="K93" s="30"/>
      <c r="L93" s="29"/>
    </row>
    <row r="94" spans="1:12">
      <c r="A94" s="26">
        <v>85</v>
      </c>
      <c r="B94" s="9" t="s">
        <v>111</v>
      </c>
      <c r="C94" s="31" t="s">
        <v>277</v>
      </c>
      <c r="D94" s="34">
        <v>0</v>
      </c>
      <c r="F94" s="29"/>
      <c r="G94" s="29"/>
      <c r="H94" s="29"/>
      <c r="I94" s="29"/>
      <c r="J94" s="30" t="e">
        <f ca="1">ROUND(SUM('Текущие цены с учетом расхода'!I9:I11),8)</f>
        <v>#NAME?</v>
      </c>
      <c r="K94" s="30"/>
      <c r="L94" s="29"/>
    </row>
    <row r="95" spans="1:12">
      <c r="A95" s="26">
        <v>86</v>
      </c>
      <c r="B95" s="9" t="s">
        <v>112</v>
      </c>
      <c r="C95" s="31" t="s">
        <v>277</v>
      </c>
      <c r="D95" s="34">
        <v>0</v>
      </c>
      <c r="F95" s="29"/>
      <c r="G95" s="29"/>
      <c r="H95" s="29"/>
      <c r="I95" s="29"/>
      <c r="J95" s="30" t="e">
        <f ca="1">ROUND(SUM('Текущие цены с учетом расхода'!K9:K11),8)</f>
        <v>#NAME?</v>
      </c>
      <c r="K95" s="30"/>
      <c r="L95" s="29"/>
    </row>
    <row r="96" spans="1:12">
      <c r="A96" s="26">
        <v>87</v>
      </c>
      <c r="B96" s="9" t="s">
        <v>113</v>
      </c>
      <c r="C96" s="31" t="s">
        <v>278</v>
      </c>
      <c r="D96" s="34">
        <v>0</v>
      </c>
      <c r="F96" s="29"/>
      <c r="G96" s="29"/>
      <c r="H96" s="29"/>
      <c r="I96" s="29"/>
      <c r="J96" s="30" t="e">
        <f ca="1">ROUND((J94+J95),8)</f>
        <v>#NAME?</v>
      </c>
      <c r="K96" s="30"/>
      <c r="L96" s="29"/>
    </row>
    <row r="98" spans="1:14">
      <c r="B98" s="49" t="s">
        <v>114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</row>
    <row r="99" spans="1:14"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</row>
    <row r="100" spans="1:14" s="27" customFormat="1">
      <c r="A100" s="7"/>
      <c r="B100" s="27" t="s">
        <v>262</v>
      </c>
      <c r="C100" s="27" t="s">
        <v>263</v>
      </c>
      <c r="D100" s="35" t="s">
        <v>264</v>
      </c>
      <c r="E100" s="27" t="s">
        <v>265</v>
      </c>
      <c r="F100" s="27" t="s">
        <v>266</v>
      </c>
      <c r="G100" s="27" t="s">
        <v>267</v>
      </c>
      <c r="H100" s="27" t="s">
        <v>268</v>
      </c>
      <c r="I100" s="27" t="s">
        <v>269</v>
      </c>
      <c r="J100" s="27" t="s">
        <v>270</v>
      </c>
      <c r="K100" s="27" t="s">
        <v>271</v>
      </c>
      <c r="L100" s="27" t="s">
        <v>272</v>
      </c>
      <c r="M100" s="27" t="s">
        <v>273</v>
      </c>
    </row>
    <row r="101" spans="1:14">
      <c r="A101" s="26">
        <v>1</v>
      </c>
      <c r="B101" s="9" t="s">
        <v>153</v>
      </c>
      <c r="C101" s="31" t="s">
        <v>274</v>
      </c>
      <c r="D101" s="34">
        <v>0</v>
      </c>
      <c r="E101" s="34"/>
      <c r="F101" s="29">
        <f>ROUND(SUM('Текущие цены с учетом расхода'!B15:B17),0)</f>
        <v>23811</v>
      </c>
      <c r="G101" s="29">
        <f>ROUND(SUM('Текущие цены с учетом расхода'!C15:C17),0)</f>
        <v>3376</v>
      </c>
      <c r="H101" s="29">
        <f>ROUND(SUM('Текущие цены с учетом расхода'!D15:D17),0)</f>
        <v>1414</v>
      </c>
      <c r="I101" s="29">
        <f>ROUND(SUM('Текущие цены с учетом расхода'!E15:E17),0)</f>
        <v>373</v>
      </c>
      <c r="J101" s="30" t="e">
        <f ca="1">ROUND(SUM('Текущие цены с учетом расхода'!I15:I17),8)</f>
        <v>#NAME?</v>
      </c>
      <c r="K101" s="30" t="e">
        <f ca="1">ROUND(SUM('Текущие цены с учетом расхода'!K15:K17),8)</f>
        <v>#NAME?</v>
      </c>
      <c r="L101" s="29">
        <f>ROUND(SUM('Текущие цены с учетом расхода'!F15:F17),0)</f>
        <v>19021</v>
      </c>
      <c r="N101" s="34"/>
    </row>
    <row r="102" spans="1:14">
      <c r="A102" s="26">
        <v>2</v>
      </c>
      <c r="B102" s="9" t="s">
        <v>59</v>
      </c>
      <c r="C102" s="31" t="s">
        <v>275</v>
      </c>
      <c r="D102" s="34">
        <v>0</v>
      </c>
      <c r="F102" s="29">
        <f>ROUND(SUMIF(Определители!I15:I17,"= ",'Текущие цены с учетом расхода'!B15:B17),0)</f>
        <v>0</v>
      </c>
      <c r="G102" s="29">
        <f>ROUND(SUMIF(Определители!I15:I17,"= ",'Текущие цены с учетом расхода'!C15:C17),0)</f>
        <v>0</v>
      </c>
      <c r="H102" s="29">
        <f>ROUND(SUMIF(Определители!I15:I17,"= ",'Текущие цены с учетом расхода'!D15:D17),0)</f>
        <v>0</v>
      </c>
      <c r="I102" s="29">
        <f>ROUND(SUMIF(Определители!I15:I17,"= ",'Текущие цены с учетом расхода'!E15:E17),0)</f>
        <v>0</v>
      </c>
      <c r="J102" s="30">
        <f>ROUND(SUMIF(Определители!I15:I17,"= ",'Текущие цены с учетом расхода'!I15:I17),8)</f>
        <v>0</v>
      </c>
      <c r="K102" s="30">
        <f>ROUND(SUMIF(Определители!I15:I17,"= ",'Текущие цены с учетом расхода'!K15:K17),8)</f>
        <v>0</v>
      </c>
      <c r="L102" s="29">
        <f>ROUND(SUMIF(Определители!I15:I17,"= ",'Текущие цены с учетом расхода'!F15:F17),0)</f>
        <v>0</v>
      </c>
    </row>
    <row r="103" spans="1:14">
      <c r="A103" s="26">
        <v>3</v>
      </c>
      <c r="B103" s="9" t="s">
        <v>60</v>
      </c>
      <c r="C103" s="31" t="s">
        <v>275</v>
      </c>
      <c r="D103" s="34">
        <v>0</v>
      </c>
      <c r="F103" s="29" t="e">
        <f ca="1">ROUND(СУММПРОИЗВЕСЛИ(0.01,Определители!I15:I17," ",'Текущие цены с учетом расхода'!B15:B17,Начисления!X15:X17,0),0)</f>
        <v>#NAME?</v>
      </c>
      <c r="G103" s="29"/>
      <c r="H103" s="29"/>
      <c r="I103" s="29"/>
      <c r="J103" s="30"/>
      <c r="K103" s="30"/>
      <c r="L103" s="29"/>
    </row>
    <row r="104" spans="1:14">
      <c r="A104" s="26">
        <v>4</v>
      </c>
      <c r="B104" s="9" t="s">
        <v>61</v>
      </c>
      <c r="C104" s="31" t="s">
        <v>275</v>
      </c>
      <c r="D104" s="34">
        <v>0</v>
      </c>
      <c r="F104" s="29" t="e">
        <f ca="1">ROUND(СУММПРОИЗВЕСЛИ(0.01,Определители!I15:I17," ",'Текущие цены с учетом расхода'!B15:B17,Начисления!Y15:Y17,0),0)</f>
        <v>#NAME?</v>
      </c>
      <c r="G104" s="29"/>
      <c r="H104" s="29"/>
      <c r="I104" s="29"/>
      <c r="J104" s="30"/>
      <c r="K104" s="30"/>
      <c r="L104" s="29"/>
    </row>
    <row r="105" spans="1:14">
      <c r="A105" s="26">
        <v>5</v>
      </c>
      <c r="B105" s="9" t="s">
        <v>62</v>
      </c>
      <c r="C105" s="31" t="s">
        <v>275</v>
      </c>
      <c r="D105" s="34">
        <v>0</v>
      </c>
      <c r="F105" s="29" t="e">
        <f ca="1">ROUND(ТРАНСПРАСХОД(Определители!B15:B17,Определители!H15:H17,Определители!I15:I17,'Текущие цены с учетом расхода'!B15:B17,Начисления!Z15:Z17,Начисления!AA15:AA17),0)</f>
        <v>#NAME?</v>
      </c>
      <c r="G105" s="29"/>
      <c r="H105" s="29"/>
      <c r="I105" s="29"/>
      <c r="J105" s="30"/>
      <c r="K105" s="30"/>
      <c r="L105" s="29"/>
    </row>
    <row r="106" spans="1:14">
      <c r="A106" s="26">
        <v>6</v>
      </c>
      <c r="B106" s="9" t="s">
        <v>63</v>
      </c>
      <c r="C106" s="31" t="s">
        <v>275</v>
      </c>
      <c r="D106" s="34">
        <v>0</v>
      </c>
      <c r="F106" s="29" t="e">
        <f ca="1">ROUND(СУММПРОИЗВЕСЛИ(0.01,Определители!I15:I17," ",'Текущие цены с учетом расхода'!B15:B17,Начисления!AC15:AC17,0),0)</f>
        <v>#NAME?</v>
      </c>
      <c r="G106" s="29"/>
      <c r="H106" s="29"/>
      <c r="I106" s="29"/>
      <c r="J106" s="30"/>
      <c r="K106" s="30"/>
      <c r="L106" s="29"/>
    </row>
    <row r="107" spans="1:14">
      <c r="A107" s="26">
        <v>7</v>
      </c>
      <c r="B107" s="9" t="s">
        <v>64</v>
      </c>
      <c r="C107" s="31" t="s">
        <v>275</v>
      </c>
      <c r="D107" s="34">
        <v>0</v>
      </c>
      <c r="F107" s="29" t="e">
        <f ca="1">ROUND(СУММПРОИЗВЕСЛИ(0.01,Определители!I15:I17," ",'Текущие цены с учетом расхода'!B15:B17,Начисления!AF15:AF17,0),0)</f>
        <v>#NAME?</v>
      </c>
      <c r="G107" s="29"/>
      <c r="H107" s="29"/>
      <c r="I107" s="29"/>
      <c r="J107" s="30"/>
      <c r="K107" s="30"/>
      <c r="L107" s="29"/>
    </row>
    <row r="108" spans="1:14">
      <c r="A108" s="26">
        <v>8</v>
      </c>
      <c r="B108" s="9" t="s">
        <v>65</v>
      </c>
      <c r="C108" s="31" t="s">
        <v>275</v>
      </c>
      <c r="D108" s="34">
        <v>0</v>
      </c>
      <c r="F108" s="29" t="e">
        <f ca="1">ROUND(ЗАГОТСКЛАДРАСХОД(Определители!B15:B17,Определители!H15:H17,Определители!I15:I17,'Текущие цены с учетом расхода'!B15:B17,Начисления!X15:X17,Начисления!Y15:Y17,Начисления!Z15:Z17,Начисления!AA15:AA17,Начисления!AB15:AB17,Начисления!AC15:AC17,Начисления!AF15:AF17),0)</f>
        <v>#NAME?</v>
      </c>
      <c r="G108" s="29"/>
      <c r="H108" s="29"/>
      <c r="I108" s="29"/>
      <c r="J108" s="30"/>
      <c r="K108" s="30"/>
      <c r="L108" s="29"/>
    </row>
    <row r="109" spans="1:14">
      <c r="A109" s="26">
        <v>9</v>
      </c>
      <c r="B109" s="9" t="s">
        <v>66</v>
      </c>
      <c r="C109" s="31" t="s">
        <v>275</v>
      </c>
      <c r="D109" s="34">
        <v>0</v>
      </c>
      <c r="F109" s="29" t="e">
        <f ca="1">ROUND(СУММПРОИЗВЕСЛИ(1,Определители!I15:I17," ",'Текущие цены с учетом расхода'!M15:M17,Начисления!I15:I17,0),0)</f>
        <v>#NAME?</v>
      </c>
      <c r="G109" s="29"/>
      <c r="H109" s="29"/>
      <c r="I109" s="29"/>
      <c r="J109" s="30"/>
      <c r="K109" s="30"/>
      <c r="L109" s="29"/>
    </row>
    <row r="110" spans="1:14">
      <c r="A110" s="26">
        <v>10</v>
      </c>
      <c r="B110" s="9" t="s">
        <v>67</v>
      </c>
      <c r="C110" s="31" t="s">
        <v>276</v>
      </c>
      <c r="D110" s="34">
        <v>0</v>
      </c>
      <c r="F110" s="29" t="e">
        <f ca="1">ROUND((F109+F120+F140),0)</f>
        <v>#NAME?</v>
      </c>
      <c r="G110" s="29"/>
      <c r="H110" s="29"/>
      <c r="I110" s="29"/>
      <c r="J110" s="30"/>
      <c r="K110" s="30"/>
      <c r="L110" s="29"/>
    </row>
    <row r="111" spans="1:14">
      <c r="A111" s="26">
        <v>11</v>
      </c>
      <c r="B111" s="9" t="s">
        <v>68</v>
      </c>
      <c r="C111" s="31" t="s">
        <v>276</v>
      </c>
      <c r="D111" s="34">
        <v>0</v>
      </c>
      <c r="F111" s="29" t="e">
        <f ca="1">ROUND((F102+F103+F104+F105+F106+F107+F108+F110),0)</f>
        <v>#NAME?</v>
      </c>
      <c r="G111" s="29"/>
      <c r="H111" s="29"/>
      <c r="I111" s="29"/>
      <c r="J111" s="30"/>
      <c r="K111" s="30"/>
      <c r="L111" s="29"/>
    </row>
    <row r="112" spans="1:14">
      <c r="A112" s="26">
        <v>12</v>
      </c>
      <c r="B112" s="9" t="s">
        <v>69</v>
      </c>
      <c r="C112" s="31" t="s">
        <v>275</v>
      </c>
      <c r="D112" s="34">
        <v>0</v>
      </c>
      <c r="F112" s="29">
        <f>ROUND(SUMIF(Определители!I15:I17,"=1",'Текущие цены с учетом расхода'!B15:B17),0)</f>
        <v>0</v>
      </c>
      <c r="G112" s="29">
        <f>ROUND(SUMIF(Определители!I15:I17,"=1",'Текущие цены с учетом расхода'!C15:C17),0)</f>
        <v>0</v>
      </c>
      <c r="H112" s="29">
        <f>ROUND(SUMIF(Определители!I15:I17,"=1",'Текущие цены с учетом расхода'!D15:D17),0)</f>
        <v>0</v>
      </c>
      <c r="I112" s="29">
        <f>ROUND(SUMIF(Определители!I15:I17,"=1",'Текущие цены с учетом расхода'!E15:E17),0)</f>
        <v>0</v>
      </c>
      <c r="J112" s="30">
        <f>ROUND(SUMIF(Определители!I15:I17,"=1",'Текущие цены с учетом расхода'!I15:I17),8)</f>
        <v>0</v>
      </c>
      <c r="K112" s="30">
        <f>ROUND(SUMIF(Определители!I15:I17,"=1",'Текущие цены с учетом расхода'!K15:K17),8)</f>
        <v>0</v>
      </c>
      <c r="L112" s="29">
        <f>ROUND(SUMIF(Определители!I15:I17,"=1",'Текущие цены с учетом расхода'!F15:F17),0)</f>
        <v>0</v>
      </c>
    </row>
    <row r="113" spans="1:12">
      <c r="A113" s="26">
        <v>13</v>
      </c>
      <c r="B113" s="9" t="s">
        <v>70</v>
      </c>
      <c r="C113" s="31" t="s">
        <v>275</v>
      </c>
      <c r="D113" s="34">
        <v>0</v>
      </c>
      <c r="F113" s="29"/>
      <c r="G113" s="29"/>
      <c r="H113" s="29"/>
      <c r="I113" s="29"/>
      <c r="J113" s="30"/>
      <c r="K113" s="30"/>
      <c r="L113" s="29"/>
    </row>
    <row r="114" spans="1:12">
      <c r="A114" s="26">
        <v>14</v>
      </c>
      <c r="B114" s="9" t="s">
        <v>71</v>
      </c>
      <c r="C114" s="31" t="s">
        <v>275</v>
      </c>
      <c r="D114" s="34">
        <v>0</v>
      </c>
      <c r="F114" s="29"/>
      <c r="G114" s="29">
        <f>ROUND(SUMIF(Определители!I15:I17,"=1",'Текущие цены с учетом расхода'!T15:T17),0)</f>
        <v>0</v>
      </c>
      <c r="H114" s="29"/>
      <c r="I114" s="29"/>
      <c r="J114" s="30"/>
      <c r="K114" s="30"/>
      <c r="L114" s="29"/>
    </row>
    <row r="115" spans="1:12">
      <c r="A115" s="26">
        <v>15</v>
      </c>
      <c r="B115" s="9" t="s">
        <v>72</v>
      </c>
      <c r="C115" s="31" t="s">
        <v>275</v>
      </c>
      <c r="D115" s="34">
        <v>0</v>
      </c>
      <c r="F115" s="29">
        <f>ROUND(SUMIF(Определители!I15:I17,"=1",'Текущие цены с учетом расхода'!U15:U17),0)</f>
        <v>0</v>
      </c>
      <c r="G115" s="29"/>
      <c r="H115" s="29"/>
      <c r="I115" s="29"/>
      <c r="J115" s="30"/>
      <c r="K115" s="30"/>
      <c r="L115" s="29"/>
    </row>
    <row r="116" spans="1:12">
      <c r="A116" s="26">
        <v>16</v>
      </c>
      <c r="B116" s="9" t="s">
        <v>73</v>
      </c>
      <c r="C116" s="31" t="s">
        <v>275</v>
      </c>
      <c r="D116" s="34">
        <v>0</v>
      </c>
      <c r="F116" s="29" t="e">
        <f ca="1">ROUND(СУММЕСЛИ2(Определители!I15:I17,"1",Определители!G15:G17,"1",'Текущие цены с учетом расхода'!B15:B17),0)</f>
        <v>#NAME?</v>
      </c>
      <c r="G116" s="29"/>
      <c r="H116" s="29"/>
      <c r="I116" s="29"/>
      <c r="J116" s="30"/>
      <c r="K116" s="30"/>
      <c r="L116" s="29"/>
    </row>
    <row r="117" spans="1:12">
      <c r="A117" s="26">
        <v>17</v>
      </c>
      <c r="B117" s="9" t="s">
        <v>74</v>
      </c>
      <c r="C117" s="31" t="s">
        <v>275</v>
      </c>
      <c r="D117" s="34">
        <v>0</v>
      </c>
      <c r="F117" s="29">
        <f>ROUND(SUMIF(Определители!I15:I17,"=1",'Текущие цены с учетом расхода'!H15:H17),0)</f>
        <v>0</v>
      </c>
      <c r="G117" s="29"/>
      <c r="H117" s="29"/>
      <c r="I117" s="29"/>
      <c r="J117" s="30"/>
      <c r="K117" s="30"/>
      <c r="L117" s="29"/>
    </row>
    <row r="118" spans="1:12">
      <c r="A118" s="26">
        <v>18</v>
      </c>
      <c r="B118" s="9" t="s">
        <v>75</v>
      </c>
      <c r="C118" s="31" t="s">
        <v>275</v>
      </c>
      <c r="D118" s="34">
        <v>0</v>
      </c>
      <c r="F118" s="29">
        <f>ROUND(SUMIF(Определители!I15:I17,"=1",'Текущие цены с учетом расхода'!N15:N17),0)</f>
        <v>0</v>
      </c>
      <c r="G118" s="29"/>
      <c r="H118" s="29"/>
      <c r="I118" s="29"/>
      <c r="J118" s="30"/>
      <c r="K118" s="30"/>
      <c r="L118" s="29"/>
    </row>
    <row r="119" spans="1:12">
      <c r="A119" s="26">
        <v>19</v>
      </c>
      <c r="B119" s="9" t="s">
        <v>76</v>
      </c>
      <c r="C119" s="31" t="s">
        <v>275</v>
      </c>
      <c r="D119" s="34">
        <v>0</v>
      </c>
      <c r="F119" s="29">
        <f>ROUND(SUMIF(Определители!I15:I17,"=1",'Текущие цены с учетом расхода'!O15:O17),0)</f>
        <v>0</v>
      </c>
      <c r="G119" s="29"/>
      <c r="H119" s="29"/>
      <c r="I119" s="29"/>
      <c r="J119" s="30"/>
      <c r="K119" s="30"/>
      <c r="L119" s="29"/>
    </row>
    <row r="120" spans="1:12">
      <c r="A120" s="26">
        <v>20</v>
      </c>
      <c r="B120" s="9" t="s">
        <v>67</v>
      </c>
      <c r="C120" s="31" t="s">
        <v>275</v>
      </c>
      <c r="D120" s="34">
        <v>0</v>
      </c>
      <c r="F120" s="29" t="e">
        <f ca="1">ROUND(СУММПРОИЗВЕСЛИ(1,Определители!I15:I17," ",'Текущие цены с учетом расхода'!M15:M17,Начисления!I15:I17,0),0)</f>
        <v>#NAME?</v>
      </c>
      <c r="G120" s="29"/>
      <c r="H120" s="29"/>
      <c r="I120" s="29"/>
      <c r="J120" s="30"/>
      <c r="K120" s="30"/>
      <c r="L120" s="29"/>
    </row>
    <row r="121" spans="1:12">
      <c r="A121" s="26">
        <v>21</v>
      </c>
      <c r="B121" s="9" t="s">
        <v>77</v>
      </c>
      <c r="C121" s="31" t="s">
        <v>276</v>
      </c>
      <c r="D121" s="34">
        <v>0</v>
      </c>
      <c r="F121" s="29">
        <f>ROUND((F112+F118+F119),0)</f>
        <v>0</v>
      </c>
      <c r="G121" s="29"/>
      <c r="H121" s="29"/>
      <c r="I121" s="29"/>
      <c r="J121" s="30"/>
      <c r="K121" s="30"/>
      <c r="L121" s="29"/>
    </row>
    <row r="122" spans="1:12">
      <c r="A122" s="26">
        <v>22</v>
      </c>
      <c r="B122" s="9" t="s">
        <v>78</v>
      </c>
      <c r="C122" s="31" t="s">
        <v>275</v>
      </c>
      <c r="D122" s="34">
        <v>0</v>
      </c>
      <c r="F122" s="29">
        <f>ROUND(SUMIF(Определители!I15:I17,"=2",'Текущие цены с учетом расхода'!B15:B17),0)</f>
        <v>19144</v>
      </c>
      <c r="G122" s="29">
        <f>ROUND(SUMIF(Определители!I15:I17,"=2",'Текущие цены с учетом расхода'!C15:C17),0)</f>
        <v>533</v>
      </c>
      <c r="H122" s="29">
        <f>ROUND(SUMIF(Определители!I15:I17,"=2",'Текущие цены с учетом расхода'!D15:D17),0)</f>
        <v>16</v>
      </c>
      <c r="I122" s="29">
        <f>ROUND(SUMIF(Определители!I15:I17,"=2",'Текущие цены с учетом расхода'!E15:E17),0)</f>
        <v>0</v>
      </c>
      <c r="J122" s="30" t="e">
        <f ca="1">ROUND(SUMIF(Определители!I15:I17,"=2",'Текущие цены с учетом расхода'!I15:I17),8)</f>
        <v>#NAME?</v>
      </c>
      <c r="K122" s="30" t="e">
        <f ca="1">ROUND(SUMIF(Определители!I15:I17,"=2",'Текущие цены с учетом расхода'!K15:K17),8)</f>
        <v>#NAME?</v>
      </c>
      <c r="L122" s="29">
        <f>ROUND(SUMIF(Определители!I15:I17,"=2",'Текущие цены с учетом расхода'!F15:F17),0)</f>
        <v>18595</v>
      </c>
    </row>
    <row r="123" spans="1:12">
      <c r="A123" s="26">
        <v>23</v>
      </c>
      <c r="B123" s="9" t="s">
        <v>70</v>
      </c>
      <c r="C123" s="31" t="s">
        <v>275</v>
      </c>
      <c r="D123" s="34">
        <v>0</v>
      </c>
      <c r="F123" s="29"/>
      <c r="G123" s="29"/>
      <c r="H123" s="29"/>
      <c r="I123" s="29"/>
      <c r="J123" s="30"/>
      <c r="K123" s="30"/>
      <c r="L123" s="29"/>
    </row>
    <row r="124" spans="1:12">
      <c r="A124" s="26">
        <v>24</v>
      </c>
      <c r="B124" s="9" t="s">
        <v>79</v>
      </c>
      <c r="C124" s="31" t="s">
        <v>275</v>
      </c>
      <c r="D124" s="34">
        <v>0</v>
      </c>
      <c r="F124" s="29" t="e">
        <f ca="1">ROUND(СУММЕСЛИ2(Определители!I15:I17,"2",Определители!G15:G17,"1",'Текущие цены с учетом расхода'!B15:B17),0)</f>
        <v>#NAME?</v>
      </c>
      <c r="G124" s="29"/>
      <c r="H124" s="29"/>
      <c r="I124" s="29"/>
      <c r="J124" s="30"/>
      <c r="K124" s="30"/>
      <c r="L124" s="29"/>
    </row>
    <row r="125" spans="1:12">
      <c r="A125" s="26">
        <v>25</v>
      </c>
      <c r="B125" s="9" t="s">
        <v>74</v>
      </c>
      <c r="C125" s="31" t="s">
        <v>275</v>
      </c>
      <c r="D125" s="34">
        <v>0</v>
      </c>
      <c r="F125" s="29">
        <f>ROUND(SUMIF(Определители!I15:I17,"=2",'Текущие цены с учетом расхода'!H15:H17),0)</f>
        <v>0</v>
      </c>
      <c r="G125" s="29"/>
      <c r="H125" s="29"/>
      <c r="I125" s="29"/>
      <c r="J125" s="30"/>
      <c r="K125" s="30"/>
      <c r="L125" s="29"/>
    </row>
    <row r="126" spans="1:12">
      <c r="A126" s="26">
        <v>26</v>
      </c>
      <c r="B126" s="9" t="s">
        <v>75</v>
      </c>
      <c r="C126" s="31" t="s">
        <v>275</v>
      </c>
      <c r="D126" s="34">
        <v>0</v>
      </c>
      <c r="F126" s="29">
        <f>ROUND(SUMIF(Определители!I15:I17,"=2",'Текущие цены с учетом расхода'!N15:N17),0)</f>
        <v>528</v>
      </c>
      <c r="G126" s="29"/>
      <c r="H126" s="29"/>
      <c r="I126" s="29"/>
      <c r="J126" s="30"/>
      <c r="K126" s="30"/>
      <c r="L126" s="29"/>
    </row>
    <row r="127" spans="1:12">
      <c r="A127" s="26">
        <v>27</v>
      </c>
      <c r="B127" s="9" t="s">
        <v>76</v>
      </c>
      <c r="C127" s="31" t="s">
        <v>275</v>
      </c>
      <c r="D127" s="34">
        <v>0</v>
      </c>
      <c r="F127" s="29">
        <f>ROUND(SUMIF(Определители!I15:I17,"=2",'Текущие цены с учетом расхода'!O15:O17),0)</f>
        <v>320</v>
      </c>
      <c r="G127" s="29"/>
      <c r="H127" s="29"/>
      <c r="I127" s="29"/>
      <c r="J127" s="30"/>
      <c r="K127" s="30"/>
      <c r="L127" s="29"/>
    </row>
    <row r="128" spans="1:12">
      <c r="A128" s="26">
        <v>28</v>
      </c>
      <c r="B128" s="9" t="s">
        <v>82</v>
      </c>
      <c r="C128" s="31" t="s">
        <v>276</v>
      </c>
      <c r="D128" s="34">
        <v>0</v>
      </c>
      <c r="F128" s="29">
        <f>ROUND((F122+F126+F127),0)</f>
        <v>19992</v>
      </c>
      <c r="G128" s="29"/>
      <c r="H128" s="29"/>
      <c r="I128" s="29"/>
      <c r="J128" s="30"/>
      <c r="K128" s="30"/>
      <c r="L128" s="29"/>
    </row>
    <row r="129" spans="1:12">
      <c r="A129" s="26">
        <v>29</v>
      </c>
      <c r="B129" s="9" t="s">
        <v>83</v>
      </c>
      <c r="C129" s="31" t="s">
        <v>275</v>
      </c>
      <c r="D129" s="34">
        <v>0</v>
      </c>
      <c r="F129" s="29">
        <f>ROUND(SUMIF(Определители!I15:I17,"=3",'Текущие цены с учетом расхода'!B15:B17),0)</f>
        <v>4667</v>
      </c>
      <c r="G129" s="29">
        <f>ROUND(SUMIF(Определители!I15:I17,"=3",'Текущие цены с учетом расхода'!C15:C17),0)</f>
        <v>2843</v>
      </c>
      <c r="H129" s="29">
        <f>ROUND(SUMIF(Определители!I15:I17,"=3",'Текущие цены с учетом расхода'!D15:D17),0)</f>
        <v>1398</v>
      </c>
      <c r="I129" s="29">
        <f>ROUND(SUMIF(Определители!I15:I17,"=3",'Текущие цены с учетом расхода'!E15:E17),0)</f>
        <v>373</v>
      </c>
      <c r="J129" s="30" t="e">
        <f ca="1">ROUND(SUMIF(Определители!I15:I17,"=3",'Текущие цены с учетом расхода'!I15:I17),8)</f>
        <v>#NAME?</v>
      </c>
      <c r="K129" s="30" t="e">
        <f ca="1">ROUND(SUMIF(Определители!I15:I17,"=3",'Текущие цены с учетом расхода'!K15:K17),8)</f>
        <v>#NAME?</v>
      </c>
      <c r="L129" s="29">
        <f>ROUND(SUMIF(Определители!I15:I17,"=3",'Текущие цены с учетом расхода'!F15:F17),0)</f>
        <v>426</v>
      </c>
    </row>
    <row r="130" spans="1:12">
      <c r="A130" s="26">
        <v>30</v>
      </c>
      <c r="B130" s="9" t="s">
        <v>74</v>
      </c>
      <c r="C130" s="31" t="s">
        <v>275</v>
      </c>
      <c r="D130" s="34">
        <v>0</v>
      </c>
      <c r="F130" s="29">
        <f>ROUND(SUMIF(Определители!I15:I17,"=3",'Текущие цены с учетом расхода'!H15:H17),0)</f>
        <v>0</v>
      </c>
      <c r="G130" s="29"/>
      <c r="H130" s="29"/>
      <c r="I130" s="29"/>
      <c r="J130" s="30"/>
      <c r="K130" s="30"/>
      <c r="L130" s="29"/>
    </row>
    <row r="131" spans="1:12">
      <c r="A131" s="26">
        <v>31</v>
      </c>
      <c r="B131" s="9" t="s">
        <v>75</v>
      </c>
      <c r="C131" s="31" t="s">
        <v>275</v>
      </c>
      <c r="D131" s="34">
        <v>0</v>
      </c>
      <c r="F131" s="29">
        <f>ROUND(SUMIF(Определители!I15:I17,"=3",'Текущие цены с учетом расхода'!N15:N17),0)</f>
        <v>2605</v>
      </c>
      <c r="G131" s="29"/>
      <c r="H131" s="29"/>
      <c r="I131" s="29"/>
      <c r="J131" s="30"/>
      <c r="K131" s="30"/>
      <c r="L131" s="29"/>
    </row>
    <row r="132" spans="1:12">
      <c r="A132" s="26">
        <v>32</v>
      </c>
      <c r="B132" s="9" t="s">
        <v>76</v>
      </c>
      <c r="C132" s="31" t="s">
        <v>275</v>
      </c>
      <c r="D132" s="34">
        <v>0</v>
      </c>
      <c r="F132" s="29">
        <f>ROUND(SUMIF(Определители!I15:I17,"=3",'Текущие цены с учетом расхода'!O15:O17),0)</f>
        <v>2316</v>
      </c>
      <c r="G132" s="29"/>
      <c r="H132" s="29"/>
      <c r="I132" s="29"/>
      <c r="J132" s="30"/>
      <c r="K132" s="30"/>
      <c r="L132" s="29"/>
    </row>
    <row r="133" spans="1:12">
      <c r="A133" s="26">
        <v>33</v>
      </c>
      <c r="B133" s="9" t="s">
        <v>84</v>
      </c>
      <c r="C133" s="31" t="s">
        <v>276</v>
      </c>
      <c r="D133" s="34">
        <v>0</v>
      </c>
      <c r="F133" s="29">
        <f>ROUND((F129+F131+F132),0)</f>
        <v>9588</v>
      </c>
      <c r="G133" s="29"/>
      <c r="H133" s="29"/>
      <c r="I133" s="29"/>
      <c r="J133" s="30"/>
      <c r="K133" s="30"/>
      <c r="L133" s="29"/>
    </row>
    <row r="134" spans="1:12">
      <c r="A134" s="26">
        <v>34</v>
      </c>
      <c r="B134" s="9" t="s">
        <v>85</v>
      </c>
      <c r="C134" s="31" t="s">
        <v>275</v>
      </c>
      <c r="D134" s="34">
        <v>0</v>
      </c>
      <c r="F134" s="29">
        <f>ROUND(SUMIF(Определители!I15:I17,"=4",'Текущие цены с учетом расхода'!B15:B17),0)</f>
        <v>0</v>
      </c>
      <c r="G134" s="29">
        <f>ROUND(SUMIF(Определители!I15:I17,"=4",'Текущие цены с учетом расхода'!C15:C17),0)</f>
        <v>0</v>
      </c>
      <c r="H134" s="29">
        <f>ROUND(SUMIF(Определители!I15:I17,"=4",'Текущие цены с учетом расхода'!D15:D17),0)</f>
        <v>0</v>
      </c>
      <c r="I134" s="29">
        <f>ROUND(SUMIF(Определители!I15:I17,"=4",'Текущие цены с учетом расхода'!E15:E17),0)</f>
        <v>0</v>
      </c>
      <c r="J134" s="30">
        <f>ROUND(SUMIF(Определители!I15:I17,"=4",'Текущие цены с учетом расхода'!I15:I17),8)</f>
        <v>0</v>
      </c>
      <c r="K134" s="30">
        <f>ROUND(SUMIF(Определители!I15:I17,"=4",'Текущие цены с учетом расхода'!K15:K17),8)</f>
        <v>0</v>
      </c>
      <c r="L134" s="29">
        <f>ROUND(SUMIF(Определители!I15:I17,"=4",'Текущие цены с учетом расхода'!F15:F17),0)</f>
        <v>0</v>
      </c>
    </row>
    <row r="135" spans="1:12">
      <c r="A135" s="26">
        <v>35</v>
      </c>
      <c r="B135" s="9" t="s">
        <v>70</v>
      </c>
      <c r="C135" s="31" t="s">
        <v>275</v>
      </c>
      <c r="D135" s="34">
        <v>0</v>
      </c>
      <c r="F135" s="29"/>
      <c r="G135" s="29"/>
      <c r="H135" s="29"/>
      <c r="I135" s="29"/>
      <c r="J135" s="30"/>
      <c r="K135" s="30"/>
      <c r="L135" s="29"/>
    </row>
    <row r="136" spans="1:12">
      <c r="A136" s="26">
        <v>36</v>
      </c>
      <c r="B136" s="9" t="s">
        <v>86</v>
      </c>
      <c r="C136" s="31" t="s">
        <v>275</v>
      </c>
      <c r="D136" s="34">
        <v>0</v>
      </c>
      <c r="F136" s="29">
        <f>ROUND(SUMIF(Определители!I15:I17,"=4",'Текущие цены с учетом расхода'!AJ15:AJ17),0)</f>
        <v>0</v>
      </c>
      <c r="G136" s="29">
        <f>ROUND(SUMIF(Определители!I15:I17,"=4",'Текущие цены с учетом расхода'!AI15:AI17),0)</f>
        <v>0</v>
      </c>
      <c r="H136" s="29">
        <f>ROUND(SUMIF(Определители!I15:I17,"=4",'Текущие цены с учетом расхода'!AH15:AH17),0)</f>
        <v>0</v>
      </c>
      <c r="I136" s="29">
        <f>ROUND(SUMIF(Определители!I15:I17,"=4",'Текущие цены с учетом расхода'!V15:V17),0)</f>
        <v>0</v>
      </c>
      <c r="J136" s="30"/>
      <c r="K136" s="30"/>
      <c r="L136" s="29"/>
    </row>
    <row r="137" spans="1:12">
      <c r="A137" s="26">
        <v>37</v>
      </c>
      <c r="B137" s="9" t="s">
        <v>74</v>
      </c>
      <c r="C137" s="31" t="s">
        <v>275</v>
      </c>
      <c r="D137" s="34">
        <v>0</v>
      </c>
      <c r="F137" s="29">
        <f>ROUND(SUMIF(Определители!I15:I17,"=4",'Текущие цены с учетом расхода'!H15:H17),0)</f>
        <v>0</v>
      </c>
      <c r="G137" s="29"/>
      <c r="H137" s="29"/>
      <c r="I137" s="29"/>
      <c r="J137" s="30"/>
      <c r="K137" s="30"/>
      <c r="L137" s="29"/>
    </row>
    <row r="138" spans="1:12">
      <c r="A138" s="26">
        <v>38</v>
      </c>
      <c r="B138" s="9" t="s">
        <v>75</v>
      </c>
      <c r="C138" s="31" t="s">
        <v>275</v>
      </c>
      <c r="D138" s="34">
        <v>0</v>
      </c>
      <c r="F138" s="29">
        <f>ROUND(SUMIF(Определители!I15:I17,"=4",'Текущие цены с учетом расхода'!N15:N17),0)</f>
        <v>0</v>
      </c>
      <c r="G138" s="29"/>
      <c r="H138" s="29"/>
      <c r="I138" s="29"/>
      <c r="J138" s="30"/>
      <c r="K138" s="30"/>
      <c r="L138" s="29"/>
    </row>
    <row r="139" spans="1:12">
      <c r="A139" s="26">
        <v>39</v>
      </c>
      <c r="B139" s="9" t="s">
        <v>76</v>
      </c>
      <c r="C139" s="31" t="s">
        <v>275</v>
      </c>
      <c r="D139" s="34">
        <v>0</v>
      </c>
      <c r="F139" s="29">
        <f>ROUND(SUMIF(Определители!I15:I17,"=4",'Текущие цены с учетом расхода'!O15:O17),0)</f>
        <v>0</v>
      </c>
      <c r="G139" s="29"/>
      <c r="H139" s="29"/>
      <c r="I139" s="29"/>
      <c r="J139" s="30"/>
      <c r="K139" s="30"/>
      <c r="L139" s="29"/>
    </row>
    <row r="140" spans="1:12">
      <c r="A140" s="26">
        <v>40</v>
      </c>
      <c r="B140" s="9" t="s">
        <v>67</v>
      </c>
      <c r="C140" s="31" t="s">
        <v>275</v>
      </c>
      <c r="D140" s="34">
        <v>0</v>
      </c>
      <c r="F140" s="29" t="e">
        <f ca="1">ROUND(СУММПРОИЗВЕСЛИ(1,Определители!I15:I17," ",'Текущие цены с учетом расхода'!M15:M17,Начисления!I15:I17,0),0)</f>
        <v>#NAME?</v>
      </c>
      <c r="G140" s="29"/>
      <c r="H140" s="29"/>
      <c r="I140" s="29"/>
      <c r="J140" s="30"/>
      <c r="K140" s="30"/>
      <c r="L140" s="29"/>
    </row>
    <row r="141" spans="1:12">
      <c r="A141" s="26">
        <v>41</v>
      </c>
      <c r="B141" s="9" t="s">
        <v>87</v>
      </c>
      <c r="C141" s="31" t="s">
        <v>276</v>
      </c>
      <c r="D141" s="34">
        <v>0</v>
      </c>
      <c r="F141" s="29">
        <f>ROUND((F134+F138+F139),0)</f>
        <v>0</v>
      </c>
      <c r="G141" s="29"/>
      <c r="H141" s="29"/>
      <c r="I141" s="29"/>
      <c r="J141" s="30"/>
      <c r="K141" s="30"/>
      <c r="L141" s="29"/>
    </row>
    <row r="142" spans="1:12">
      <c r="A142" s="26">
        <v>42</v>
      </c>
      <c r="B142" s="9" t="s">
        <v>88</v>
      </c>
      <c r="C142" s="31" t="s">
        <v>275</v>
      </c>
      <c r="D142" s="34">
        <v>0</v>
      </c>
      <c r="F142" s="29">
        <f>ROUND(SUMIF(Определители!I15:I17,"=5",'Текущие цены с учетом расхода'!B15:B17),0)</f>
        <v>0</v>
      </c>
      <c r="G142" s="29">
        <f>ROUND(SUMIF(Определители!I15:I17,"=5",'Текущие цены с учетом расхода'!C15:C17),0)</f>
        <v>0</v>
      </c>
      <c r="H142" s="29">
        <f>ROUND(SUMIF(Определители!I15:I17,"=5",'Текущие цены с учетом расхода'!D15:D17),0)</f>
        <v>0</v>
      </c>
      <c r="I142" s="29">
        <f>ROUND(SUMIF(Определители!I15:I17,"=5",'Текущие цены с учетом расхода'!E15:E17),0)</f>
        <v>0</v>
      </c>
      <c r="J142" s="30">
        <f>ROUND(SUMIF(Определители!I15:I17,"=5",'Текущие цены с учетом расхода'!I15:I17),8)</f>
        <v>0</v>
      </c>
      <c r="K142" s="30">
        <f>ROUND(SUMIF(Определители!I15:I17,"=5",'Текущие цены с учетом расхода'!K15:K17),8)</f>
        <v>0</v>
      </c>
      <c r="L142" s="29">
        <f>ROUND(SUMIF(Определители!I15:I17,"=5",'Текущие цены с учетом расхода'!F15:F17),0)</f>
        <v>0</v>
      </c>
    </row>
    <row r="143" spans="1:12">
      <c r="A143" s="26">
        <v>43</v>
      </c>
      <c r="B143" s="9" t="s">
        <v>74</v>
      </c>
      <c r="C143" s="31" t="s">
        <v>275</v>
      </c>
      <c r="D143" s="34">
        <v>0</v>
      </c>
      <c r="F143" s="29">
        <f>ROUND(SUMIF(Определители!I15:I17,"=5",'Текущие цены с учетом расхода'!H15:H17),0)</f>
        <v>0</v>
      </c>
      <c r="G143" s="29"/>
      <c r="H143" s="29"/>
      <c r="I143" s="29"/>
      <c r="J143" s="30"/>
      <c r="K143" s="30"/>
      <c r="L143" s="29"/>
    </row>
    <row r="144" spans="1:12">
      <c r="A144" s="26">
        <v>44</v>
      </c>
      <c r="B144" s="9" t="s">
        <v>75</v>
      </c>
      <c r="C144" s="31" t="s">
        <v>275</v>
      </c>
      <c r="D144" s="34">
        <v>0</v>
      </c>
      <c r="F144" s="29">
        <f>ROUND(SUMIF(Определители!I15:I17,"=5",'Текущие цены с учетом расхода'!N15:N17),0)</f>
        <v>0</v>
      </c>
      <c r="G144" s="29"/>
      <c r="H144" s="29"/>
      <c r="I144" s="29"/>
      <c r="J144" s="30"/>
      <c r="K144" s="30"/>
      <c r="L144" s="29"/>
    </row>
    <row r="145" spans="1:12">
      <c r="A145" s="26">
        <v>45</v>
      </c>
      <c r="B145" s="9" t="s">
        <v>76</v>
      </c>
      <c r="C145" s="31" t="s">
        <v>275</v>
      </c>
      <c r="D145" s="34">
        <v>0</v>
      </c>
      <c r="F145" s="29">
        <f>ROUND(SUMIF(Определители!I15:I17,"=5",'Текущие цены с учетом расхода'!O15:O17),0)</f>
        <v>0</v>
      </c>
      <c r="G145" s="29"/>
      <c r="H145" s="29"/>
      <c r="I145" s="29"/>
      <c r="J145" s="30"/>
      <c r="K145" s="30"/>
      <c r="L145" s="29"/>
    </row>
    <row r="146" spans="1:12">
      <c r="A146" s="26">
        <v>46</v>
      </c>
      <c r="B146" s="9" t="s">
        <v>89</v>
      </c>
      <c r="C146" s="31" t="s">
        <v>276</v>
      </c>
      <c r="D146" s="34">
        <v>0</v>
      </c>
      <c r="F146" s="29">
        <f>ROUND((F142+F144+F145),0)</f>
        <v>0</v>
      </c>
      <c r="G146" s="29"/>
      <c r="H146" s="29"/>
      <c r="I146" s="29"/>
      <c r="J146" s="30"/>
      <c r="K146" s="30"/>
      <c r="L146" s="29"/>
    </row>
    <row r="147" spans="1:12">
      <c r="A147" s="26">
        <v>47</v>
      </c>
      <c r="B147" s="9" t="s">
        <v>90</v>
      </c>
      <c r="C147" s="31" t="s">
        <v>275</v>
      </c>
      <c r="D147" s="34">
        <v>0</v>
      </c>
      <c r="F147" s="29">
        <f>ROUND(SUMIF(Определители!I15:I17,"=6",'Текущие цены с учетом расхода'!B15:B17),0)</f>
        <v>0</v>
      </c>
      <c r="G147" s="29">
        <f>ROUND(SUMIF(Определители!I15:I17,"=6",'Текущие цены с учетом расхода'!C15:C17),0)</f>
        <v>0</v>
      </c>
      <c r="H147" s="29">
        <f>ROUND(SUMIF(Определители!I15:I17,"=6",'Текущие цены с учетом расхода'!D15:D17),0)</f>
        <v>0</v>
      </c>
      <c r="I147" s="29">
        <f>ROUND(SUMIF(Определители!I15:I17,"=6",'Текущие цены с учетом расхода'!E15:E17),0)</f>
        <v>0</v>
      </c>
      <c r="J147" s="30">
        <f>ROUND(SUMIF(Определители!I15:I17,"=6",'Текущие цены с учетом расхода'!I15:I17),8)</f>
        <v>0</v>
      </c>
      <c r="K147" s="30">
        <f>ROUND(SUMIF(Определители!I15:I17,"=6",'Текущие цены с учетом расхода'!K15:K17),8)</f>
        <v>0</v>
      </c>
      <c r="L147" s="29">
        <f>ROUND(SUMIF(Определители!I15:I17,"=6",'Текущие цены с учетом расхода'!F15:F17),0)</f>
        <v>0</v>
      </c>
    </row>
    <row r="148" spans="1:12">
      <c r="A148" s="26">
        <v>48</v>
      </c>
      <c r="B148" s="9" t="s">
        <v>74</v>
      </c>
      <c r="C148" s="31" t="s">
        <v>275</v>
      </c>
      <c r="D148" s="34">
        <v>0</v>
      </c>
      <c r="F148" s="29">
        <f>ROUND(SUMIF(Определители!I15:I17,"=6",'Текущие цены с учетом расхода'!H15:H17),0)</f>
        <v>0</v>
      </c>
      <c r="G148" s="29"/>
      <c r="H148" s="29"/>
      <c r="I148" s="29"/>
      <c r="J148" s="30"/>
      <c r="K148" s="30"/>
      <c r="L148" s="29"/>
    </row>
    <row r="149" spans="1:12">
      <c r="A149" s="26">
        <v>49</v>
      </c>
      <c r="B149" s="9" t="s">
        <v>75</v>
      </c>
      <c r="C149" s="31" t="s">
        <v>275</v>
      </c>
      <c r="D149" s="34">
        <v>0</v>
      </c>
      <c r="F149" s="29">
        <f>ROUND(SUMIF(Определители!I15:I17,"=6",'Текущие цены с учетом расхода'!N15:N17),0)</f>
        <v>0</v>
      </c>
      <c r="G149" s="29"/>
      <c r="H149" s="29"/>
      <c r="I149" s="29"/>
      <c r="J149" s="30"/>
      <c r="K149" s="30"/>
      <c r="L149" s="29"/>
    </row>
    <row r="150" spans="1:12">
      <c r="A150" s="26">
        <v>50</v>
      </c>
      <c r="B150" s="9" t="s">
        <v>76</v>
      </c>
      <c r="C150" s="31" t="s">
        <v>275</v>
      </c>
      <c r="D150" s="34">
        <v>0</v>
      </c>
      <c r="F150" s="29">
        <f>ROUND(SUMIF(Определители!I15:I17,"=6",'Текущие цены с учетом расхода'!O15:O17),0)</f>
        <v>0</v>
      </c>
      <c r="G150" s="29"/>
      <c r="H150" s="29"/>
      <c r="I150" s="29"/>
      <c r="J150" s="30"/>
      <c r="K150" s="30"/>
      <c r="L150" s="29"/>
    </row>
    <row r="151" spans="1:12">
      <c r="A151" s="26">
        <v>51</v>
      </c>
      <c r="B151" s="9" t="s">
        <v>91</v>
      </c>
      <c r="C151" s="31" t="s">
        <v>276</v>
      </c>
      <c r="D151" s="34">
        <v>0</v>
      </c>
      <c r="F151" s="29">
        <f>ROUND((F147+F149+F150),0)</f>
        <v>0</v>
      </c>
      <c r="G151" s="29"/>
      <c r="H151" s="29"/>
      <c r="I151" s="29"/>
      <c r="J151" s="30"/>
      <c r="K151" s="30"/>
      <c r="L151" s="29"/>
    </row>
    <row r="152" spans="1:12">
      <c r="A152" s="26">
        <v>52</v>
      </c>
      <c r="B152" s="9" t="s">
        <v>92</v>
      </c>
      <c r="C152" s="31" t="s">
        <v>275</v>
      </c>
      <c r="D152" s="34">
        <v>0</v>
      </c>
      <c r="F152" s="29">
        <f>ROUND(SUMIF(Определители!I15:I17,"=7",'Текущие цены с учетом расхода'!B15:B17),0)</f>
        <v>0</v>
      </c>
      <c r="G152" s="29">
        <f>ROUND(SUMIF(Определители!I15:I17,"=7",'Текущие цены с учетом расхода'!C15:C17),0)</f>
        <v>0</v>
      </c>
      <c r="H152" s="29">
        <f>ROUND(SUMIF(Определители!I15:I17,"=7",'Текущие цены с учетом расхода'!D15:D17),0)</f>
        <v>0</v>
      </c>
      <c r="I152" s="29">
        <f>ROUND(SUMIF(Определители!I15:I17,"=7",'Текущие цены с учетом расхода'!E15:E17),0)</f>
        <v>0</v>
      </c>
      <c r="J152" s="30">
        <f>ROUND(SUMIF(Определители!I15:I17,"=7",'Текущие цены с учетом расхода'!I15:I17),8)</f>
        <v>0</v>
      </c>
      <c r="K152" s="30">
        <f>ROUND(SUMIF(Определители!I15:I17,"=7",'Текущие цены с учетом расхода'!K15:K17),8)</f>
        <v>0</v>
      </c>
      <c r="L152" s="29">
        <f>ROUND(SUMIF(Определители!I15:I17,"=7",'Текущие цены с учетом расхода'!F15:F17),0)</f>
        <v>0</v>
      </c>
    </row>
    <row r="153" spans="1:12">
      <c r="A153" s="26">
        <v>53</v>
      </c>
      <c r="B153" s="9" t="s">
        <v>70</v>
      </c>
      <c r="C153" s="31" t="s">
        <v>275</v>
      </c>
      <c r="D153" s="34">
        <v>0</v>
      </c>
      <c r="F153" s="29"/>
      <c r="G153" s="29"/>
      <c r="H153" s="29"/>
      <c r="I153" s="29"/>
      <c r="J153" s="30"/>
      <c r="K153" s="30"/>
      <c r="L153" s="29"/>
    </row>
    <row r="154" spans="1:12">
      <c r="A154" s="26">
        <v>54</v>
      </c>
      <c r="B154" s="9" t="s">
        <v>79</v>
      </c>
      <c r="C154" s="31" t="s">
        <v>275</v>
      </c>
      <c r="D154" s="34">
        <v>0</v>
      </c>
      <c r="F154" s="29" t="e">
        <f ca="1">ROUND(СУММЕСЛИ2(Определители!I15:I17,"2",Определители!G15:G17,"1",'Текущие цены с учетом расхода'!B15:B17),0)</f>
        <v>#NAME?</v>
      </c>
      <c r="G154" s="29"/>
      <c r="H154" s="29"/>
      <c r="I154" s="29"/>
      <c r="J154" s="30"/>
      <c r="K154" s="30"/>
      <c r="L154" s="29"/>
    </row>
    <row r="155" spans="1:12">
      <c r="A155" s="26">
        <v>55</v>
      </c>
      <c r="B155" s="9" t="s">
        <v>74</v>
      </c>
      <c r="C155" s="31" t="s">
        <v>275</v>
      </c>
      <c r="D155" s="34">
        <v>0</v>
      </c>
      <c r="F155" s="29">
        <f>ROUND(SUMIF(Определители!I15:I17,"=7",'Текущие цены с учетом расхода'!H15:H17),0)</f>
        <v>0</v>
      </c>
      <c r="G155" s="29"/>
      <c r="H155" s="29"/>
      <c r="I155" s="29"/>
      <c r="J155" s="30"/>
      <c r="K155" s="30"/>
      <c r="L155" s="29"/>
    </row>
    <row r="156" spans="1:12">
      <c r="A156" s="26">
        <v>56</v>
      </c>
      <c r="B156" s="9" t="s">
        <v>75</v>
      </c>
      <c r="C156" s="31" t="s">
        <v>275</v>
      </c>
      <c r="D156" s="34">
        <v>0</v>
      </c>
      <c r="F156" s="29">
        <f>ROUND(SUMIF(Определители!I15:I17,"=7",'Текущие цены с учетом расхода'!N15:N17),0)</f>
        <v>0</v>
      </c>
      <c r="G156" s="29"/>
      <c r="H156" s="29"/>
      <c r="I156" s="29"/>
      <c r="J156" s="30"/>
      <c r="K156" s="30"/>
      <c r="L156" s="29"/>
    </row>
    <row r="157" spans="1:12">
      <c r="A157" s="26">
        <v>57</v>
      </c>
      <c r="B157" s="9" t="s">
        <v>76</v>
      </c>
      <c r="C157" s="31" t="s">
        <v>275</v>
      </c>
      <c r="D157" s="34">
        <v>0</v>
      </c>
      <c r="F157" s="29">
        <f>ROUND(SUMIF(Определители!I15:I17,"=7",'Текущие цены с учетом расхода'!O15:O17),0)</f>
        <v>0</v>
      </c>
      <c r="G157" s="29"/>
      <c r="H157" s="29"/>
      <c r="I157" s="29"/>
      <c r="J157" s="30"/>
      <c r="K157" s="30"/>
      <c r="L157" s="29"/>
    </row>
    <row r="158" spans="1:12">
      <c r="A158" s="26">
        <v>58</v>
      </c>
      <c r="B158" s="9" t="s">
        <v>93</v>
      </c>
      <c r="C158" s="31" t="s">
        <v>276</v>
      </c>
      <c r="D158" s="34">
        <v>0</v>
      </c>
      <c r="F158" s="29">
        <f>ROUND((F152+F156+F157),0)</f>
        <v>0</v>
      </c>
      <c r="G158" s="29"/>
      <c r="H158" s="29"/>
      <c r="I158" s="29"/>
      <c r="J158" s="30"/>
      <c r="K158" s="30"/>
      <c r="L158" s="29"/>
    </row>
    <row r="159" spans="1:12">
      <c r="A159" s="26">
        <v>59</v>
      </c>
      <c r="B159" s="9" t="s">
        <v>94</v>
      </c>
      <c r="C159" s="31" t="s">
        <v>275</v>
      </c>
      <c r="D159" s="34">
        <v>0</v>
      </c>
      <c r="F159" s="29">
        <f>ROUND(SUMIF(Определители!I15:I17,"=;",'Текущие цены с учетом расхода'!B15:B17),0)</f>
        <v>0</v>
      </c>
      <c r="G159" s="29">
        <f>ROUND(SUMIF(Определители!I15:I17,"=;",'Текущие цены с учетом расхода'!C15:C17),0)</f>
        <v>0</v>
      </c>
      <c r="H159" s="29">
        <f>ROUND(SUMIF(Определители!I15:I17,"=;",'Текущие цены с учетом расхода'!D15:D17),0)</f>
        <v>0</v>
      </c>
      <c r="I159" s="29">
        <f>ROUND(SUMIF(Определители!I15:I17,"=;",'Текущие цены с учетом расхода'!E15:E17),0)</f>
        <v>0</v>
      </c>
      <c r="J159" s="30">
        <f>ROUND(SUMIF(Определители!I15:I17,"=;",'Текущие цены с учетом расхода'!I15:I17),8)</f>
        <v>0</v>
      </c>
      <c r="K159" s="30">
        <f>ROUND(SUMIF(Определители!I15:I17,"=;",'Текущие цены с учетом расхода'!K15:K17),8)</f>
        <v>0</v>
      </c>
      <c r="L159" s="29">
        <f>ROUND(SUMIF(Определители!I15:I17,"=;",'Текущие цены с учетом расхода'!F15:F17),0)</f>
        <v>0</v>
      </c>
    </row>
    <row r="160" spans="1:12">
      <c r="A160" s="26">
        <v>60</v>
      </c>
      <c r="B160" s="9" t="s">
        <v>95</v>
      </c>
      <c r="C160" s="31" t="s">
        <v>275</v>
      </c>
      <c r="D160" s="34">
        <v>0</v>
      </c>
      <c r="F160" s="29">
        <f>ROUND(SUMIF(Определители!I15:I17,"=;",'Текущие цены с учетом расхода'!AF15:AF17),0)</f>
        <v>0</v>
      </c>
      <c r="G160" s="29"/>
      <c r="H160" s="29"/>
      <c r="I160" s="29"/>
      <c r="J160" s="30"/>
      <c r="K160" s="30"/>
      <c r="L160" s="29"/>
    </row>
    <row r="161" spans="1:12">
      <c r="A161" s="26">
        <v>61</v>
      </c>
      <c r="B161" s="9" t="s">
        <v>96</v>
      </c>
      <c r="C161" s="31" t="s">
        <v>275</v>
      </c>
      <c r="D161" s="34">
        <v>0</v>
      </c>
      <c r="F161" s="29">
        <f>ROUND(SUMIF(Определители!I15:I17,"=;",'Текущие цены с учетом расхода'!AG15:AG17),0)</f>
        <v>0</v>
      </c>
      <c r="G161" s="29"/>
      <c r="H161" s="29"/>
      <c r="I161" s="29"/>
      <c r="J161" s="30"/>
      <c r="K161" s="30"/>
      <c r="L161" s="29"/>
    </row>
    <row r="162" spans="1:12">
      <c r="A162" s="26">
        <v>62</v>
      </c>
      <c r="B162" s="9" t="s">
        <v>75</v>
      </c>
      <c r="C162" s="31" t="s">
        <v>275</v>
      </c>
      <c r="D162" s="34">
        <v>0</v>
      </c>
      <c r="F162" s="29">
        <f>ROUND(SUMIF(Определители!I15:I17,"=;",'Текущие цены с учетом расхода'!N15:N17),0)</f>
        <v>0</v>
      </c>
      <c r="G162" s="29"/>
      <c r="H162" s="29"/>
      <c r="I162" s="29"/>
      <c r="J162" s="30"/>
      <c r="K162" s="30"/>
      <c r="L162" s="29"/>
    </row>
    <row r="163" spans="1:12">
      <c r="A163" s="26">
        <v>63</v>
      </c>
      <c r="B163" s="9" t="s">
        <v>76</v>
      </c>
      <c r="C163" s="31" t="s">
        <v>275</v>
      </c>
      <c r="D163" s="34">
        <v>0</v>
      </c>
      <c r="F163" s="29">
        <f>ROUND(SUMIF(Определители!I15:I17,"=;",'Текущие цены с учетом расхода'!O15:O17),0)</f>
        <v>0</v>
      </c>
      <c r="G163" s="29"/>
      <c r="H163" s="29"/>
      <c r="I163" s="29"/>
      <c r="J163" s="30"/>
      <c r="K163" s="30"/>
      <c r="L163" s="29"/>
    </row>
    <row r="164" spans="1:12">
      <c r="A164" s="26">
        <v>64</v>
      </c>
      <c r="B164" s="9" t="s">
        <v>97</v>
      </c>
      <c r="C164" s="31" t="s">
        <v>276</v>
      </c>
      <c r="D164" s="34">
        <v>0</v>
      </c>
      <c r="F164" s="29">
        <f>ROUND((F159+F162+F163),0)</f>
        <v>0</v>
      </c>
      <c r="G164" s="29"/>
      <c r="H164" s="29"/>
      <c r="I164" s="29"/>
      <c r="J164" s="30"/>
      <c r="K164" s="30"/>
      <c r="L164" s="29"/>
    </row>
    <row r="165" spans="1:12">
      <c r="A165" s="26">
        <v>65</v>
      </c>
      <c r="B165" s="9" t="s">
        <v>98</v>
      </c>
      <c r="C165" s="31" t="s">
        <v>275</v>
      </c>
      <c r="D165" s="34">
        <v>0</v>
      </c>
      <c r="F165" s="29">
        <f>ROUND(SUMIF(Определители!I15:I17,"=9",'Текущие цены с учетом расхода'!B15:B17),0)</f>
        <v>0</v>
      </c>
      <c r="G165" s="29">
        <f>ROUND(SUMIF(Определители!I15:I17,"=9",'Текущие цены с учетом расхода'!C15:C17),0)</f>
        <v>0</v>
      </c>
      <c r="H165" s="29">
        <f>ROUND(SUMIF(Определители!I15:I17,"=9",'Текущие цены с учетом расхода'!D15:D17),0)</f>
        <v>0</v>
      </c>
      <c r="I165" s="29">
        <f>ROUND(SUMIF(Определители!I15:I17,"=9",'Текущие цены с учетом расхода'!E15:E17),0)</f>
        <v>0</v>
      </c>
      <c r="J165" s="30">
        <f>ROUND(SUMIF(Определители!I15:I17,"=9",'Текущие цены с учетом расхода'!I15:I17),8)</f>
        <v>0</v>
      </c>
      <c r="K165" s="30">
        <f>ROUND(SUMIF(Определители!I15:I17,"=9",'Текущие цены с учетом расхода'!K15:K17),8)</f>
        <v>0</v>
      </c>
      <c r="L165" s="29">
        <f>ROUND(SUMIF(Определители!I15:I17,"=9",'Текущие цены с учетом расхода'!F15:F17),0)</f>
        <v>0</v>
      </c>
    </row>
    <row r="166" spans="1:12">
      <c r="A166" s="26">
        <v>66</v>
      </c>
      <c r="B166" s="9" t="s">
        <v>75</v>
      </c>
      <c r="C166" s="31" t="s">
        <v>275</v>
      </c>
      <c r="D166" s="34">
        <v>0</v>
      </c>
      <c r="F166" s="29">
        <f>ROUND(SUMIF(Определители!I15:I17,"=9",'Текущие цены с учетом расхода'!N15:N17),0)</f>
        <v>0</v>
      </c>
      <c r="G166" s="29"/>
      <c r="H166" s="29"/>
      <c r="I166" s="29"/>
      <c r="J166" s="30"/>
      <c r="K166" s="30"/>
      <c r="L166" s="29"/>
    </row>
    <row r="167" spans="1:12">
      <c r="A167" s="26">
        <v>67</v>
      </c>
      <c r="B167" s="9" t="s">
        <v>76</v>
      </c>
      <c r="C167" s="31" t="s">
        <v>275</v>
      </c>
      <c r="D167" s="34">
        <v>0</v>
      </c>
      <c r="F167" s="29">
        <f>ROUND(SUMIF(Определители!I15:I17,"=9",'Текущие цены с учетом расхода'!O15:O17),0)</f>
        <v>0</v>
      </c>
      <c r="G167" s="29"/>
      <c r="H167" s="29"/>
      <c r="I167" s="29"/>
      <c r="J167" s="30"/>
      <c r="K167" s="30"/>
      <c r="L167" s="29"/>
    </row>
    <row r="168" spans="1:12">
      <c r="A168" s="26">
        <v>68</v>
      </c>
      <c r="B168" s="9" t="s">
        <v>99</v>
      </c>
      <c r="C168" s="31" t="s">
        <v>276</v>
      </c>
      <c r="D168" s="34">
        <v>0</v>
      </c>
      <c r="F168" s="29">
        <f>ROUND((F165+F166+F167),0)</f>
        <v>0</v>
      </c>
      <c r="G168" s="29"/>
      <c r="H168" s="29"/>
      <c r="I168" s="29"/>
      <c r="J168" s="30"/>
      <c r="K168" s="30"/>
      <c r="L168" s="29"/>
    </row>
    <row r="169" spans="1:12">
      <c r="A169" s="26">
        <v>69</v>
      </c>
      <c r="B169" s="9" t="s">
        <v>100</v>
      </c>
      <c r="C169" s="31" t="s">
        <v>275</v>
      </c>
      <c r="D169" s="34">
        <v>0</v>
      </c>
      <c r="F169" s="29">
        <f>ROUND(SUMIF(Определители!I15:I17,"=:",'Текущие цены с учетом расхода'!B15:B17),0)</f>
        <v>0</v>
      </c>
      <c r="G169" s="29">
        <f>ROUND(SUMIF(Определители!I15:I17,"=:",'Текущие цены с учетом расхода'!C15:C17),0)</f>
        <v>0</v>
      </c>
      <c r="H169" s="29">
        <f>ROUND(SUMIF(Определители!I15:I17,"=:",'Текущие цены с учетом расхода'!D15:D17),0)</f>
        <v>0</v>
      </c>
      <c r="I169" s="29">
        <f>ROUND(SUMIF(Определители!I15:I17,"=:",'Текущие цены с учетом расхода'!E15:E17),0)</f>
        <v>0</v>
      </c>
      <c r="J169" s="30">
        <f>ROUND(SUMIF(Определители!I15:I17,"=:",'Текущие цены с учетом расхода'!I15:I17),8)</f>
        <v>0</v>
      </c>
      <c r="K169" s="30">
        <f>ROUND(SUMIF(Определители!I15:I17,"=:",'Текущие цены с учетом расхода'!K15:K17),8)</f>
        <v>0</v>
      </c>
      <c r="L169" s="29">
        <f>ROUND(SUMIF(Определители!I15:I17,"=:",'Текущие цены с учетом расхода'!F15:F17),0)</f>
        <v>0</v>
      </c>
    </row>
    <row r="170" spans="1:12">
      <c r="A170" s="26">
        <v>70</v>
      </c>
      <c r="B170" s="9" t="s">
        <v>74</v>
      </c>
      <c r="C170" s="31" t="s">
        <v>275</v>
      </c>
      <c r="D170" s="34">
        <v>0</v>
      </c>
      <c r="F170" s="29">
        <f>ROUND(SUMIF(Определители!I15:I17,"=:",'Текущие цены с учетом расхода'!H15:H17),0)</f>
        <v>0</v>
      </c>
      <c r="G170" s="29"/>
      <c r="H170" s="29"/>
      <c r="I170" s="29"/>
      <c r="J170" s="30"/>
      <c r="K170" s="30"/>
      <c r="L170" s="29"/>
    </row>
    <row r="171" spans="1:12">
      <c r="A171" s="26">
        <v>71</v>
      </c>
      <c r="B171" s="9" t="s">
        <v>75</v>
      </c>
      <c r="C171" s="31" t="s">
        <v>275</v>
      </c>
      <c r="D171" s="34">
        <v>0</v>
      </c>
      <c r="F171" s="29">
        <f>ROUND(SUMIF(Определители!I15:I17,"=:",'Текущие цены с учетом расхода'!N15:N17),0)</f>
        <v>0</v>
      </c>
      <c r="G171" s="29"/>
      <c r="H171" s="29"/>
      <c r="I171" s="29"/>
      <c r="J171" s="30"/>
      <c r="K171" s="30"/>
      <c r="L171" s="29"/>
    </row>
    <row r="172" spans="1:12">
      <c r="A172" s="26">
        <v>72</v>
      </c>
      <c r="B172" s="9" t="s">
        <v>76</v>
      </c>
      <c r="C172" s="31" t="s">
        <v>275</v>
      </c>
      <c r="D172" s="34">
        <v>0</v>
      </c>
      <c r="F172" s="29">
        <f>ROUND(SUMIF(Определители!I15:I17,"=:",'Текущие цены с учетом расхода'!O15:O17),0)</f>
        <v>0</v>
      </c>
      <c r="G172" s="29"/>
      <c r="H172" s="29"/>
      <c r="I172" s="29"/>
      <c r="J172" s="30"/>
      <c r="K172" s="30"/>
      <c r="L172" s="29"/>
    </row>
    <row r="173" spans="1:12">
      <c r="A173" s="26">
        <v>73</v>
      </c>
      <c r="B173" s="9" t="s">
        <v>101</v>
      </c>
      <c r="C173" s="31" t="s">
        <v>276</v>
      </c>
      <c r="D173" s="34">
        <v>0</v>
      </c>
      <c r="F173" s="29">
        <f>ROUND((F169+F171+F172),0)</f>
        <v>0</v>
      </c>
      <c r="G173" s="29"/>
      <c r="H173" s="29"/>
      <c r="I173" s="29"/>
      <c r="J173" s="30"/>
      <c r="K173" s="30"/>
      <c r="L173" s="29"/>
    </row>
    <row r="174" spans="1:12">
      <c r="A174" s="26">
        <v>74</v>
      </c>
      <c r="B174" s="9" t="s">
        <v>102</v>
      </c>
      <c r="C174" s="31" t="s">
        <v>275</v>
      </c>
      <c r="D174" s="34">
        <v>0</v>
      </c>
      <c r="F174" s="29">
        <f>ROUND(SUMIF(Определители!I15:I17,"=8",'Текущие цены с учетом расхода'!B15:B17),0)</f>
        <v>0</v>
      </c>
      <c r="G174" s="29">
        <f>ROUND(SUMIF(Определители!I15:I17,"=8",'Текущие цены с учетом расхода'!C15:C17),0)</f>
        <v>0</v>
      </c>
      <c r="H174" s="29">
        <f>ROUND(SUMIF(Определители!I15:I17,"=8",'Текущие цены с учетом расхода'!D15:D17),0)</f>
        <v>0</v>
      </c>
      <c r="I174" s="29">
        <f>ROUND(SUMIF(Определители!I15:I17,"=8",'Текущие цены с учетом расхода'!E15:E17),0)</f>
        <v>0</v>
      </c>
      <c r="J174" s="30">
        <f>ROUND(SUMIF(Определители!I15:I17,"=8",'Текущие цены с учетом расхода'!I15:I17),8)</f>
        <v>0</v>
      </c>
      <c r="K174" s="30">
        <f>ROUND(SUMIF(Определители!I15:I17,"=8",'Текущие цены с учетом расхода'!K15:K17),8)</f>
        <v>0</v>
      </c>
      <c r="L174" s="29">
        <f>ROUND(SUMIF(Определители!I15:I17,"=8",'Текущие цены с учетом расхода'!F15:F17),0)</f>
        <v>0</v>
      </c>
    </row>
    <row r="175" spans="1:12">
      <c r="A175" s="26">
        <v>75</v>
      </c>
      <c r="B175" s="9" t="s">
        <v>74</v>
      </c>
      <c r="C175" s="31" t="s">
        <v>275</v>
      </c>
      <c r="D175" s="34">
        <v>0</v>
      </c>
      <c r="F175" s="29">
        <f>ROUND(SUMIF(Определители!I15:I17,"=8",'Текущие цены с учетом расхода'!H15:H17),0)</f>
        <v>0</v>
      </c>
      <c r="G175" s="29"/>
      <c r="H175" s="29"/>
      <c r="I175" s="29"/>
      <c r="J175" s="30"/>
      <c r="K175" s="30"/>
      <c r="L175" s="29"/>
    </row>
    <row r="176" spans="1:12">
      <c r="A176" s="26">
        <v>76</v>
      </c>
      <c r="B176" s="9" t="s">
        <v>158</v>
      </c>
      <c r="C176" s="31" t="s">
        <v>276</v>
      </c>
      <c r="D176" s="34">
        <v>0</v>
      </c>
      <c r="F176" s="29" t="e">
        <f ca="1">ROUND((F111+F121+F128+F133+F141+F146+F151+F158+F168+F173+F174+F164),0)</f>
        <v>#NAME?</v>
      </c>
      <c r="G176" s="29">
        <f>ROUND((G111+G121+G128+G133+G141+G146+G151+G158+G168+G173+G174+G164),0)</f>
        <v>0</v>
      </c>
      <c r="H176" s="29">
        <f>ROUND((H111+H121+H128+H133+H141+H146+H151+H158+H168+H173+H174+H164),0)</f>
        <v>0</v>
      </c>
      <c r="I176" s="29">
        <f>ROUND((I111+I121+I128+I133+I141+I146+I151+I158+I168+I173+I174+I164),0)</f>
        <v>0</v>
      </c>
      <c r="J176" s="30">
        <f>ROUND((J111+J121+J128+J133+J141+J146+J151+J158+J168+J173+J174+J164),8)</f>
        <v>0</v>
      </c>
      <c r="K176" s="30">
        <f>ROUND((K111+K121+K128+K133+K141+K146+K151+K158+K168+K173+K174+K164),8)</f>
        <v>0</v>
      </c>
      <c r="L176" s="29">
        <f>ROUND((L111+L121+L128+L133+L141+L146+L151+L158+L168+L173+L174+L164),0)</f>
        <v>0</v>
      </c>
    </row>
    <row r="177" spans="1:14">
      <c r="A177" s="26">
        <v>77</v>
      </c>
      <c r="B177" s="9" t="s">
        <v>104</v>
      </c>
      <c r="C177" s="31" t="s">
        <v>276</v>
      </c>
      <c r="D177" s="34">
        <v>0</v>
      </c>
      <c r="F177" s="29">
        <f>ROUND((F117+F125+F130+F137+F143+F148+F155+F170+F175),0)</f>
        <v>0</v>
      </c>
      <c r="G177" s="29"/>
      <c r="H177" s="29"/>
      <c r="I177" s="29"/>
      <c r="J177" s="30"/>
      <c r="K177" s="30"/>
      <c r="L177" s="29"/>
    </row>
    <row r="178" spans="1:14">
      <c r="A178" s="26">
        <v>78</v>
      </c>
      <c r="B178" s="9" t="s">
        <v>105</v>
      </c>
      <c r="C178" s="31" t="s">
        <v>276</v>
      </c>
      <c r="D178" s="34">
        <v>0</v>
      </c>
      <c r="F178" s="29">
        <f>ROUND((F118+F126+F131+F138+F144+F149+F156+F166+F171+F162),0)</f>
        <v>3133</v>
      </c>
      <c r="G178" s="29"/>
      <c r="H178" s="29"/>
      <c r="I178" s="29"/>
      <c r="J178" s="30"/>
      <c r="K178" s="30"/>
      <c r="L178" s="29"/>
    </row>
    <row r="179" spans="1:14">
      <c r="A179" s="26">
        <v>79</v>
      </c>
      <c r="B179" s="9" t="s">
        <v>106</v>
      </c>
      <c r="C179" s="31" t="s">
        <v>276</v>
      </c>
      <c r="D179" s="34">
        <v>0</v>
      </c>
      <c r="F179" s="29">
        <f>ROUND((F119+F127+F132+F139+F145+F150+F157+F167+F172+F163),0)</f>
        <v>2636</v>
      </c>
      <c r="G179" s="29"/>
      <c r="H179" s="29"/>
      <c r="I179" s="29"/>
      <c r="J179" s="30"/>
      <c r="K179" s="30"/>
      <c r="L179" s="29"/>
    </row>
    <row r="180" spans="1:14">
      <c r="A180" s="26">
        <v>80</v>
      </c>
      <c r="B180" s="9" t="s">
        <v>33</v>
      </c>
      <c r="C180" s="31" t="s">
        <v>277</v>
      </c>
      <c r="D180" s="34">
        <v>0</v>
      </c>
      <c r="F180" s="29">
        <f>ROUND(SUM('Текущие цены с учетом расхода'!X15:X17),0)</f>
        <v>0</v>
      </c>
      <c r="G180" s="29"/>
      <c r="H180" s="29"/>
      <c r="I180" s="29"/>
      <c r="J180" s="30"/>
      <c r="K180" s="30"/>
      <c r="L180" s="29">
        <f>ROUND(SUM('Текущие цены с учетом расхода'!X15:X17),0)</f>
        <v>0</v>
      </c>
    </row>
    <row r="181" spans="1:14">
      <c r="A181" s="26">
        <v>81</v>
      </c>
      <c r="B181" s="9" t="s">
        <v>107</v>
      </c>
      <c r="C181" s="31" t="s">
        <v>277</v>
      </c>
      <c r="D181" s="34">
        <v>0</v>
      </c>
      <c r="F181" s="29">
        <f>ROUND(SUM(G181:N181),0)</f>
        <v>0</v>
      </c>
      <c r="G181" s="29"/>
      <c r="H181" s="29"/>
      <c r="I181" s="29"/>
      <c r="J181" s="30"/>
      <c r="K181" s="30"/>
      <c r="L181" s="29">
        <f>ROUND(SUM('Текущие цены с учетом расхода'!AE15:AE17),0)</f>
        <v>0</v>
      </c>
    </row>
    <row r="182" spans="1:14">
      <c r="A182" s="26">
        <v>82</v>
      </c>
      <c r="B182" s="9" t="s">
        <v>108</v>
      </c>
      <c r="C182" s="31" t="s">
        <v>277</v>
      </c>
      <c r="D182" s="34">
        <v>0</v>
      </c>
      <c r="F182" s="29">
        <f>ROUND(SUM('Текущие цены с учетом расхода'!C15:C17),0)</f>
        <v>3376</v>
      </c>
      <c r="G182" s="29"/>
      <c r="H182" s="29"/>
      <c r="I182" s="29"/>
      <c r="J182" s="30"/>
      <c r="K182" s="30"/>
      <c r="L182" s="29"/>
    </row>
    <row r="183" spans="1:14">
      <c r="A183" s="26">
        <v>83</v>
      </c>
      <c r="B183" s="9" t="s">
        <v>109</v>
      </c>
      <c r="C183" s="31" t="s">
        <v>277</v>
      </c>
      <c r="D183" s="34">
        <v>0</v>
      </c>
      <c r="F183" s="29">
        <f>ROUND(SUM('Текущие цены с учетом расхода'!E15:E17),0)</f>
        <v>373</v>
      </c>
      <c r="G183" s="29"/>
      <c r="H183" s="29"/>
      <c r="I183" s="29"/>
      <c r="J183" s="30"/>
      <c r="K183" s="30"/>
      <c r="L183" s="29"/>
    </row>
    <row r="184" spans="1:14">
      <c r="A184" s="26">
        <v>84</v>
      </c>
      <c r="B184" s="9" t="s">
        <v>110</v>
      </c>
      <c r="C184" s="31" t="s">
        <v>278</v>
      </c>
      <c r="D184" s="34">
        <v>0</v>
      </c>
      <c r="F184" s="29">
        <f>ROUND((F182+F183),0)</f>
        <v>3749</v>
      </c>
      <c r="G184" s="29"/>
      <c r="H184" s="29"/>
      <c r="I184" s="29"/>
      <c r="J184" s="30"/>
      <c r="K184" s="30"/>
      <c r="L184" s="29"/>
    </row>
    <row r="185" spans="1:14">
      <c r="A185" s="26">
        <v>85</v>
      </c>
      <c r="B185" s="9" t="s">
        <v>111</v>
      </c>
      <c r="C185" s="31" t="s">
        <v>277</v>
      </c>
      <c r="D185" s="34">
        <v>0</v>
      </c>
      <c r="F185" s="29"/>
      <c r="G185" s="29"/>
      <c r="H185" s="29"/>
      <c r="I185" s="29"/>
      <c r="J185" s="30" t="e">
        <f ca="1">ROUND(SUM('Текущие цены с учетом расхода'!I15:I17),8)</f>
        <v>#NAME?</v>
      </c>
      <c r="K185" s="30"/>
      <c r="L185" s="29"/>
    </row>
    <row r="186" spans="1:14">
      <c r="A186" s="26">
        <v>86</v>
      </c>
      <c r="B186" s="9" t="s">
        <v>112</v>
      </c>
      <c r="C186" s="31" t="s">
        <v>277</v>
      </c>
      <c r="D186" s="34">
        <v>0</v>
      </c>
      <c r="F186" s="29"/>
      <c r="G186" s="29"/>
      <c r="H186" s="29"/>
      <c r="I186" s="29"/>
      <c r="J186" s="30" t="e">
        <f ca="1">ROUND(SUM('Текущие цены с учетом расхода'!K15:K17),8)</f>
        <v>#NAME?</v>
      </c>
      <c r="K186" s="30"/>
      <c r="L186" s="29"/>
    </row>
    <row r="187" spans="1:14">
      <c r="A187" s="26">
        <v>87</v>
      </c>
      <c r="B187" s="9" t="s">
        <v>113</v>
      </c>
      <c r="C187" s="31" t="s">
        <v>278</v>
      </c>
      <c r="D187" s="34">
        <v>0</v>
      </c>
      <c r="F187" s="29"/>
      <c r="G187" s="29"/>
      <c r="H187" s="29"/>
      <c r="I187" s="29"/>
      <c r="J187" s="30" t="e">
        <f ca="1">ROUND((J185+J186),8)</f>
        <v>#NAME?</v>
      </c>
      <c r="K187" s="30"/>
      <c r="L187" s="29"/>
    </row>
    <row r="189" spans="1:14">
      <c r="B189" s="49" t="s">
        <v>127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</row>
    <row r="190" spans="1:14"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</row>
    <row r="191" spans="1:14" s="27" customFormat="1">
      <c r="A191" s="7"/>
      <c r="B191" s="27" t="s">
        <v>262</v>
      </c>
      <c r="C191" s="27" t="s">
        <v>263</v>
      </c>
      <c r="D191" s="35" t="s">
        <v>264</v>
      </c>
      <c r="E191" s="27" t="s">
        <v>265</v>
      </c>
      <c r="F191" s="27" t="s">
        <v>266</v>
      </c>
      <c r="G191" s="27" t="s">
        <v>267</v>
      </c>
      <c r="H191" s="27" t="s">
        <v>268</v>
      </c>
      <c r="I191" s="27" t="s">
        <v>269</v>
      </c>
      <c r="J191" s="27" t="s">
        <v>270</v>
      </c>
      <c r="K191" s="27" t="s">
        <v>271</v>
      </c>
      <c r="L191" s="27" t="s">
        <v>272</v>
      </c>
      <c r="M191" s="27" t="s">
        <v>273</v>
      </c>
    </row>
    <row r="192" spans="1:14">
      <c r="A192" s="26">
        <v>1</v>
      </c>
      <c r="B192" s="9" t="s">
        <v>153</v>
      </c>
      <c r="C192" s="31" t="s">
        <v>274</v>
      </c>
      <c r="D192" s="34">
        <v>0</v>
      </c>
      <c r="E192" s="34"/>
      <c r="F192" s="29">
        <f>ROUND(SUM('Текущие цены с учетом расхода'!B21:B26),0)</f>
        <v>61736</v>
      </c>
      <c r="G192" s="29">
        <f>ROUND(SUM('Текущие цены с учетом расхода'!C21:C26),0)</f>
        <v>14839</v>
      </c>
      <c r="H192" s="29">
        <f>ROUND(SUM('Текущие цены с учетом расхода'!D21:D26),0)</f>
        <v>2838</v>
      </c>
      <c r="I192" s="29">
        <f>ROUND(SUM('Текущие цены с учетом расхода'!E21:E26),0)</f>
        <v>746</v>
      </c>
      <c r="J192" s="30" t="e">
        <f ca="1">ROUND(SUM('Текущие цены с учетом расхода'!I21:I26),8)</f>
        <v>#NAME?</v>
      </c>
      <c r="K192" s="30" t="e">
        <f ca="1">ROUND(SUM('Текущие цены с учетом расхода'!K21:K26),8)</f>
        <v>#NAME?</v>
      </c>
      <c r="L192" s="29">
        <f>ROUND(SUM('Текущие цены с учетом расхода'!F21:F26),0)</f>
        <v>44059</v>
      </c>
      <c r="N192" s="34"/>
    </row>
    <row r="193" spans="1:12">
      <c r="A193" s="26">
        <v>2</v>
      </c>
      <c r="B193" s="9" t="s">
        <v>59</v>
      </c>
      <c r="C193" s="31" t="s">
        <v>275</v>
      </c>
      <c r="D193" s="34">
        <v>0</v>
      </c>
      <c r="F193" s="29">
        <f>ROUND(SUMIF(Определители!I21:I26,"= ",'Текущие цены с учетом расхода'!B21:B26),0)</f>
        <v>0</v>
      </c>
      <c r="G193" s="29">
        <f>ROUND(SUMIF(Определители!I21:I26,"= ",'Текущие цены с учетом расхода'!C21:C26),0)</f>
        <v>0</v>
      </c>
      <c r="H193" s="29">
        <f>ROUND(SUMIF(Определители!I21:I26,"= ",'Текущие цены с учетом расхода'!D21:D26),0)</f>
        <v>0</v>
      </c>
      <c r="I193" s="29">
        <f>ROUND(SUMIF(Определители!I21:I26,"= ",'Текущие цены с учетом расхода'!E21:E26),0)</f>
        <v>0</v>
      </c>
      <c r="J193" s="30">
        <f>ROUND(SUMIF(Определители!I21:I26,"= ",'Текущие цены с учетом расхода'!I21:I26),8)</f>
        <v>0</v>
      </c>
      <c r="K193" s="30">
        <f>ROUND(SUMIF(Определители!I21:I26,"= ",'Текущие цены с учетом расхода'!K21:K26),8)</f>
        <v>0</v>
      </c>
      <c r="L193" s="29">
        <f>ROUND(SUMIF(Определители!I21:I26,"= ",'Текущие цены с учетом расхода'!F21:F26),0)</f>
        <v>0</v>
      </c>
    </row>
    <row r="194" spans="1:12">
      <c r="A194" s="26">
        <v>3</v>
      </c>
      <c r="B194" s="9" t="s">
        <v>60</v>
      </c>
      <c r="C194" s="31" t="s">
        <v>275</v>
      </c>
      <c r="D194" s="34">
        <v>0</v>
      </c>
      <c r="F194" s="29" t="e">
        <f ca="1">ROUND(СУММПРОИЗВЕСЛИ(0.01,Определители!I21:I26," ",'Текущие цены с учетом расхода'!B21:B26,Начисления!X21:X26,0),0)</f>
        <v>#NAME?</v>
      </c>
      <c r="G194" s="29"/>
      <c r="H194" s="29"/>
      <c r="I194" s="29"/>
      <c r="J194" s="30"/>
      <c r="K194" s="30"/>
      <c r="L194" s="29"/>
    </row>
    <row r="195" spans="1:12">
      <c r="A195" s="26">
        <v>4</v>
      </c>
      <c r="B195" s="9" t="s">
        <v>61</v>
      </c>
      <c r="C195" s="31" t="s">
        <v>275</v>
      </c>
      <c r="D195" s="34">
        <v>0</v>
      </c>
      <c r="F195" s="29" t="e">
        <f ca="1">ROUND(СУММПРОИЗВЕСЛИ(0.01,Определители!I21:I26," ",'Текущие цены с учетом расхода'!B21:B26,Начисления!Y21:Y26,0),0)</f>
        <v>#NAME?</v>
      </c>
      <c r="G195" s="29"/>
      <c r="H195" s="29"/>
      <c r="I195" s="29"/>
      <c r="J195" s="30"/>
      <c r="K195" s="30"/>
      <c r="L195" s="29"/>
    </row>
    <row r="196" spans="1:12">
      <c r="A196" s="26">
        <v>5</v>
      </c>
      <c r="B196" s="9" t="s">
        <v>62</v>
      </c>
      <c r="C196" s="31" t="s">
        <v>275</v>
      </c>
      <c r="D196" s="34">
        <v>0</v>
      </c>
      <c r="F196" s="29" t="e">
        <f ca="1">ROUND(ТРАНСПРАСХОД(Определители!B21:B26,Определители!H21:H26,Определители!I21:I26,'Текущие цены с учетом расхода'!B21:B26,Начисления!Z21:Z26,Начисления!AA21:AA26),0)</f>
        <v>#NAME?</v>
      </c>
      <c r="G196" s="29"/>
      <c r="H196" s="29"/>
      <c r="I196" s="29"/>
      <c r="J196" s="30"/>
      <c r="K196" s="30"/>
      <c r="L196" s="29"/>
    </row>
    <row r="197" spans="1:12">
      <c r="A197" s="26">
        <v>6</v>
      </c>
      <c r="B197" s="9" t="s">
        <v>63</v>
      </c>
      <c r="C197" s="31" t="s">
        <v>275</v>
      </c>
      <c r="D197" s="34">
        <v>0</v>
      </c>
      <c r="F197" s="29" t="e">
        <f ca="1">ROUND(СУММПРОИЗВЕСЛИ(0.01,Определители!I21:I26," ",'Текущие цены с учетом расхода'!B21:B26,Начисления!AC21:AC26,0),0)</f>
        <v>#NAME?</v>
      </c>
      <c r="G197" s="29"/>
      <c r="H197" s="29"/>
      <c r="I197" s="29"/>
      <c r="J197" s="30"/>
      <c r="K197" s="30"/>
      <c r="L197" s="29"/>
    </row>
    <row r="198" spans="1:12">
      <c r="A198" s="26">
        <v>7</v>
      </c>
      <c r="B198" s="9" t="s">
        <v>64</v>
      </c>
      <c r="C198" s="31" t="s">
        <v>275</v>
      </c>
      <c r="D198" s="34">
        <v>0</v>
      </c>
      <c r="F198" s="29" t="e">
        <f ca="1">ROUND(СУММПРОИЗВЕСЛИ(0.01,Определители!I21:I26," ",'Текущие цены с учетом расхода'!B21:B26,Начисления!AF21:AF26,0),0)</f>
        <v>#NAME?</v>
      </c>
      <c r="G198" s="29"/>
      <c r="H198" s="29"/>
      <c r="I198" s="29"/>
      <c r="J198" s="30"/>
      <c r="K198" s="30"/>
      <c r="L198" s="29"/>
    </row>
    <row r="199" spans="1:12">
      <c r="A199" s="26">
        <v>8</v>
      </c>
      <c r="B199" s="9" t="s">
        <v>65</v>
      </c>
      <c r="C199" s="31" t="s">
        <v>275</v>
      </c>
      <c r="D199" s="34">
        <v>0</v>
      </c>
      <c r="F199" s="29" t="e">
        <f ca="1">ROUND(ЗАГОТСКЛАДРАСХОД(Определители!B21:B26,Определители!H21:H26,Определители!I21:I26,'Текущие цены с учетом расхода'!B21:B26,Начисления!X21:X26,Начисления!Y21:Y26,Начисления!Z21:Z26,Начисления!AA21:AA26,Начисления!AB21:AB26,Начисления!AC21:AC26,Начисления!AF21:AF26),0)</f>
        <v>#NAME?</v>
      </c>
      <c r="G199" s="29"/>
      <c r="H199" s="29"/>
      <c r="I199" s="29"/>
      <c r="J199" s="30"/>
      <c r="K199" s="30"/>
      <c r="L199" s="29"/>
    </row>
    <row r="200" spans="1:12">
      <c r="A200" s="26">
        <v>9</v>
      </c>
      <c r="B200" s="9" t="s">
        <v>66</v>
      </c>
      <c r="C200" s="31" t="s">
        <v>275</v>
      </c>
      <c r="D200" s="34">
        <v>0</v>
      </c>
      <c r="F200" s="29" t="e">
        <f ca="1">ROUND(СУММПРОИЗВЕСЛИ(1,Определители!I21:I26," ",'Текущие цены с учетом расхода'!M21:M26,Начисления!I21:I26,0),0)</f>
        <v>#NAME?</v>
      </c>
      <c r="G200" s="29"/>
      <c r="H200" s="29"/>
      <c r="I200" s="29"/>
      <c r="J200" s="30"/>
      <c r="K200" s="30"/>
      <c r="L200" s="29"/>
    </row>
    <row r="201" spans="1:12">
      <c r="A201" s="26">
        <v>10</v>
      </c>
      <c r="B201" s="9" t="s">
        <v>67</v>
      </c>
      <c r="C201" s="31" t="s">
        <v>276</v>
      </c>
      <c r="D201" s="34">
        <v>0</v>
      </c>
      <c r="F201" s="29" t="e">
        <f ca="1">ROUND((F200+F211+F231),0)</f>
        <v>#NAME?</v>
      </c>
      <c r="G201" s="29"/>
      <c r="H201" s="29"/>
      <c r="I201" s="29"/>
      <c r="J201" s="30"/>
      <c r="K201" s="30"/>
      <c r="L201" s="29"/>
    </row>
    <row r="202" spans="1:12">
      <c r="A202" s="26">
        <v>11</v>
      </c>
      <c r="B202" s="9" t="s">
        <v>68</v>
      </c>
      <c r="C202" s="31" t="s">
        <v>276</v>
      </c>
      <c r="D202" s="34">
        <v>0</v>
      </c>
      <c r="F202" s="29" t="e">
        <f ca="1">ROUND((F193+F194+F195+F196+F197+F198+F199+F201),0)</f>
        <v>#NAME?</v>
      </c>
      <c r="G202" s="29"/>
      <c r="H202" s="29"/>
      <c r="I202" s="29"/>
      <c r="J202" s="30"/>
      <c r="K202" s="30"/>
      <c r="L202" s="29"/>
    </row>
    <row r="203" spans="1:12">
      <c r="A203" s="26">
        <v>12</v>
      </c>
      <c r="B203" s="9" t="s">
        <v>69</v>
      </c>
      <c r="C203" s="31" t="s">
        <v>275</v>
      </c>
      <c r="D203" s="34">
        <v>0</v>
      </c>
      <c r="F203" s="29">
        <f>ROUND(SUMIF(Определители!I21:I26,"=1",'Текущие цены с учетом расхода'!B21:B26),0)</f>
        <v>0</v>
      </c>
      <c r="G203" s="29">
        <f>ROUND(SUMIF(Определители!I21:I26,"=1",'Текущие цены с учетом расхода'!C21:C26),0)</f>
        <v>0</v>
      </c>
      <c r="H203" s="29">
        <f>ROUND(SUMIF(Определители!I21:I26,"=1",'Текущие цены с учетом расхода'!D21:D26),0)</f>
        <v>0</v>
      </c>
      <c r="I203" s="29">
        <f>ROUND(SUMIF(Определители!I21:I26,"=1",'Текущие цены с учетом расхода'!E21:E26),0)</f>
        <v>0</v>
      </c>
      <c r="J203" s="30">
        <f>ROUND(SUMIF(Определители!I21:I26,"=1",'Текущие цены с учетом расхода'!I21:I26),8)</f>
        <v>0</v>
      </c>
      <c r="K203" s="30">
        <f>ROUND(SUMIF(Определители!I21:I26,"=1",'Текущие цены с учетом расхода'!K21:K26),8)</f>
        <v>0</v>
      </c>
      <c r="L203" s="29">
        <f>ROUND(SUMIF(Определители!I21:I26,"=1",'Текущие цены с учетом расхода'!F21:F26),0)</f>
        <v>0</v>
      </c>
    </row>
    <row r="204" spans="1:12">
      <c r="A204" s="26">
        <v>13</v>
      </c>
      <c r="B204" s="9" t="s">
        <v>70</v>
      </c>
      <c r="C204" s="31" t="s">
        <v>275</v>
      </c>
      <c r="D204" s="34">
        <v>0</v>
      </c>
      <c r="F204" s="29"/>
      <c r="G204" s="29"/>
      <c r="H204" s="29"/>
      <c r="I204" s="29"/>
      <c r="J204" s="30"/>
      <c r="K204" s="30"/>
      <c r="L204" s="29"/>
    </row>
    <row r="205" spans="1:12">
      <c r="A205" s="26">
        <v>14</v>
      </c>
      <c r="B205" s="9" t="s">
        <v>71</v>
      </c>
      <c r="C205" s="31" t="s">
        <v>275</v>
      </c>
      <c r="D205" s="34">
        <v>0</v>
      </c>
      <c r="F205" s="29"/>
      <c r="G205" s="29">
        <f>ROUND(SUMIF(Определители!I21:I26,"=1",'Текущие цены с учетом расхода'!T21:T26),0)</f>
        <v>0</v>
      </c>
      <c r="H205" s="29"/>
      <c r="I205" s="29"/>
      <c r="J205" s="30"/>
      <c r="K205" s="30"/>
      <c r="L205" s="29"/>
    </row>
    <row r="206" spans="1:12">
      <c r="A206" s="26">
        <v>15</v>
      </c>
      <c r="B206" s="9" t="s">
        <v>72</v>
      </c>
      <c r="C206" s="31" t="s">
        <v>275</v>
      </c>
      <c r="D206" s="34">
        <v>0</v>
      </c>
      <c r="F206" s="29">
        <f>ROUND(SUMIF(Определители!I21:I26,"=1",'Текущие цены с учетом расхода'!U21:U26),0)</f>
        <v>0</v>
      </c>
      <c r="G206" s="29"/>
      <c r="H206" s="29"/>
      <c r="I206" s="29"/>
      <c r="J206" s="30"/>
      <c r="K206" s="30"/>
      <c r="L206" s="29"/>
    </row>
    <row r="207" spans="1:12">
      <c r="A207" s="26">
        <v>16</v>
      </c>
      <c r="B207" s="9" t="s">
        <v>73</v>
      </c>
      <c r="C207" s="31" t="s">
        <v>275</v>
      </c>
      <c r="D207" s="34">
        <v>0</v>
      </c>
      <c r="F207" s="29" t="e">
        <f ca="1">ROUND(СУММЕСЛИ2(Определители!I21:I26,"1",Определители!G21:G26,"1",'Текущие цены с учетом расхода'!B21:B26),0)</f>
        <v>#NAME?</v>
      </c>
      <c r="G207" s="29"/>
      <c r="H207" s="29"/>
      <c r="I207" s="29"/>
      <c r="J207" s="30"/>
      <c r="K207" s="30"/>
      <c r="L207" s="29"/>
    </row>
    <row r="208" spans="1:12">
      <c r="A208" s="26">
        <v>17</v>
      </c>
      <c r="B208" s="9" t="s">
        <v>74</v>
      </c>
      <c r="C208" s="31" t="s">
        <v>275</v>
      </c>
      <c r="D208" s="34">
        <v>0</v>
      </c>
      <c r="F208" s="29">
        <f>ROUND(SUMIF(Определители!I21:I26,"=1",'Текущие цены с учетом расхода'!H21:H26),0)</f>
        <v>0</v>
      </c>
      <c r="G208" s="29"/>
      <c r="H208" s="29"/>
      <c r="I208" s="29"/>
      <c r="J208" s="30"/>
      <c r="K208" s="30"/>
      <c r="L208" s="29"/>
    </row>
    <row r="209" spans="1:12">
      <c r="A209" s="26">
        <v>18</v>
      </c>
      <c r="B209" s="9" t="s">
        <v>75</v>
      </c>
      <c r="C209" s="31" t="s">
        <v>275</v>
      </c>
      <c r="D209" s="34">
        <v>0</v>
      </c>
      <c r="F209" s="29">
        <f>ROUND(SUMIF(Определители!I21:I26,"=1",'Текущие цены с учетом расхода'!N21:N26),0)</f>
        <v>0</v>
      </c>
      <c r="G209" s="29"/>
      <c r="H209" s="29"/>
      <c r="I209" s="29"/>
      <c r="J209" s="30"/>
      <c r="K209" s="30"/>
      <c r="L209" s="29"/>
    </row>
    <row r="210" spans="1:12">
      <c r="A210" s="26">
        <v>19</v>
      </c>
      <c r="B210" s="9" t="s">
        <v>76</v>
      </c>
      <c r="C210" s="31" t="s">
        <v>275</v>
      </c>
      <c r="D210" s="34">
        <v>0</v>
      </c>
      <c r="F210" s="29">
        <f>ROUND(SUMIF(Определители!I21:I26,"=1",'Текущие цены с учетом расхода'!O21:O26),0)</f>
        <v>0</v>
      </c>
      <c r="G210" s="29"/>
      <c r="H210" s="29"/>
      <c r="I210" s="29"/>
      <c r="J210" s="30"/>
      <c r="K210" s="30"/>
      <c r="L210" s="29"/>
    </row>
    <row r="211" spans="1:12">
      <c r="A211" s="26">
        <v>20</v>
      </c>
      <c r="B211" s="9" t="s">
        <v>67</v>
      </c>
      <c r="C211" s="31" t="s">
        <v>275</v>
      </c>
      <c r="D211" s="34">
        <v>0</v>
      </c>
      <c r="F211" s="29" t="e">
        <f ca="1">ROUND(СУММПРОИЗВЕСЛИ(1,Определители!I21:I26," ",'Текущие цены с учетом расхода'!M21:M26,Начисления!I21:I26,0),0)</f>
        <v>#NAME?</v>
      </c>
      <c r="G211" s="29"/>
      <c r="H211" s="29"/>
      <c r="I211" s="29"/>
      <c r="J211" s="30"/>
      <c r="K211" s="30"/>
      <c r="L211" s="29"/>
    </row>
    <row r="212" spans="1:12">
      <c r="A212" s="26">
        <v>21</v>
      </c>
      <c r="B212" s="9" t="s">
        <v>77</v>
      </c>
      <c r="C212" s="31" t="s">
        <v>276</v>
      </c>
      <c r="D212" s="34">
        <v>0</v>
      </c>
      <c r="F212" s="29">
        <f>ROUND((F203+F209+F210),0)</f>
        <v>0</v>
      </c>
      <c r="G212" s="29"/>
      <c r="H212" s="29"/>
      <c r="I212" s="29"/>
      <c r="J212" s="30"/>
      <c r="K212" s="30"/>
      <c r="L212" s="29"/>
    </row>
    <row r="213" spans="1:12">
      <c r="A213" s="26">
        <v>22</v>
      </c>
      <c r="B213" s="9" t="s">
        <v>78</v>
      </c>
      <c r="C213" s="31" t="s">
        <v>275</v>
      </c>
      <c r="D213" s="34">
        <v>0</v>
      </c>
      <c r="F213" s="29">
        <f>ROUND(SUMIF(Определители!I21:I26,"=2",'Текущие цены с учетом расхода'!B21:B26),0)</f>
        <v>52517</v>
      </c>
      <c r="G213" s="29">
        <f>ROUND(SUMIF(Определители!I21:I26,"=2",'Текущие цены с учетом расхода'!C21:C26),0)</f>
        <v>9223</v>
      </c>
      <c r="H213" s="29">
        <f>ROUND(SUMIF(Определители!I21:I26,"=2",'Текущие цены с учетом расхода'!D21:D26),0)</f>
        <v>76</v>
      </c>
      <c r="I213" s="29">
        <f>ROUND(SUMIF(Определители!I21:I26,"=2",'Текущие цены с учетом расхода'!E21:E26),0)</f>
        <v>10</v>
      </c>
      <c r="J213" s="30" t="e">
        <f ca="1">ROUND(SUMIF(Определители!I21:I26,"=2",'Текущие цены с учетом расхода'!I21:I26),8)</f>
        <v>#NAME?</v>
      </c>
      <c r="K213" s="30" t="e">
        <f ca="1">ROUND(SUMIF(Определители!I21:I26,"=2",'Текущие цены с учетом расхода'!K21:K26),8)</f>
        <v>#NAME?</v>
      </c>
      <c r="L213" s="29">
        <f>ROUND(SUMIF(Определители!I21:I26,"=2",'Текущие цены с учетом расхода'!F21:F26),0)</f>
        <v>43218</v>
      </c>
    </row>
    <row r="214" spans="1:12">
      <c r="A214" s="26">
        <v>23</v>
      </c>
      <c r="B214" s="9" t="s">
        <v>70</v>
      </c>
      <c r="C214" s="31" t="s">
        <v>275</v>
      </c>
      <c r="D214" s="34">
        <v>0</v>
      </c>
      <c r="F214" s="29"/>
      <c r="G214" s="29"/>
      <c r="H214" s="29"/>
      <c r="I214" s="29"/>
      <c r="J214" s="30"/>
      <c r="K214" s="30"/>
      <c r="L214" s="29"/>
    </row>
    <row r="215" spans="1:12">
      <c r="A215" s="26">
        <v>24</v>
      </c>
      <c r="B215" s="9" t="s">
        <v>79</v>
      </c>
      <c r="C215" s="31" t="s">
        <v>275</v>
      </c>
      <c r="D215" s="34">
        <v>0</v>
      </c>
      <c r="F215" s="29" t="e">
        <f ca="1">ROUND(СУММЕСЛИ2(Определители!I21:I26,"2",Определители!G21:G26,"1",'Текущие цены с учетом расхода'!B21:B26),0)</f>
        <v>#NAME?</v>
      </c>
      <c r="G215" s="29"/>
      <c r="H215" s="29"/>
      <c r="I215" s="29"/>
      <c r="J215" s="30"/>
      <c r="K215" s="30"/>
      <c r="L215" s="29"/>
    </row>
    <row r="216" spans="1:12">
      <c r="A216" s="26">
        <v>25</v>
      </c>
      <c r="B216" s="9" t="s">
        <v>74</v>
      </c>
      <c r="C216" s="31" t="s">
        <v>275</v>
      </c>
      <c r="D216" s="34">
        <v>0</v>
      </c>
      <c r="F216" s="29">
        <f>ROUND(SUMIF(Определители!I21:I26,"=2",'Текущие цены с учетом расхода'!H21:H26),0)</f>
        <v>0</v>
      </c>
      <c r="G216" s="29"/>
      <c r="H216" s="29"/>
      <c r="I216" s="29"/>
      <c r="J216" s="30"/>
      <c r="K216" s="30"/>
      <c r="L216" s="29"/>
    </row>
    <row r="217" spans="1:12">
      <c r="A217" s="26">
        <v>26</v>
      </c>
      <c r="B217" s="9" t="s">
        <v>75</v>
      </c>
      <c r="C217" s="31" t="s">
        <v>275</v>
      </c>
      <c r="D217" s="34">
        <v>0</v>
      </c>
      <c r="F217" s="29">
        <f>ROUND(SUMIF(Определители!I21:I26,"=2",'Текущие цены с учетом расхода'!N21:N26),0)</f>
        <v>8223</v>
      </c>
      <c r="G217" s="29"/>
      <c r="H217" s="29"/>
      <c r="I217" s="29"/>
      <c r="J217" s="30"/>
      <c r="K217" s="30"/>
      <c r="L217" s="29"/>
    </row>
    <row r="218" spans="1:12">
      <c r="A218" s="26">
        <v>27</v>
      </c>
      <c r="B218" s="9" t="s">
        <v>76</v>
      </c>
      <c r="C218" s="31" t="s">
        <v>275</v>
      </c>
      <c r="D218" s="34">
        <v>0</v>
      </c>
      <c r="F218" s="29">
        <f>ROUND(SUMIF(Определители!I21:I26,"=2",'Текущие цены с учетом расхода'!O21:O26),0)</f>
        <v>5362</v>
      </c>
      <c r="G218" s="29"/>
      <c r="H218" s="29"/>
      <c r="I218" s="29"/>
      <c r="J218" s="30"/>
      <c r="K218" s="30"/>
      <c r="L218" s="29"/>
    </row>
    <row r="219" spans="1:12">
      <c r="A219" s="26">
        <v>28</v>
      </c>
      <c r="B219" s="9" t="s">
        <v>82</v>
      </c>
      <c r="C219" s="31" t="s">
        <v>276</v>
      </c>
      <c r="D219" s="34">
        <v>0</v>
      </c>
      <c r="F219" s="29">
        <f>ROUND((F213+F217+F218),0)</f>
        <v>66102</v>
      </c>
      <c r="G219" s="29"/>
      <c r="H219" s="29"/>
      <c r="I219" s="29"/>
      <c r="J219" s="30"/>
      <c r="K219" s="30"/>
      <c r="L219" s="29"/>
    </row>
    <row r="220" spans="1:12">
      <c r="A220" s="26">
        <v>29</v>
      </c>
      <c r="B220" s="9" t="s">
        <v>83</v>
      </c>
      <c r="C220" s="31" t="s">
        <v>275</v>
      </c>
      <c r="D220" s="34">
        <v>0</v>
      </c>
      <c r="F220" s="29">
        <f>ROUND(SUMIF(Определители!I21:I26,"=3",'Текущие цены с учетом расхода'!B21:B26),0)</f>
        <v>9219</v>
      </c>
      <c r="G220" s="29">
        <f>ROUND(SUMIF(Определители!I21:I26,"=3",'Текущие цены с учетом расхода'!C21:C26),0)</f>
        <v>5616</v>
      </c>
      <c r="H220" s="29">
        <f>ROUND(SUMIF(Определители!I21:I26,"=3",'Текущие цены с учетом расхода'!D21:D26),0)</f>
        <v>2762</v>
      </c>
      <c r="I220" s="29">
        <f>ROUND(SUMIF(Определители!I21:I26,"=3",'Текущие цены с учетом расхода'!E21:E26),0)</f>
        <v>736</v>
      </c>
      <c r="J220" s="30" t="e">
        <f ca="1">ROUND(SUMIF(Определители!I21:I26,"=3",'Текущие цены с учетом расхода'!I21:I26),8)</f>
        <v>#NAME?</v>
      </c>
      <c r="K220" s="30" t="e">
        <f ca="1">ROUND(SUMIF(Определители!I21:I26,"=3",'Текущие цены с учетом расхода'!K21:K26),8)</f>
        <v>#NAME?</v>
      </c>
      <c r="L220" s="29">
        <f>ROUND(SUMIF(Определители!I21:I26,"=3",'Текущие цены с учетом расхода'!F21:F26),0)</f>
        <v>841</v>
      </c>
    </row>
    <row r="221" spans="1:12">
      <c r="A221" s="26">
        <v>30</v>
      </c>
      <c r="B221" s="9" t="s">
        <v>74</v>
      </c>
      <c r="C221" s="31" t="s">
        <v>275</v>
      </c>
      <c r="D221" s="34">
        <v>0</v>
      </c>
      <c r="F221" s="29">
        <f>ROUND(SUMIF(Определители!I21:I26,"=3",'Текущие цены с учетом расхода'!H21:H26),0)</f>
        <v>0</v>
      </c>
      <c r="G221" s="29"/>
      <c r="H221" s="29"/>
      <c r="I221" s="29"/>
      <c r="J221" s="30"/>
      <c r="K221" s="30"/>
      <c r="L221" s="29"/>
    </row>
    <row r="222" spans="1:12">
      <c r="A222" s="26">
        <v>31</v>
      </c>
      <c r="B222" s="9" t="s">
        <v>75</v>
      </c>
      <c r="C222" s="31" t="s">
        <v>275</v>
      </c>
      <c r="D222" s="34">
        <v>0</v>
      </c>
      <c r="F222" s="29">
        <f>ROUND(SUMIF(Определители!I21:I26,"=3",'Текущие цены с учетом расхода'!N21:N26),0)</f>
        <v>5145</v>
      </c>
      <c r="G222" s="29"/>
      <c r="H222" s="29"/>
      <c r="I222" s="29"/>
      <c r="J222" s="30"/>
      <c r="K222" s="30"/>
      <c r="L222" s="29"/>
    </row>
    <row r="223" spans="1:12">
      <c r="A223" s="26">
        <v>32</v>
      </c>
      <c r="B223" s="9" t="s">
        <v>76</v>
      </c>
      <c r="C223" s="31" t="s">
        <v>275</v>
      </c>
      <c r="D223" s="34">
        <v>0</v>
      </c>
      <c r="F223" s="29">
        <f>ROUND(SUMIF(Определители!I21:I26,"=3",'Текущие цены с учетом расхода'!O21:O26),0)</f>
        <v>4573</v>
      </c>
      <c r="G223" s="29"/>
      <c r="H223" s="29"/>
      <c r="I223" s="29"/>
      <c r="J223" s="30"/>
      <c r="K223" s="30"/>
      <c r="L223" s="29"/>
    </row>
    <row r="224" spans="1:12">
      <c r="A224" s="26">
        <v>33</v>
      </c>
      <c r="B224" s="9" t="s">
        <v>84</v>
      </c>
      <c r="C224" s="31" t="s">
        <v>276</v>
      </c>
      <c r="D224" s="34">
        <v>0</v>
      </c>
      <c r="F224" s="29">
        <f>ROUND((F220+F222+F223),0)</f>
        <v>18937</v>
      </c>
      <c r="G224" s="29"/>
      <c r="H224" s="29"/>
      <c r="I224" s="29"/>
      <c r="J224" s="30"/>
      <c r="K224" s="30"/>
      <c r="L224" s="29"/>
    </row>
    <row r="225" spans="1:12">
      <c r="A225" s="26">
        <v>34</v>
      </c>
      <c r="B225" s="9" t="s">
        <v>85</v>
      </c>
      <c r="C225" s="31" t="s">
        <v>275</v>
      </c>
      <c r="D225" s="34">
        <v>0</v>
      </c>
      <c r="F225" s="29">
        <f>ROUND(SUMIF(Определители!I21:I26,"=4",'Текущие цены с учетом расхода'!B21:B26),0)</f>
        <v>0</v>
      </c>
      <c r="G225" s="29">
        <f>ROUND(SUMIF(Определители!I21:I26,"=4",'Текущие цены с учетом расхода'!C21:C26),0)</f>
        <v>0</v>
      </c>
      <c r="H225" s="29">
        <f>ROUND(SUMIF(Определители!I21:I26,"=4",'Текущие цены с учетом расхода'!D21:D26),0)</f>
        <v>0</v>
      </c>
      <c r="I225" s="29">
        <f>ROUND(SUMIF(Определители!I21:I26,"=4",'Текущие цены с учетом расхода'!E21:E26),0)</f>
        <v>0</v>
      </c>
      <c r="J225" s="30">
        <f>ROUND(SUMIF(Определители!I21:I26,"=4",'Текущие цены с учетом расхода'!I21:I26),8)</f>
        <v>0</v>
      </c>
      <c r="K225" s="30">
        <f>ROUND(SUMIF(Определители!I21:I26,"=4",'Текущие цены с учетом расхода'!K21:K26),8)</f>
        <v>0</v>
      </c>
      <c r="L225" s="29">
        <f>ROUND(SUMIF(Определители!I21:I26,"=4",'Текущие цены с учетом расхода'!F21:F26),0)</f>
        <v>0</v>
      </c>
    </row>
    <row r="226" spans="1:12">
      <c r="A226" s="26">
        <v>35</v>
      </c>
      <c r="B226" s="9" t="s">
        <v>70</v>
      </c>
      <c r="C226" s="31" t="s">
        <v>275</v>
      </c>
      <c r="D226" s="34">
        <v>0</v>
      </c>
      <c r="F226" s="29"/>
      <c r="G226" s="29"/>
      <c r="H226" s="29"/>
      <c r="I226" s="29"/>
      <c r="J226" s="30"/>
      <c r="K226" s="30"/>
      <c r="L226" s="29"/>
    </row>
    <row r="227" spans="1:12">
      <c r="A227" s="26">
        <v>36</v>
      </c>
      <c r="B227" s="9" t="s">
        <v>86</v>
      </c>
      <c r="C227" s="31" t="s">
        <v>275</v>
      </c>
      <c r="D227" s="34">
        <v>0</v>
      </c>
      <c r="F227" s="29">
        <f>ROUND(SUMIF(Определители!I21:I26,"=4",'Текущие цены с учетом расхода'!AJ21:AJ26),0)</f>
        <v>0</v>
      </c>
      <c r="G227" s="29">
        <f>ROUND(SUMIF(Определители!I21:I26,"=4",'Текущие цены с учетом расхода'!AI21:AI26),0)</f>
        <v>0</v>
      </c>
      <c r="H227" s="29">
        <f>ROUND(SUMIF(Определители!I21:I26,"=4",'Текущие цены с учетом расхода'!AH21:AH26),0)</f>
        <v>0</v>
      </c>
      <c r="I227" s="29">
        <f>ROUND(SUMIF(Определители!I21:I26,"=4",'Текущие цены с учетом расхода'!V21:V26),0)</f>
        <v>0</v>
      </c>
      <c r="J227" s="30"/>
      <c r="K227" s="30"/>
      <c r="L227" s="29"/>
    </row>
    <row r="228" spans="1:12">
      <c r="A228" s="26">
        <v>37</v>
      </c>
      <c r="B228" s="9" t="s">
        <v>74</v>
      </c>
      <c r="C228" s="31" t="s">
        <v>275</v>
      </c>
      <c r="D228" s="34">
        <v>0</v>
      </c>
      <c r="F228" s="29">
        <f>ROUND(SUMIF(Определители!I21:I26,"=4",'Текущие цены с учетом расхода'!H21:H26),0)</f>
        <v>0</v>
      </c>
      <c r="G228" s="29"/>
      <c r="H228" s="29"/>
      <c r="I228" s="29"/>
      <c r="J228" s="30"/>
      <c r="K228" s="30"/>
      <c r="L228" s="29"/>
    </row>
    <row r="229" spans="1:12">
      <c r="A229" s="26">
        <v>38</v>
      </c>
      <c r="B229" s="9" t="s">
        <v>75</v>
      </c>
      <c r="C229" s="31" t="s">
        <v>275</v>
      </c>
      <c r="D229" s="34">
        <v>0</v>
      </c>
      <c r="F229" s="29">
        <f>ROUND(SUMIF(Определители!I21:I26,"=4",'Текущие цены с учетом расхода'!N21:N26),0)</f>
        <v>0</v>
      </c>
      <c r="G229" s="29"/>
      <c r="H229" s="29"/>
      <c r="I229" s="29"/>
      <c r="J229" s="30"/>
      <c r="K229" s="30"/>
      <c r="L229" s="29"/>
    </row>
    <row r="230" spans="1:12">
      <c r="A230" s="26">
        <v>39</v>
      </c>
      <c r="B230" s="9" t="s">
        <v>76</v>
      </c>
      <c r="C230" s="31" t="s">
        <v>275</v>
      </c>
      <c r="D230" s="34">
        <v>0</v>
      </c>
      <c r="F230" s="29">
        <f>ROUND(SUMIF(Определители!I21:I26,"=4",'Текущие цены с учетом расхода'!O21:O26),0)</f>
        <v>0</v>
      </c>
      <c r="G230" s="29"/>
      <c r="H230" s="29"/>
      <c r="I230" s="29"/>
      <c r="J230" s="30"/>
      <c r="K230" s="30"/>
      <c r="L230" s="29"/>
    </row>
    <row r="231" spans="1:12">
      <c r="A231" s="26">
        <v>40</v>
      </c>
      <c r="B231" s="9" t="s">
        <v>67</v>
      </c>
      <c r="C231" s="31" t="s">
        <v>275</v>
      </c>
      <c r="D231" s="34">
        <v>0</v>
      </c>
      <c r="F231" s="29" t="e">
        <f ca="1">ROUND(СУММПРОИЗВЕСЛИ(1,Определители!I21:I26," ",'Текущие цены с учетом расхода'!M21:M26,Начисления!I21:I26,0),0)</f>
        <v>#NAME?</v>
      </c>
      <c r="G231" s="29"/>
      <c r="H231" s="29"/>
      <c r="I231" s="29"/>
      <c r="J231" s="30"/>
      <c r="K231" s="30"/>
      <c r="L231" s="29"/>
    </row>
    <row r="232" spans="1:12">
      <c r="A232" s="26">
        <v>41</v>
      </c>
      <c r="B232" s="9" t="s">
        <v>87</v>
      </c>
      <c r="C232" s="31" t="s">
        <v>276</v>
      </c>
      <c r="D232" s="34">
        <v>0</v>
      </c>
      <c r="F232" s="29">
        <f>ROUND((F225+F229+F230),0)</f>
        <v>0</v>
      </c>
      <c r="G232" s="29"/>
      <c r="H232" s="29"/>
      <c r="I232" s="29"/>
      <c r="J232" s="30"/>
      <c r="K232" s="30"/>
      <c r="L232" s="29"/>
    </row>
    <row r="233" spans="1:12">
      <c r="A233" s="26">
        <v>42</v>
      </c>
      <c r="B233" s="9" t="s">
        <v>88</v>
      </c>
      <c r="C233" s="31" t="s">
        <v>275</v>
      </c>
      <c r="D233" s="34">
        <v>0</v>
      </c>
      <c r="F233" s="29">
        <f>ROUND(SUMIF(Определители!I21:I26,"=5",'Текущие цены с учетом расхода'!B21:B26),0)</f>
        <v>0</v>
      </c>
      <c r="G233" s="29">
        <f>ROUND(SUMIF(Определители!I21:I26,"=5",'Текущие цены с учетом расхода'!C21:C26),0)</f>
        <v>0</v>
      </c>
      <c r="H233" s="29">
        <f>ROUND(SUMIF(Определители!I21:I26,"=5",'Текущие цены с учетом расхода'!D21:D26),0)</f>
        <v>0</v>
      </c>
      <c r="I233" s="29">
        <f>ROUND(SUMIF(Определители!I21:I26,"=5",'Текущие цены с учетом расхода'!E21:E26),0)</f>
        <v>0</v>
      </c>
      <c r="J233" s="30">
        <f>ROUND(SUMIF(Определители!I21:I26,"=5",'Текущие цены с учетом расхода'!I21:I26),8)</f>
        <v>0</v>
      </c>
      <c r="K233" s="30">
        <f>ROUND(SUMIF(Определители!I21:I26,"=5",'Текущие цены с учетом расхода'!K21:K26),8)</f>
        <v>0</v>
      </c>
      <c r="L233" s="29">
        <f>ROUND(SUMIF(Определители!I21:I26,"=5",'Текущие цены с учетом расхода'!F21:F26),0)</f>
        <v>0</v>
      </c>
    </row>
    <row r="234" spans="1:12">
      <c r="A234" s="26">
        <v>43</v>
      </c>
      <c r="B234" s="9" t="s">
        <v>74</v>
      </c>
      <c r="C234" s="31" t="s">
        <v>275</v>
      </c>
      <c r="D234" s="34">
        <v>0</v>
      </c>
      <c r="F234" s="29">
        <f>ROUND(SUMIF(Определители!I21:I26,"=5",'Текущие цены с учетом расхода'!H21:H26),0)</f>
        <v>0</v>
      </c>
      <c r="G234" s="29"/>
      <c r="H234" s="29"/>
      <c r="I234" s="29"/>
      <c r="J234" s="30"/>
      <c r="K234" s="30"/>
      <c r="L234" s="29"/>
    </row>
    <row r="235" spans="1:12">
      <c r="A235" s="26">
        <v>44</v>
      </c>
      <c r="B235" s="9" t="s">
        <v>75</v>
      </c>
      <c r="C235" s="31" t="s">
        <v>275</v>
      </c>
      <c r="D235" s="34">
        <v>0</v>
      </c>
      <c r="F235" s="29">
        <f>ROUND(SUMIF(Определители!I21:I26,"=5",'Текущие цены с учетом расхода'!N21:N26),0)</f>
        <v>0</v>
      </c>
      <c r="G235" s="29"/>
      <c r="H235" s="29"/>
      <c r="I235" s="29"/>
      <c r="J235" s="30"/>
      <c r="K235" s="30"/>
      <c r="L235" s="29"/>
    </row>
    <row r="236" spans="1:12">
      <c r="A236" s="26">
        <v>45</v>
      </c>
      <c r="B236" s="9" t="s">
        <v>76</v>
      </c>
      <c r="C236" s="31" t="s">
        <v>275</v>
      </c>
      <c r="D236" s="34">
        <v>0</v>
      </c>
      <c r="F236" s="29">
        <f>ROUND(SUMIF(Определители!I21:I26,"=5",'Текущие цены с учетом расхода'!O21:O26),0)</f>
        <v>0</v>
      </c>
      <c r="G236" s="29"/>
      <c r="H236" s="29"/>
      <c r="I236" s="29"/>
      <c r="J236" s="30"/>
      <c r="K236" s="30"/>
      <c r="L236" s="29"/>
    </row>
    <row r="237" spans="1:12">
      <c r="A237" s="26">
        <v>46</v>
      </c>
      <c r="B237" s="9" t="s">
        <v>89</v>
      </c>
      <c r="C237" s="31" t="s">
        <v>276</v>
      </c>
      <c r="D237" s="34">
        <v>0</v>
      </c>
      <c r="F237" s="29">
        <f>ROUND((F233+F235+F236),0)</f>
        <v>0</v>
      </c>
      <c r="G237" s="29"/>
      <c r="H237" s="29"/>
      <c r="I237" s="29"/>
      <c r="J237" s="30"/>
      <c r="K237" s="30"/>
      <c r="L237" s="29"/>
    </row>
    <row r="238" spans="1:12">
      <c r="A238" s="26">
        <v>47</v>
      </c>
      <c r="B238" s="9" t="s">
        <v>90</v>
      </c>
      <c r="C238" s="31" t="s">
        <v>275</v>
      </c>
      <c r="D238" s="34">
        <v>0</v>
      </c>
      <c r="F238" s="29">
        <f>ROUND(SUMIF(Определители!I21:I26,"=6",'Текущие цены с учетом расхода'!B21:B26),0)</f>
        <v>0</v>
      </c>
      <c r="G238" s="29">
        <f>ROUND(SUMIF(Определители!I21:I26,"=6",'Текущие цены с учетом расхода'!C21:C26),0)</f>
        <v>0</v>
      </c>
      <c r="H238" s="29">
        <f>ROUND(SUMIF(Определители!I21:I26,"=6",'Текущие цены с учетом расхода'!D21:D26),0)</f>
        <v>0</v>
      </c>
      <c r="I238" s="29">
        <f>ROUND(SUMIF(Определители!I21:I26,"=6",'Текущие цены с учетом расхода'!E21:E26),0)</f>
        <v>0</v>
      </c>
      <c r="J238" s="30">
        <f>ROUND(SUMIF(Определители!I21:I26,"=6",'Текущие цены с учетом расхода'!I21:I26),8)</f>
        <v>0</v>
      </c>
      <c r="K238" s="30">
        <f>ROUND(SUMIF(Определители!I21:I26,"=6",'Текущие цены с учетом расхода'!K21:K26),8)</f>
        <v>0</v>
      </c>
      <c r="L238" s="29">
        <f>ROUND(SUMIF(Определители!I21:I26,"=6",'Текущие цены с учетом расхода'!F21:F26),0)</f>
        <v>0</v>
      </c>
    </row>
    <row r="239" spans="1:12">
      <c r="A239" s="26">
        <v>48</v>
      </c>
      <c r="B239" s="9" t="s">
        <v>74</v>
      </c>
      <c r="C239" s="31" t="s">
        <v>275</v>
      </c>
      <c r="D239" s="34">
        <v>0</v>
      </c>
      <c r="F239" s="29">
        <f>ROUND(SUMIF(Определители!I21:I26,"=6",'Текущие цены с учетом расхода'!H21:H26),0)</f>
        <v>0</v>
      </c>
      <c r="G239" s="29"/>
      <c r="H239" s="29"/>
      <c r="I239" s="29"/>
      <c r="J239" s="30"/>
      <c r="K239" s="30"/>
      <c r="L239" s="29"/>
    </row>
    <row r="240" spans="1:12">
      <c r="A240" s="26">
        <v>49</v>
      </c>
      <c r="B240" s="9" t="s">
        <v>75</v>
      </c>
      <c r="C240" s="31" t="s">
        <v>275</v>
      </c>
      <c r="D240" s="34">
        <v>0</v>
      </c>
      <c r="F240" s="29">
        <f>ROUND(SUMIF(Определители!I21:I26,"=6",'Текущие цены с учетом расхода'!N21:N26),0)</f>
        <v>0</v>
      </c>
      <c r="G240" s="29"/>
      <c r="H240" s="29"/>
      <c r="I240" s="29"/>
      <c r="J240" s="30"/>
      <c r="K240" s="30"/>
      <c r="L240" s="29"/>
    </row>
    <row r="241" spans="1:12">
      <c r="A241" s="26">
        <v>50</v>
      </c>
      <c r="B241" s="9" t="s">
        <v>76</v>
      </c>
      <c r="C241" s="31" t="s">
        <v>275</v>
      </c>
      <c r="D241" s="34">
        <v>0</v>
      </c>
      <c r="F241" s="29">
        <f>ROUND(SUMIF(Определители!I21:I26,"=6",'Текущие цены с учетом расхода'!O21:O26),0)</f>
        <v>0</v>
      </c>
      <c r="G241" s="29"/>
      <c r="H241" s="29"/>
      <c r="I241" s="29"/>
      <c r="J241" s="30"/>
      <c r="K241" s="30"/>
      <c r="L241" s="29"/>
    </row>
    <row r="242" spans="1:12">
      <c r="A242" s="26">
        <v>51</v>
      </c>
      <c r="B242" s="9" t="s">
        <v>91</v>
      </c>
      <c r="C242" s="31" t="s">
        <v>276</v>
      </c>
      <c r="D242" s="34">
        <v>0</v>
      </c>
      <c r="F242" s="29">
        <f>ROUND((F238+F240+F241),0)</f>
        <v>0</v>
      </c>
      <c r="G242" s="29"/>
      <c r="H242" s="29"/>
      <c r="I242" s="29"/>
      <c r="J242" s="30"/>
      <c r="K242" s="30"/>
      <c r="L242" s="29"/>
    </row>
    <row r="243" spans="1:12">
      <c r="A243" s="26">
        <v>52</v>
      </c>
      <c r="B243" s="9" t="s">
        <v>92</v>
      </c>
      <c r="C243" s="31" t="s">
        <v>275</v>
      </c>
      <c r="D243" s="34">
        <v>0</v>
      </c>
      <c r="F243" s="29">
        <f>ROUND(SUMIF(Определители!I21:I26,"=7",'Текущие цены с учетом расхода'!B21:B26),0)</f>
        <v>0</v>
      </c>
      <c r="G243" s="29">
        <f>ROUND(SUMIF(Определители!I21:I26,"=7",'Текущие цены с учетом расхода'!C21:C26),0)</f>
        <v>0</v>
      </c>
      <c r="H243" s="29">
        <f>ROUND(SUMIF(Определители!I21:I26,"=7",'Текущие цены с учетом расхода'!D21:D26),0)</f>
        <v>0</v>
      </c>
      <c r="I243" s="29">
        <f>ROUND(SUMIF(Определители!I21:I26,"=7",'Текущие цены с учетом расхода'!E21:E26),0)</f>
        <v>0</v>
      </c>
      <c r="J243" s="30">
        <f>ROUND(SUMIF(Определители!I21:I26,"=7",'Текущие цены с учетом расхода'!I21:I26),8)</f>
        <v>0</v>
      </c>
      <c r="K243" s="30">
        <f>ROUND(SUMIF(Определители!I21:I26,"=7",'Текущие цены с учетом расхода'!K21:K26),8)</f>
        <v>0</v>
      </c>
      <c r="L243" s="29">
        <f>ROUND(SUMIF(Определители!I21:I26,"=7",'Текущие цены с учетом расхода'!F21:F26),0)</f>
        <v>0</v>
      </c>
    </row>
    <row r="244" spans="1:12">
      <c r="A244" s="26">
        <v>53</v>
      </c>
      <c r="B244" s="9" t="s">
        <v>70</v>
      </c>
      <c r="C244" s="31" t="s">
        <v>275</v>
      </c>
      <c r="D244" s="34">
        <v>0</v>
      </c>
      <c r="F244" s="29"/>
      <c r="G244" s="29"/>
      <c r="H244" s="29"/>
      <c r="I244" s="29"/>
      <c r="J244" s="30"/>
      <c r="K244" s="30"/>
      <c r="L244" s="29"/>
    </row>
    <row r="245" spans="1:12">
      <c r="A245" s="26">
        <v>54</v>
      </c>
      <c r="B245" s="9" t="s">
        <v>79</v>
      </c>
      <c r="C245" s="31" t="s">
        <v>275</v>
      </c>
      <c r="D245" s="34">
        <v>0</v>
      </c>
      <c r="F245" s="29" t="e">
        <f ca="1">ROUND(СУММЕСЛИ2(Определители!I21:I26,"2",Определители!G21:G26,"1",'Текущие цены с учетом расхода'!B21:B26),0)</f>
        <v>#NAME?</v>
      </c>
      <c r="G245" s="29"/>
      <c r="H245" s="29"/>
      <c r="I245" s="29"/>
      <c r="J245" s="30"/>
      <c r="K245" s="30"/>
      <c r="L245" s="29"/>
    </row>
    <row r="246" spans="1:12">
      <c r="A246" s="26">
        <v>55</v>
      </c>
      <c r="B246" s="9" t="s">
        <v>74</v>
      </c>
      <c r="C246" s="31" t="s">
        <v>275</v>
      </c>
      <c r="D246" s="34">
        <v>0</v>
      </c>
      <c r="F246" s="29">
        <f>ROUND(SUMIF(Определители!I21:I26,"=7",'Текущие цены с учетом расхода'!H21:H26),0)</f>
        <v>0</v>
      </c>
      <c r="G246" s="29"/>
      <c r="H246" s="29"/>
      <c r="I246" s="29"/>
      <c r="J246" s="30"/>
      <c r="K246" s="30"/>
      <c r="L246" s="29"/>
    </row>
    <row r="247" spans="1:12">
      <c r="A247" s="26">
        <v>56</v>
      </c>
      <c r="B247" s="9" t="s">
        <v>75</v>
      </c>
      <c r="C247" s="31" t="s">
        <v>275</v>
      </c>
      <c r="D247" s="34">
        <v>0</v>
      </c>
      <c r="F247" s="29">
        <f>ROUND(SUMIF(Определители!I21:I26,"=7",'Текущие цены с учетом расхода'!N21:N26),0)</f>
        <v>0</v>
      </c>
      <c r="G247" s="29"/>
      <c r="H247" s="29"/>
      <c r="I247" s="29"/>
      <c r="J247" s="30"/>
      <c r="K247" s="30"/>
      <c r="L247" s="29"/>
    </row>
    <row r="248" spans="1:12">
      <c r="A248" s="26">
        <v>57</v>
      </c>
      <c r="B248" s="9" t="s">
        <v>76</v>
      </c>
      <c r="C248" s="31" t="s">
        <v>275</v>
      </c>
      <c r="D248" s="34">
        <v>0</v>
      </c>
      <c r="F248" s="29">
        <f>ROUND(SUMIF(Определители!I21:I26,"=7",'Текущие цены с учетом расхода'!O21:O26),0)</f>
        <v>0</v>
      </c>
      <c r="G248" s="29"/>
      <c r="H248" s="29"/>
      <c r="I248" s="29"/>
      <c r="J248" s="30"/>
      <c r="K248" s="30"/>
      <c r="L248" s="29"/>
    </row>
    <row r="249" spans="1:12">
      <c r="A249" s="26">
        <v>58</v>
      </c>
      <c r="B249" s="9" t="s">
        <v>93</v>
      </c>
      <c r="C249" s="31" t="s">
        <v>276</v>
      </c>
      <c r="D249" s="34">
        <v>0</v>
      </c>
      <c r="F249" s="29">
        <f>ROUND((F243+F247+F248),0)</f>
        <v>0</v>
      </c>
      <c r="G249" s="29"/>
      <c r="H249" s="29"/>
      <c r="I249" s="29"/>
      <c r="J249" s="30"/>
      <c r="K249" s="30"/>
      <c r="L249" s="29"/>
    </row>
    <row r="250" spans="1:12">
      <c r="A250" s="26">
        <v>59</v>
      </c>
      <c r="B250" s="9" t="s">
        <v>94</v>
      </c>
      <c r="C250" s="31" t="s">
        <v>275</v>
      </c>
      <c r="D250" s="34">
        <v>0</v>
      </c>
      <c r="F250" s="29">
        <f>ROUND(SUMIF(Определители!I21:I26,"=;",'Текущие цены с учетом расхода'!B21:B26),0)</f>
        <v>0</v>
      </c>
      <c r="G250" s="29">
        <f>ROUND(SUMIF(Определители!I21:I26,"=;",'Текущие цены с учетом расхода'!C21:C26),0)</f>
        <v>0</v>
      </c>
      <c r="H250" s="29">
        <f>ROUND(SUMIF(Определители!I21:I26,"=;",'Текущие цены с учетом расхода'!D21:D26),0)</f>
        <v>0</v>
      </c>
      <c r="I250" s="29">
        <f>ROUND(SUMIF(Определители!I21:I26,"=;",'Текущие цены с учетом расхода'!E21:E26),0)</f>
        <v>0</v>
      </c>
      <c r="J250" s="30">
        <f>ROUND(SUMIF(Определители!I21:I26,"=;",'Текущие цены с учетом расхода'!I21:I26),8)</f>
        <v>0</v>
      </c>
      <c r="K250" s="30">
        <f>ROUND(SUMIF(Определители!I21:I26,"=;",'Текущие цены с учетом расхода'!K21:K26),8)</f>
        <v>0</v>
      </c>
      <c r="L250" s="29">
        <f>ROUND(SUMIF(Определители!I21:I26,"=;",'Текущие цены с учетом расхода'!F21:F26),0)</f>
        <v>0</v>
      </c>
    </row>
    <row r="251" spans="1:12">
      <c r="A251" s="26">
        <v>60</v>
      </c>
      <c r="B251" s="9" t="s">
        <v>95</v>
      </c>
      <c r="C251" s="31" t="s">
        <v>275</v>
      </c>
      <c r="D251" s="34">
        <v>0</v>
      </c>
      <c r="F251" s="29">
        <f>ROUND(SUMIF(Определители!I21:I26,"=;",'Текущие цены с учетом расхода'!AF21:AF26),0)</f>
        <v>0</v>
      </c>
      <c r="G251" s="29"/>
      <c r="H251" s="29"/>
      <c r="I251" s="29"/>
      <c r="J251" s="30"/>
      <c r="K251" s="30"/>
      <c r="L251" s="29"/>
    </row>
    <row r="252" spans="1:12">
      <c r="A252" s="26">
        <v>61</v>
      </c>
      <c r="B252" s="9" t="s">
        <v>96</v>
      </c>
      <c r="C252" s="31" t="s">
        <v>275</v>
      </c>
      <c r="D252" s="34">
        <v>0</v>
      </c>
      <c r="F252" s="29">
        <f>ROUND(SUMIF(Определители!I21:I26,"=;",'Текущие цены с учетом расхода'!AG21:AG26),0)</f>
        <v>0</v>
      </c>
      <c r="G252" s="29"/>
      <c r="H252" s="29"/>
      <c r="I252" s="29"/>
      <c r="J252" s="30"/>
      <c r="K252" s="30"/>
      <c r="L252" s="29"/>
    </row>
    <row r="253" spans="1:12">
      <c r="A253" s="26">
        <v>62</v>
      </c>
      <c r="B253" s="9" t="s">
        <v>75</v>
      </c>
      <c r="C253" s="31" t="s">
        <v>275</v>
      </c>
      <c r="D253" s="34">
        <v>0</v>
      </c>
      <c r="F253" s="29">
        <f>ROUND(SUMIF(Определители!I21:I26,"=;",'Текущие цены с учетом расхода'!N21:N26),0)</f>
        <v>0</v>
      </c>
      <c r="G253" s="29"/>
      <c r="H253" s="29"/>
      <c r="I253" s="29"/>
      <c r="J253" s="30"/>
      <c r="K253" s="30"/>
      <c r="L253" s="29"/>
    </row>
    <row r="254" spans="1:12">
      <c r="A254" s="26">
        <v>63</v>
      </c>
      <c r="B254" s="9" t="s">
        <v>76</v>
      </c>
      <c r="C254" s="31" t="s">
        <v>275</v>
      </c>
      <c r="D254" s="34">
        <v>0</v>
      </c>
      <c r="F254" s="29">
        <f>ROUND(SUMIF(Определители!I21:I26,"=;",'Текущие цены с учетом расхода'!O21:O26),0)</f>
        <v>0</v>
      </c>
      <c r="G254" s="29"/>
      <c r="H254" s="29"/>
      <c r="I254" s="29"/>
      <c r="J254" s="30"/>
      <c r="K254" s="30"/>
      <c r="L254" s="29"/>
    </row>
    <row r="255" spans="1:12">
      <c r="A255" s="26">
        <v>64</v>
      </c>
      <c r="B255" s="9" t="s">
        <v>97</v>
      </c>
      <c r="C255" s="31" t="s">
        <v>276</v>
      </c>
      <c r="D255" s="34">
        <v>0</v>
      </c>
      <c r="F255" s="29">
        <f>ROUND((F250+F253+F254),0)</f>
        <v>0</v>
      </c>
      <c r="G255" s="29"/>
      <c r="H255" s="29"/>
      <c r="I255" s="29"/>
      <c r="J255" s="30"/>
      <c r="K255" s="30"/>
      <c r="L255" s="29"/>
    </row>
    <row r="256" spans="1:12">
      <c r="A256" s="26">
        <v>65</v>
      </c>
      <c r="B256" s="9" t="s">
        <v>98</v>
      </c>
      <c r="C256" s="31" t="s">
        <v>275</v>
      </c>
      <c r="D256" s="34">
        <v>0</v>
      </c>
      <c r="F256" s="29">
        <f>ROUND(SUMIF(Определители!I21:I26,"=9",'Текущие цены с учетом расхода'!B21:B26),0)</f>
        <v>0</v>
      </c>
      <c r="G256" s="29">
        <f>ROUND(SUMIF(Определители!I21:I26,"=9",'Текущие цены с учетом расхода'!C21:C26),0)</f>
        <v>0</v>
      </c>
      <c r="H256" s="29">
        <f>ROUND(SUMIF(Определители!I21:I26,"=9",'Текущие цены с учетом расхода'!D21:D26),0)</f>
        <v>0</v>
      </c>
      <c r="I256" s="29">
        <f>ROUND(SUMIF(Определители!I21:I26,"=9",'Текущие цены с учетом расхода'!E21:E26),0)</f>
        <v>0</v>
      </c>
      <c r="J256" s="30">
        <f>ROUND(SUMIF(Определители!I21:I26,"=9",'Текущие цены с учетом расхода'!I21:I26),8)</f>
        <v>0</v>
      </c>
      <c r="K256" s="30">
        <f>ROUND(SUMIF(Определители!I21:I26,"=9",'Текущие цены с учетом расхода'!K21:K26),8)</f>
        <v>0</v>
      </c>
      <c r="L256" s="29">
        <f>ROUND(SUMIF(Определители!I21:I26,"=9",'Текущие цены с учетом расхода'!F21:F26),0)</f>
        <v>0</v>
      </c>
    </row>
    <row r="257" spans="1:12">
      <c r="A257" s="26">
        <v>66</v>
      </c>
      <c r="B257" s="9" t="s">
        <v>75</v>
      </c>
      <c r="C257" s="31" t="s">
        <v>275</v>
      </c>
      <c r="D257" s="34">
        <v>0</v>
      </c>
      <c r="F257" s="29">
        <f>ROUND(SUMIF(Определители!I21:I26,"=9",'Текущие цены с учетом расхода'!N21:N26),0)</f>
        <v>0</v>
      </c>
      <c r="G257" s="29"/>
      <c r="H257" s="29"/>
      <c r="I257" s="29"/>
      <c r="J257" s="30"/>
      <c r="K257" s="30"/>
      <c r="L257" s="29"/>
    </row>
    <row r="258" spans="1:12">
      <c r="A258" s="26">
        <v>67</v>
      </c>
      <c r="B258" s="9" t="s">
        <v>76</v>
      </c>
      <c r="C258" s="31" t="s">
        <v>275</v>
      </c>
      <c r="D258" s="34">
        <v>0</v>
      </c>
      <c r="F258" s="29">
        <f>ROUND(SUMIF(Определители!I21:I26,"=9",'Текущие цены с учетом расхода'!O21:O26),0)</f>
        <v>0</v>
      </c>
      <c r="G258" s="29"/>
      <c r="H258" s="29"/>
      <c r="I258" s="29"/>
      <c r="J258" s="30"/>
      <c r="K258" s="30"/>
      <c r="L258" s="29"/>
    </row>
    <row r="259" spans="1:12">
      <c r="A259" s="26">
        <v>68</v>
      </c>
      <c r="B259" s="9" t="s">
        <v>99</v>
      </c>
      <c r="C259" s="31" t="s">
        <v>276</v>
      </c>
      <c r="D259" s="34">
        <v>0</v>
      </c>
      <c r="F259" s="29">
        <f>ROUND((F256+F257+F258),0)</f>
        <v>0</v>
      </c>
      <c r="G259" s="29"/>
      <c r="H259" s="29"/>
      <c r="I259" s="29"/>
      <c r="J259" s="30"/>
      <c r="K259" s="30"/>
      <c r="L259" s="29"/>
    </row>
    <row r="260" spans="1:12">
      <c r="A260" s="26">
        <v>69</v>
      </c>
      <c r="B260" s="9" t="s">
        <v>100</v>
      </c>
      <c r="C260" s="31" t="s">
        <v>275</v>
      </c>
      <c r="D260" s="34">
        <v>0</v>
      </c>
      <c r="F260" s="29">
        <f>ROUND(SUMIF(Определители!I21:I26,"=:",'Текущие цены с учетом расхода'!B21:B26),0)</f>
        <v>0</v>
      </c>
      <c r="G260" s="29">
        <f>ROUND(SUMIF(Определители!I21:I26,"=:",'Текущие цены с учетом расхода'!C21:C26),0)</f>
        <v>0</v>
      </c>
      <c r="H260" s="29">
        <f>ROUND(SUMIF(Определители!I21:I26,"=:",'Текущие цены с учетом расхода'!D21:D26),0)</f>
        <v>0</v>
      </c>
      <c r="I260" s="29">
        <f>ROUND(SUMIF(Определители!I21:I26,"=:",'Текущие цены с учетом расхода'!E21:E26),0)</f>
        <v>0</v>
      </c>
      <c r="J260" s="30">
        <f>ROUND(SUMIF(Определители!I21:I26,"=:",'Текущие цены с учетом расхода'!I21:I26),8)</f>
        <v>0</v>
      </c>
      <c r="K260" s="30">
        <f>ROUND(SUMIF(Определители!I21:I26,"=:",'Текущие цены с учетом расхода'!K21:K26),8)</f>
        <v>0</v>
      </c>
      <c r="L260" s="29">
        <f>ROUND(SUMIF(Определители!I21:I26,"=:",'Текущие цены с учетом расхода'!F21:F26),0)</f>
        <v>0</v>
      </c>
    </row>
    <row r="261" spans="1:12">
      <c r="A261" s="26">
        <v>70</v>
      </c>
      <c r="B261" s="9" t="s">
        <v>74</v>
      </c>
      <c r="C261" s="31" t="s">
        <v>275</v>
      </c>
      <c r="D261" s="34">
        <v>0</v>
      </c>
      <c r="F261" s="29">
        <f>ROUND(SUMIF(Определители!I21:I26,"=:",'Текущие цены с учетом расхода'!H21:H26),0)</f>
        <v>0</v>
      </c>
      <c r="G261" s="29"/>
      <c r="H261" s="29"/>
      <c r="I261" s="29"/>
      <c r="J261" s="30"/>
      <c r="K261" s="30"/>
      <c r="L261" s="29"/>
    </row>
    <row r="262" spans="1:12">
      <c r="A262" s="26">
        <v>71</v>
      </c>
      <c r="B262" s="9" t="s">
        <v>75</v>
      </c>
      <c r="C262" s="31" t="s">
        <v>275</v>
      </c>
      <c r="D262" s="34">
        <v>0</v>
      </c>
      <c r="F262" s="29">
        <f>ROUND(SUMIF(Определители!I21:I26,"=:",'Текущие цены с учетом расхода'!N21:N26),0)</f>
        <v>0</v>
      </c>
      <c r="G262" s="29"/>
      <c r="H262" s="29"/>
      <c r="I262" s="29"/>
      <c r="J262" s="30"/>
      <c r="K262" s="30"/>
      <c r="L262" s="29"/>
    </row>
    <row r="263" spans="1:12">
      <c r="A263" s="26">
        <v>72</v>
      </c>
      <c r="B263" s="9" t="s">
        <v>76</v>
      </c>
      <c r="C263" s="31" t="s">
        <v>275</v>
      </c>
      <c r="D263" s="34">
        <v>0</v>
      </c>
      <c r="F263" s="29">
        <f>ROUND(SUMIF(Определители!I21:I26,"=:",'Текущие цены с учетом расхода'!O21:O26),0)</f>
        <v>0</v>
      </c>
      <c r="G263" s="29"/>
      <c r="H263" s="29"/>
      <c r="I263" s="29"/>
      <c r="J263" s="30"/>
      <c r="K263" s="30"/>
      <c r="L263" s="29"/>
    </row>
    <row r="264" spans="1:12">
      <c r="A264" s="26">
        <v>73</v>
      </c>
      <c r="B264" s="9" t="s">
        <v>101</v>
      </c>
      <c r="C264" s="31" t="s">
        <v>276</v>
      </c>
      <c r="D264" s="34">
        <v>0</v>
      </c>
      <c r="F264" s="29">
        <f>ROUND((F260+F262+F263),0)</f>
        <v>0</v>
      </c>
      <c r="G264" s="29"/>
      <c r="H264" s="29"/>
      <c r="I264" s="29"/>
      <c r="J264" s="30"/>
      <c r="K264" s="30"/>
      <c r="L264" s="29"/>
    </row>
    <row r="265" spans="1:12">
      <c r="A265" s="26">
        <v>74</v>
      </c>
      <c r="B265" s="9" t="s">
        <v>102</v>
      </c>
      <c r="C265" s="31" t="s">
        <v>275</v>
      </c>
      <c r="D265" s="34">
        <v>0</v>
      </c>
      <c r="F265" s="29">
        <f>ROUND(SUMIF(Определители!I21:I26,"=8",'Текущие цены с учетом расхода'!B21:B26),0)</f>
        <v>0</v>
      </c>
      <c r="G265" s="29">
        <f>ROUND(SUMIF(Определители!I21:I26,"=8",'Текущие цены с учетом расхода'!C21:C26),0)</f>
        <v>0</v>
      </c>
      <c r="H265" s="29">
        <f>ROUND(SUMIF(Определители!I21:I26,"=8",'Текущие цены с учетом расхода'!D21:D26),0)</f>
        <v>0</v>
      </c>
      <c r="I265" s="29">
        <f>ROUND(SUMIF(Определители!I21:I26,"=8",'Текущие цены с учетом расхода'!E21:E26),0)</f>
        <v>0</v>
      </c>
      <c r="J265" s="30">
        <f>ROUND(SUMIF(Определители!I21:I26,"=8",'Текущие цены с учетом расхода'!I21:I26),8)</f>
        <v>0</v>
      </c>
      <c r="K265" s="30">
        <f>ROUND(SUMIF(Определители!I21:I26,"=8",'Текущие цены с учетом расхода'!K21:K26),8)</f>
        <v>0</v>
      </c>
      <c r="L265" s="29">
        <f>ROUND(SUMIF(Определители!I21:I26,"=8",'Текущие цены с учетом расхода'!F21:F26),0)</f>
        <v>0</v>
      </c>
    </row>
    <row r="266" spans="1:12">
      <c r="A266" s="26">
        <v>75</v>
      </c>
      <c r="B266" s="9" t="s">
        <v>74</v>
      </c>
      <c r="C266" s="31" t="s">
        <v>275</v>
      </c>
      <c r="D266" s="34">
        <v>0</v>
      </c>
      <c r="F266" s="29">
        <f>ROUND(SUMIF(Определители!I21:I26,"=8",'Текущие цены с учетом расхода'!H21:H26),0)</f>
        <v>0</v>
      </c>
      <c r="G266" s="29"/>
      <c r="H266" s="29"/>
      <c r="I266" s="29"/>
      <c r="J266" s="30"/>
      <c r="K266" s="30"/>
      <c r="L266" s="29"/>
    </row>
    <row r="267" spans="1:12">
      <c r="A267" s="26">
        <v>76</v>
      </c>
      <c r="B267" s="9" t="s">
        <v>158</v>
      </c>
      <c r="C267" s="31" t="s">
        <v>276</v>
      </c>
      <c r="D267" s="34">
        <v>0</v>
      </c>
      <c r="F267" s="29" t="e">
        <f ca="1">ROUND((F202+F212+F219+F224+F232+F237+F242+F249+F259+F264+F265+F255),0)</f>
        <v>#NAME?</v>
      </c>
      <c r="G267" s="29">
        <f>ROUND((G202+G212+G219+G224+G232+G237+G242+G249+G259+G264+G265+G255),0)</f>
        <v>0</v>
      </c>
      <c r="H267" s="29">
        <f>ROUND((H202+H212+H219+H224+H232+H237+H242+H249+H259+H264+H265+H255),0)</f>
        <v>0</v>
      </c>
      <c r="I267" s="29">
        <f>ROUND((I202+I212+I219+I224+I232+I237+I242+I249+I259+I264+I265+I255),0)</f>
        <v>0</v>
      </c>
      <c r="J267" s="30">
        <f>ROUND((J202+J212+J219+J224+J232+J237+J242+J249+J259+J264+J265+J255),8)</f>
        <v>0</v>
      </c>
      <c r="K267" s="30">
        <f>ROUND((K202+K212+K219+K224+K232+K237+K242+K249+K259+K264+K265+K255),8)</f>
        <v>0</v>
      </c>
      <c r="L267" s="29">
        <f>ROUND((L202+L212+L219+L224+L232+L237+L242+L249+L259+L264+L265+L255),0)</f>
        <v>0</v>
      </c>
    </row>
    <row r="268" spans="1:12">
      <c r="A268" s="26">
        <v>77</v>
      </c>
      <c r="B268" s="9" t="s">
        <v>104</v>
      </c>
      <c r="C268" s="31" t="s">
        <v>276</v>
      </c>
      <c r="D268" s="34">
        <v>0</v>
      </c>
      <c r="F268" s="29">
        <f>ROUND((F208+F216+F221+F228+F234+F239+F246+F261+F266),0)</f>
        <v>0</v>
      </c>
      <c r="G268" s="29"/>
      <c r="H268" s="29"/>
      <c r="I268" s="29"/>
      <c r="J268" s="30"/>
      <c r="K268" s="30"/>
      <c r="L268" s="29"/>
    </row>
    <row r="269" spans="1:12">
      <c r="A269" s="26">
        <v>78</v>
      </c>
      <c r="B269" s="9" t="s">
        <v>105</v>
      </c>
      <c r="C269" s="31" t="s">
        <v>276</v>
      </c>
      <c r="D269" s="34">
        <v>0</v>
      </c>
      <c r="F269" s="29">
        <f>ROUND((F209+F217+F222+F229+F235+F240+F247+F257+F262+F253),0)</f>
        <v>13368</v>
      </c>
      <c r="G269" s="29"/>
      <c r="H269" s="29"/>
      <c r="I269" s="29"/>
      <c r="J269" s="30"/>
      <c r="K269" s="30"/>
      <c r="L269" s="29"/>
    </row>
    <row r="270" spans="1:12">
      <c r="A270" s="26">
        <v>79</v>
      </c>
      <c r="B270" s="9" t="s">
        <v>106</v>
      </c>
      <c r="C270" s="31" t="s">
        <v>276</v>
      </c>
      <c r="D270" s="34">
        <v>0</v>
      </c>
      <c r="F270" s="29">
        <f>ROUND((F210+F218+F223+F230+F236+F241+F248+F258+F263+F254),0)</f>
        <v>9935</v>
      </c>
      <c r="G270" s="29"/>
      <c r="H270" s="29"/>
      <c r="I270" s="29"/>
      <c r="J270" s="30"/>
      <c r="K270" s="30"/>
      <c r="L270" s="29"/>
    </row>
    <row r="271" spans="1:12">
      <c r="A271" s="26">
        <v>80</v>
      </c>
      <c r="B271" s="9" t="s">
        <v>33</v>
      </c>
      <c r="C271" s="31" t="s">
        <v>277</v>
      </c>
      <c r="D271" s="34">
        <v>0</v>
      </c>
      <c r="F271" s="29">
        <f>ROUND(SUM('Текущие цены с учетом расхода'!X21:X26),0)</f>
        <v>0</v>
      </c>
      <c r="G271" s="29"/>
      <c r="H271" s="29"/>
      <c r="I271" s="29"/>
      <c r="J271" s="30"/>
      <c r="K271" s="30"/>
      <c r="L271" s="29">
        <f>ROUND(SUM('Текущие цены с учетом расхода'!X21:X26),0)</f>
        <v>0</v>
      </c>
    </row>
    <row r="272" spans="1:12">
      <c r="A272" s="26">
        <v>81</v>
      </c>
      <c r="B272" s="9" t="s">
        <v>107</v>
      </c>
      <c r="C272" s="31" t="s">
        <v>277</v>
      </c>
      <c r="D272" s="34">
        <v>0</v>
      </c>
      <c r="F272" s="29">
        <f>ROUND(SUM(G272:N272),0)</f>
        <v>0</v>
      </c>
      <c r="G272" s="29"/>
      <c r="H272" s="29"/>
      <c r="I272" s="29"/>
      <c r="J272" s="30"/>
      <c r="K272" s="30"/>
      <c r="L272" s="29">
        <f>ROUND(SUM('Текущие цены с учетом расхода'!AE21:AE26),0)</f>
        <v>0</v>
      </c>
    </row>
    <row r="273" spans="1:14">
      <c r="A273" s="26">
        <v>82</v>
      </c>
      <c r="B273" s="9" t="s">
        <v>108</v>
      </c>
      <c r="C273" s="31" t="s">
        <v>277</v>
      </c>
      <c r="D273" s="34">
        <v>0</v>
      </c>
      <c r="F273" s="29">
        <f>ROUND(SUM('Текущие цены с учетом расхода'!C21:C26),0)</f>
        <v>14839</v>
      </c>
      <c r="G273" s="29"/>
      <c r="H273" s="29"/>
      <c r="I273" s="29"/>
      <c r="J273" s="30"/>
      <c r="K273" s="30"/>
      <c r="L273" s="29"/>
    </row>
    <row r="274" spans="1:14">
      <c r="A274" s="26">
        <v>83</v>
      </c>
      <c r="B274" s="9" t="s">
        <v>109</v>
      </c>
      <c r="C274" s="31" t="s">
        <v>277</v>
      </c>
      <c r="D274" s="34">
        <v>0</v>
      </c>
      <c r="F274" s="29">
        <f>ROUND(SUM('Текущие цены с учетом расхода'!E21:E26),0)</f>
        <v>746</v>
      </c>
      <c r="G274" s="29"/>
      <c r="H274" s="29"/>
      <c r="I274" s="29"/>
      <c r="J274" s="30"/>
      <c r="K274" s="30"/>
      <c r="L274" s="29"/>
    </row>
    <row r="275" spans="1:14">
      <c r="A275" s="26">
        <v>84</v>
      </c>
      <c r="B275" s="9" t="s">
        <v>110</v>
      </c>
      <c r="C275" s="31" t="s">
        <v>278</v>
      </c>
      <c r="D275" s="34">
        <v>0</v>
      </c>
      <c r="F275" s="29">
        <f>ROUND((F273+F274),0)</f>
        <v>15585</v>
      </c>
      <c r="G275" s="29"/>
      <c r="H275" s="29"/>
      <c r="I275" s="29"/>
      <c r="J275" s="30"/>
      <c r="K275" s="30"/>
      <c r="L275" s="29"/>
    </row>
    <row r="276" spans="1:14">
      <c r="A276" s="26">
        <v>85</v>
      </c>
      <c r="B276" s="9" t="s">
        <v>111</v>
      </c>
      <c r="C276" s="31" t="s">
        <v>277</v>
      </c>
      <c r="D276" s="34">
        <v>0</v>
      </c>
      <c r="F276" s="29"/>
      <c r="G276" s="29"/>
      <c r="H276" s="29"/>
      <c r="I276" s="29"/>
      <c r="J276" s="30" t="e">
        <f ca="1">ROUND(SUM('Текущие цены с учетом расхода'!I21:I26),8)</f>
        <v>#NAME?</v>
      </c>
      <c r="K276" s="30"/>
      <c r="L276" s="29"/>
    </row>
    <row r="277" spans="1:14">
      <c r="A277" s="26">
        <v>86</v>
      </c>
      <c r="B277" s="9" t="s">
        <v>112</v>
      </c>
      <c r="C277" s="31" t="s">
        <v>277</v>
      </c>
      <c r="D277" s="34">
        <v>0</v>
      </c>
      <c r="F277" s="29"/>
      <c r="G277" s="29"/>
      <c r="H277" s="29"/>
      <c r="I277" s="29"/>
      <c r="J277" s="30" t="e">
        <f ca="1">ROUND(SUM('Текущие цены с учетом расхода'!K21:K26),8)</f>
        <v>#NAME?</v>
      </c>
      <c r="K277" s="30"/>
      <c r="L277" s="29"/>
    </row>
    <row r="278" spans="1:14">
      <c r="A278" s="26">
        <v>87</v>
      </c>
      <c r="B278" s="9" t="s">
        <v>113</v>
      </c>
      <c r="C278" s="31" t="s">
        <v>278</v>
      </c>
      <c r="D278" s="34">
        <v>0</v>
      </c>
      <c r="F278" s="29"/>
      <c r="G278" s="29"/>
      <c r="H278" s="29"/>
      <c r="I278" s="29"/>
      <c r="J278" s="30" t="e">
        <f ca="1">ROUND((J276+J277),8)</f>
        <v>#NAME?</v>
      </c>
      <c r="K278" s="30"/>
      <c r="L278" s="29"/>
    </row>
    <row r="280" spans="1:14">
      <c r="B280" s="49" t="s">
        <v>144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</row>
    <row r="281" spans="1:14"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</row>
    <row r="282" spans="1:14" s="27" customFormat="1">
      <c r="A282" s="7"/>
      <c r="B282" s="27" t="s">
        <v>262</v>
      </c>
      <c r="C282" s="27" t="s">
        <v>263</v>
      </c>
      <c r="D282" s="35" t="s">
        <v>264</v>
      </c>
      <c r="E282" s="27" t="s">
        <v>265</v>
      </c>
      <c r="F282" s="27" t="s">
        <v>266</v>
      </c>
      <c r="G282" s="27" t="s">
        <v>267</v>
      </c>
      <c r="H282" s="27" t="s">
        <v>268</v>
      </c>
      <c r="I282" s="27" t="s">
        <v>269</v>
      </c>
      <c r="J282" s="27" t="s">
        <v>270</v>
      </c>
      <c r="K282" s="27" t="s">
        <v>271</v>
      </c>
      <c r="L282" s="27" t="s">
        <v>272</v>
      </c>
      <c r="M282" s="27" t="s">
        <v>273</v>
      </c>
    </row>
    <row r="283" spans="1:14">
      <c r="A283" s="26">
        <v>1</v>
      </c>
      <c r="B283" s="9" t="s">
        <v>153</v>
      </c>
      <c r="C283" s="31" t="s">
        <v>274</v>
      </c>
      <c r="D283" s="34">
        <v>0</v>
      </c>
      <c r="E283" s="34"/>
      <c r="F283" s="29">
        <f>ROUND(SUM('Текущие цены с учетом расхода'!B30:B32),0)</f>
        <v>5905</v>
      </c>
      <c r="G283" s="29">
        <f>ROUND(SUM('Текущие цены с учетом расхода'!C30:C32),0)</f>
        <v>4706</v>
      </c>
      <c r="H283" s="29">
        <f>ROUND(SUM('Текущие цены с учетом расхода'!D30:D32),0)</f>
        <v>186</v>
      </c>
      <c r="I283" s="29">
        <f>ROUND(SUM('Текущие цены с учетом расхода'!E30:E32),0)</f>
        <v>89</v>
      </c>
      <c r="J283" s="30" t="e">
        <f ca="1">ROUND(SUM('Текущие цены с учетом расхода'!I30:I32),8)</f>
        <v>#NAME?</v>
      </c>
      <c r="K283" s="30" t="e">
        <f ca="1">ROUND(SUM('Текущие цены с учетом расхода'!K30:K32),8)</f>
        <v>#NAME?</v>
      </c>
      <c r="L283" s="29">
        <f>ROUND(SUM('Текущие цены с учетом расхода'!F30:F32),0)</f>
        <v>1013</v>
      </c>
      <c r="N283" s="34"/>
    </row>
    <row r="284" spans="1:14">
      <c r="A284" s="26">
        <v>2</v>
      </c>
      <c r="B284" s="9" t="s">
        <v>59</v>
      </c>
      <c r="C284" s="31" t="s">
        <v>275</v>
      </c>
      <c r="D284" s="34">
        <v>0</v>
      </c>
      <c r="F284" s="29">
        <f>ROUND(SUMIF(Определители!I30:I32,"= ",'Текущие цены с учетом расхода'!B30:B32),0)</f>
        <v>0</v>
      </c>
      <c r="G284" s="29">
        <f>ROUND(SUMIF(Определители!I30:I32,"= ",'Текущие цены с учетом расхода'!C30:C32),0)</f>
        <v>0</v>
      </c>
      <c r="H284" s="29">
        <f>ROUND(SUMIF(Определители!I30:I32,"= ",'Текущие цены с учетом расхода'!D30:D32),0)</f>
        <v>0</v>
      </c>
      <c r="I284" s="29">
        <f>ROUND(SUMIF(Определители!I30:I32,"= ",'Текущие цены с учетом расхода'!E30:E32),0)</f>
        <v>0</v>
      </c>
      <c r="J284" s="30">
        <f>ROUND(SUMIF(Определители!I30:I32,"= ",'Текущие цены с учетом расхода'!I30:I32),8)</f>
        <v>0</v>
      </c>
      <c r="K284" s="30">
        <f>ROUND(SUMIF(Определители!I30:I32,"= ",'Текущие цены с учетом расхода'!K30:K32),8)</f>
        <v>0</v>
      </c>
      <c r="L284" s="29">
        <f>ROUND(SUMIF(Определители!I30:I32,"= ",'Текущие цены с учетом расхода'!F30:F32),0)</f>
        <v>0</v>
      </c>
    </row>
    <row r="285" spans="1:14">
      <c r="A285" s="26">
        <v>3</v>
      </c>
      <c r="B285" s="9" t="s">
        <v>60</v>
      </c>
      <c r="C285" s="31" t="s">
        <v>275</v>
      </c>
      <c r="D285" s="34">
        <v>0</v>
      </c>
      <c r="F285" s="29" t="e">
        <f ca="1">ROUND(СУММПРОИЗВЕСЛИ(0.01,Определители!I30:I32," ",'Текущие цены с учетом расхода'!B30:B32,Начисления!X30:X32,0),0)</f>
        <v>#NAME?</v>
      </c>
      <c r="G285" s="29"/>
      <c r="H285" s="29"/>
      <c r="I285" s="29"/>
      <c r="J285" s="30"/>
      <c r="K285" s="30"/>
      <c r="L285" s="29"/>
    </row>
    <row r="286" spans="1:14">
      <c r="A286" s="26">
        <v>4</v>
      </c>
      <c r="B286" s="9" t="s">
        <v>61</v>
      </c>
      <c r="C286" s="31" t="s">
        <v>275</v>
      </c>
      <c r="D286" s="34">
        <v>0</v>
      </c>
      <c r="F286" s="29" t="e">
        <f ca="1">ROUND(СУММПРОИЗВЕСЛИ(0.01,Определители!I30:I32," ",'Текущие цены с учетом расхода'!B30:B32,Начисления!Y30:Y32,0),0)</f>
        <v>#NAME?</v>
      </c>
      <c r="G286" s="29"/>
      <c r="H286" s="29"/>
      <c r="I286" s="29"/>
      <c r="J286" s="30"/>
      <c r="K286" s="30"/>
      <c r="L286" s="29"/>
    </row>
    <row r="287" spans="1:14">
      <c r="A287" s="26">
        <v>5</v>
      </c>
      <c r="B287" s="9" t="s">
        <v>62</v>
      </c>
      <c r="C287" s="31" t="s">
        <v>275</v>
      </c>
      <c r="D287" s="34">
        <v>0</v>
      </c>
      <c r="F287" s="29" t="e">
        <f ca="1">ROUND(ТРАНСПРАСХОД(Определители!B30:B32,Определители!H30:H32,Определители!I30:I32,'Текущие цены с учетом расхода'!B30:B32,Начисления!Z30:Z32,Начисления!AA30:AA32),0)</f>
        <v>#NAME?</v>
      </c>
      <c r="G287" s="29"/>
      <c r="H287" s="29"/>
      <c r="I287" s="29"/>
      <c r="J287" s="30"/>
      <c r="K287" s="30"/>
      <c r="L287" s="29"/>
    </row>
    <row r="288" spans="1:14">
      <c r="A288" s="26">
        <v>6</v>
      </c>
      <c r="B288" s="9" t="s">
        <v>63</v>
      </c>
      <c r="C288" s="31" t="s">
        <v>275</v>
      </c>
      <c r="D288" s="34">
        <v>0</v>
      </c>
      <c r="F288" s="29" t="e">
        <f ca="1">ROUND(СУММПРОИЗВЕСЛИ(0.01,Определители!I30:I32," ",'Текущие цены с учетом расхода'!B30:B32,Начисления!AC30:AC32,0),0)</f>
        <v>#NAME?</v>
      </c>
      <c r="G288" s="29"/>
      <c r="H288" s="29"/>
      <c r="I288" s="29"/>
      <c r="J288" s="30"/>
      <c r="K288" s="30"/>
      <c r="L288" s="29"/>
    </row>
    <row r="289" spans="1:12">
      <c r="A289" s="26">
        <v>7</v>
      </c>
      <c r="B289" s="9" t="s">
        <v>64</v>
      </c>
      <c r="C289" s="31" t="s">
        <v>275</v>
      </c>
      <c r="D289" s="34">
        <v>0</v>
      </c>
      <c r="F289" s="29" t="e">
        <f ca="1">ROUND(СУММПРОИЗВЕСЛИ(0.01,Определители!I30:I32," ",'Текущие цены с учетом расхода'!B30:B32,Начисления!AF30:AF32,0),0)</f>
        <v>#NAME?</v>
      </c>
      <c r="G289" s="29"/>
      <c r="H289" s="29"/>
      <c r="I289" s="29"/>
      <c r="J289" s="30"/>
      <c r="K289" s="30"/>
      <c r="L289" s="29"/>
    </row>
    <row r="290" spans="1:12">
      <c r="A290" s="26">
        <v>8</v>
      </c>
      <c r="B290" s="9" t="s">
        <v>65</v>
      </c>
      <c r="C290" s="31" t="s">
        <v>275</v>
      </c>
      <c r="D290" s="34">
        <v>0</v>
      </c>
      <c r="F290" s="29" t="e">
        <f ca="1">ROUND(ЗАГОТСКЛАДРАСХОД(Определители!B30:B32,Определители!H30:H32,Определители!I30:I32,'Текущие цены с учетом расхода'!B30:B32,Начисления!X30:X32,Начисления!Y30:Y32,Начисления!Z30:Z32,Начисления!AA30:AA32,Начисления!AB30:AB32,Начисления!AC30:AC32,Начисления!AF30:AF32),0)</f>
        <v>#NAME?</v>
      </c>
      <c r="G290" s="29"/>
      <c r="H290" s="29"/>
      <c r="I290" s="29"/>
      <c r="J290" s="30"/>
      <c r="K290" s="30"/>
      <c r="L290" s="29"/>
    </row>
    <row r="291" spans="1:12">
      <c r="A291" s="26">
        <v>9</v>
      </c>
      <c r="B291" s="9" t="s">
        <v>66</v>
      </c>
      <c r="C291" s="31" t="s">
        <v>275</v>
      </c>
      <c r="D291" s="34">
        <v>0</v>
      </c>
      <c r="F291" s="29" t="e">
        <f ca="1">ROUND(СУММПРОИЗВЕСЛИ(1,Определители!I30:I32," ",'Текущие цены с учетом расхода'!M30:M32,Начисления!I30:I32,0),0)</f>
        <v>#NAME?</v>
      </c>
      <c r="G291" s="29"/>
      <c r="H291" s="29"/>
      <c r="I291" s="29"/>
      <c r="J291" s="30"/>
      <c r="K291" s="30"/>
      <c r="L291" s="29"/>
    </row>
    <row r="292" spans="1:12">
      <c r="A292" s="26">
        <v>10</v>
      </c>
      <c r="B292" s="9" t="s">
        <v>67</v>
      </c>
      <c r="C292" s="31" t="s">
        <v>276</v>
      </c>
      <c r="D292" s="34">
        <v>0</v>
      </c>
      <c r="F292" s="29" t="e">
        <f ca="1">ROUND((F291+F302+F322),0)</f>
        <v>#NAME?</v>
      </c>
      <c r="G292" s="29"/>
      <c r="H292" s="29"/>
      <c r="I292" s="29"/>
      <c r="J292" s="30"/>
      <c r="K292" s="30"/>
      <c r="L292" s="29"/>
    </row>
    <row r="293" spans="1:12">
      <c r="A293" s="26">
        <v>11</v>
      </c>
      <c r="B293" s="9" t="s">
        <v>68</v>
      </c>
      <c r="C293" s="31" t="s">
        <v>276</v>
      </c>
      <c r="D293" s="34">
        <v>0</v>
      </c>
      <c r="F293" s="29" t="e">
        <f ca="1">ROUND((F284+F285+F286+F287+F288+F289+F290+F292),0)</f>
        <v>#NAME?</v>
      </c>
      <c r="G293" s="29"/>
      <c r="H293" s="29"/>
      <c r="I293" s="29"/>
      <c r="J293" s="30"/>
      <c r="K293" s="30"/>
      <c r="L293" s="29"/>
    </row>
    <row r="294" spans="1:12">
      <c r="A294" s="26">
        <v>12</v>
      </c>
      <c r="B294" s="9" t="s">
        <v>69</v>
      </c>
      <c r="C294" s="31" t="s">
        <v>275</v>
      </c>
      <c r="D294" s="34">
        <v>0</v>
      </c>
      <c r="F294" s="29">
        <f>ROUND(SUMIF(Определители!I30:I32,"=1",'Текущие цены с учетом расхода'!B30:B32),0)</f>
        <v>0</v>
      </c>
      <c r="G294" s="29">
        <f>ROUND(SUMIF(Определители!I30:I32,"=1",'Текущие цены с учетом расхода'!C30:C32),0)</f>
        <v>0</v>
      </c>
      <c r="H294" s="29">
        <f>ROUND(SUMIF(Определители!I30:I32,"=1",'Текущие цены с учетом расхода'!D30:D32),0)</f>
        <v>0</v>
      </c>
      <c r="I294" s="29">
        <f>ROUND(SUMIF(Определители!I30:I32,"=1",'Текущие цены с учетом расхода'!E30:E32),0)</f>
        <v>0</v>
      </c>
      <c r="J294" s="30">
        <f>ROUND(SUMIF(Определители!I30:I32,"=1",'Текущие цены с учетом расхода'!I30:I32),8)</f>
        <v>0</v>
      </c>
      <c r="K294" s="30">
        <f>ROUND(SUMIF(Определители!I30:I32,"=1",'Текущие цены с учетом расхода'!K30:K32),8)</f>
        <v>0</v>
      </c>
      <c r="L294" s="29">
        <f>ROUND(SUMIF(Определители!I30:I32,"=1",'Текущие цены с учетом расхода'!F30:F32),0)</f>
        <v>0</v>
      </c>
    </row>
    <row r="295" spans="1:12">
      <c r="A295" s="26">
        <v>13</v>
      </c>
      <c r="B295" s="9" t="s">
        <v>70</v>
      </c>
      <c r="C295" s="31" t="s">
        <v>275</v>
      </c>
      <c r="D295" s="34">
        <v>0</v>
      </c>
      <c r="F295" s="29"/>
      <c r="G295" s="29"/>
      <c r="H295" s="29"/>
      <c r="I295" s="29"/>
      <c r="J295" s="30"/>
      <c r="K295" s="30"/>
      <c r="L295" s="29"/>
    </row>
    <row r="296" spans="1:12">
      <c r="A296" s="26">
        <v>14</v>
      </c>
      <c r="B296" s="9" t="s">
        <v>71</v>
      </c>
      <c r="C296" s="31" t="s">
        <v>275</v>
      </c>
      <c r="D296" s="34">
        <v>0</v>
      </c>
      <c r="F296" s="29"/>
      <c r="G296" s="29">
        <f>ROUND(SUMIF(Определители!I30:I32,"=1",'Текущие цены с учетом расхода'!T30:T32),0)</f>
        <v>0</v>
      </c>
      <c r="H296" s="29"/>
      <c r="I296" s="29"/>
      <c r="J296" s="30"/>
      <c r="K296" s="30"/>
      <c r="L296" s="29"/>
    </row>
    <row r="297" spans="1:12">
      <c r="A297" s="26">
        <v>15</v>
      </c>
      <c r="B297" s="9" t="s">
        <v>72</v>
      </c>
      <c r="C297" s="31" t="s">
        <v>275</v>
      </c>
      <c r="D297" s="34">
        <v>0</v>
      </c>
      <c r="F297" s="29">
        <f>ROUND(SUMIF(Определители!I30:I32,"=1",'Текущие цены с учетом расхода'!U30:U32),0)</f>
        <v>0</v>
      </c>
      <c r="G297" s="29"/>
      <c r="H297" s="29"/>
      <c r="I297" s="29"/>
      <c r="J297" s="30"/>
      <c r="K297" s="30"/>
      <c r="L297" s="29"/>
    </row>
    <row r="298" spans="1:12">
      <c r="A298" s="26">
        <v>16</v>
      </c>
      <c r="B298" s="9" t="s">
        <v>73</v>
      </c>
      <c r="C298" s="31" t="s">
        <v>275</v>
      </c>
      <c r="D298" s="34">
        <v>0</v>
      </c>
      <c r="F298" s="29" t="e">
        <f ca="1">ROUND(СУММЕСЛИ2(Определители!I30:I32,"1",Определители!G30:G32,"1",'Текущие цены с учетом расхода'!B30:B32),0)</f>
        <v>#NAME?</v>
      </c>
      <c r="G298" s="29"/>
      <c r="H298" s="29"/>
      <c r="I298" s="29"/>
      <c r="J298" s="30"/>
      <c r="K298" s="30"/>
      <c r="L298" s="29"/>
    </row>
    <row r="299" spans="1:12">
      <c r="A299" s="26">
        <v>17</v>
      </c>
      <c r="B299" s="9" t="s">
        <v>74</v>
      </c>
      <c r="C299" s="31" t="s">
        <v>275</v>
      </c>
      <c r="D299" s="34">
        <v>0</v>
      </c>
      <c r="F299" s="29">
        <f>ROUND(SUMIF(Определители!I30:I32,"=1",'Текущие цены с учетом расхода'!H30:H32),0)</f>
        <v>0</v>
      </c>
      <c r="G299" s="29"/>
      <c r="H299" s="29"/>
      <c r="I299" s="29"/>
      <c r="J299" s="30"/>
      <c r="K299" s="30"/>
      <c r="L299" s="29"/>
    </row>
    <row r="300" spans="1:12">
      <c r="A300" s="26">
        <v>18</v>
      </c>
      <c r="B300" s="9" t="s">
        <v>75</v>
      </c>
      <c r="C300" s="31" t="s">
        <v>275</v>
      </c>
      <c r="D300" s="34">
        <v>0</v>
      </c>
      <c r="F300" s="29">
        <f>ROUND(SUMIF(Определители!I30:I32,"=1",'Текущие цены с учетом расхода'!N30:N32),0)</f>
        <v>0</v>
      </c>
      <c r="G300" s="29"/>
      <c r="H300" s="29"/>
      <c r="I300" s="29"/>
      <c r="J300" s="30"/>
      <c r="K300" s="30"/>
      <c r="L300" s="29"/>
    </row>
    <row r="301" spans="1:12">
      <c r="A301" s="26">
        <v>19</v>
      </c>
      <c r="B301" s="9" t="s">
        <v>76</v>
      </c>
      <c r="C301" s="31" t="s">
        <v>275</v>
      </c>
      <c r="D301" s="34">
        <v>0</v>
      </c>
      <c r="F301" s="29">
        <f>ROUND(SUMIF(Определители!I30:I32,"=1",'Текущие цены с учетом расхода'!O30:O32),0)</f>
        <v>0</v>
      </c>
      <c r="G301" s="29"/>
      <c r="H301" s="29"/>
      <c r="I301" s="29"/>
      <c r="J301" s="30"/>
      <c r="K301" s="30"/>
      <c r="L301" s="29"/>
    </row>
    <row r="302" spans="1:12">
      <c r="A302" s="26">
        <v>20</v>
      </c>
      <c r="B302" s="9" t="s">
        <v>67</v>
      </c>
      <c r="C302" s="31" t="s">
        <v>275</v>
      </c>
      <c r="D302" s="34">
        <v>0</v>
      </c>
      <c r="F302" s="29" t="e">
        <f ca="1">ROUND(СУММПРОИЗВЕСЛИ(1,Определители!I30:I32," ",'Текущие цены с учетом расхода'!M30:M32,Начисления!I30:I32,0),0)</f>
        <v>#NAME?</v>
      </c>
      <c r="G302" s="29"/>
      <c r="H302" s="29"/>
      <c r="I302" s="29"/>
      <c r="J302" s="30"/>
      <c r="K302" s="30"/>
      <c r="L302" s="29"/>
    </row>
    <row r="303" spans="1:12">
      <c r="A303" s="26">
        <v>21</v>
      </c>
      <c r="B303" s="9" t="s">
        <v>77</v>
      </c>
      <c r="C303" s="31" t="s">
        <v>276</v>
      </c>
      <c r="D303" s="34">
        <v>0</v>
      </c>
      <c r="F303" s="29">
        <f>ROUND((F294+F300+F301),0)</f>
        <v>0</v>
      </c>
      <c r="G303" s="29"/>
      <c r="H303" s="29"/>
      <c r="I303" s="29"/>
      <c r="J303" s="30"/>
      <c r="K303" s="30"/>
      <c r="L303" s="29"/>
    </row>
    <row r="304" spans="1:12">
      <c r="A304" s="26">
        <v>22</v>
      </c>
      <c r="B304" s="9" t="s">
        <v>78</v>
      </c>
      <c r="C304" s="31" t="s">
        <v>275</v>
      </c>
      <c r="D304" s="34">
        <v>0</v>
      </c>
      <c r="F304" s="29">
        <f>ROUND(SUMIF(Определители!I30:I32,"=2",'Текущие цены с учетом расхода'!B30:B32),0)</f>
        <v>5905</v>
      </c>
      <c r="G304" s="29">
        <f>ROUND(SUMIF(Определители!I30:I32,"=2",'Текущие цены с учетом расхода'!C30:C32),0)</f>
        <v>4706</v>
      </c>
      <c r="H304" s="29">
        <f>ROUND(SUMIF(Определители!I30:I32,"=2",'Текущие цены с учетом расхода'!D30:D32),0)</f>
        <v>186</v>
      </c>
      <c r="I304" s="29">
        <f>ROUND(SUMIF(Определители!I30:I32,"=2",'Текущие цены с учетом расхода'!E30:E32),0)</f>
        <v>89</v>
      </c>
      <c r="J304" s="30" t="e">
        <f ca="1">ROUND(SUMIF(Определители!I30:I32,"=2",'Текущие цены с учетом расхода'!I30:I32),8)</f>
        <v>#NAME?</v>
      </c>
      <c r="K304" s="30" t="e">
        <f ca="1">ROUND(SUMIF(Определители!I30:I32,"=2",'Текущие цены с учетом расхода'!K30:K32),8)</f>
        <v>#NAME?</v>
      </c>
      <c r="L304" s="29">
        <f>ROUND(SUMIF(Определители!I30:I32,"=2",'Текущие цены с учетом расхода'!F30:F32),0)</f>
        <v>1013</v>
      </c>
    </row>
    <row r="305" spans="1:12">
      <c r="A305" s="26">
        <v>23</v>
      </c>
      <c r="B305" s="9" t="s">
        <v>70</v>
      </c>
      <c r="C305" s="31" t="s">
        <v>275</v>
      </c>
      <c r="D305" s="34">
        <v>0</v>
      </c>
      <c r="F305" s="29"/>
      <c r="G305" s="29"/>
      <c r="H305" s="29"/>
      <c r="I305" s="29"/>
      <c r="J305" s="30"/>
      <c r="K305" s="30"/>
      <c r="L305" s="29"/>
    </row>
    <row r="306" spans="1:12">
      <c r="A306" s="26">
        <v>24</v>
      </c>
      <c r="B306" s="9" t="s">
        <v>79</v>
      </c>
      <c r="C306" s="31" t="s">
        <v>275</v>
      </c>
      <c r="D306" s="34">
        <v>0</v>
      </c>
      <c r="F306" s="29" t="e">
        <f ca="1">ROUND(СУММЕСЛИ2(Определители!I30:I32,"2",Определители!G30:G32,"1",'Текущие цены с учетом расхода'!B30:B32),0)</f>
        <v>#NAME?</v>
      </c>
      <c r="G306" s="29"/>
      <c r="H306" s="29"/>
      <c r="I306" s="29"/>
      <c r="J306" s="30"/>
      <c r="K306" s="30"/>
      <c r="L306" s="29"/>
    </row>
    <row r="307" spans="1:12">
      <c r="A307" s="26">
        <v>25</v>
      </c>
      <c r="B307" s="9" t="s">
        <v>74</v>
      </c>
      <c r="C307" s="31" t="s">
        <v>275</v>
      </c>
      <c r="D307" s="34">
        <v>0</v>
      </c>
      <c r="F307" s="29">
        <f>ROUND(SUMIF(Определители!I30:I32,"=2",'Текущие цены с учетом расхода'!H30:H32),0)</f>
        <v>0</v>
      </c>
      <c r="G307" s="29"/>
      <c r="H307" s="29"/>
      <c r="I307" s="29"/>
      <c r="J307" s="30"/>
      <c r="K307" s="30"/>
      <c r="L307" s="29"/>
    </row>
    <row r="308" spans="1:12">
      <c r="A308" s="26">
        <v>26</v>
      </c>
      <c r="B308" s="9" t="s">
        <v>75</v>
      </c>
      <c r="C308" s="31" t="s">
        <v>275</v>
      </c>
      <c r="D308" s="34">
        <v>0</v>
      </c>
      <c r="F308" s="29">
        <f>ROUND(SUMIF(Определители!I30:I32,"=2",'Текущие цены с учетом расхода'!N30:N32),0)</f>
        <v>4062</v>
      </c>
      <c r="G308" s="29"/>
      <c r="H308" s="29"/>
      <c r="I308" s="29"/>
      <c r="J308" s="30"/>
      <c r="K308" s="30"/>
      <c r="L308" s="29"/>
    </row>
    <row r="309" spans="1:12">
      <c r="A309" s="26">
        <v>27</v>
      </c>
      <c r="B309" s="9" t="s">
        <v>76</v>
      </c>
      <c r="C309" s="31" t="s">
        <v>275</v>
      </c>
      <c r="D309" s="34">
        <v>0</v>
      </c>
      <c r="F309" s="29">
        <f>ROUND(SUMIF(Определители!I30:I32,"=2",'Текущие цены с учетом расхода'!O30:O32),0)</f>
        <v>2994</v>
      </c>
      <c r="G309" s="29"/>
      <c r="H309" s="29"/>
      <c r="I309" s="29"/>
      <c r="J309" s="30"/>
      <c r="K309" s="30"/>
      <c r="L309" s="29"/>
    </row>
    <row r="310" spans="1:12">
      <c r="A310" s="26">
        <v>28</v>
      </c>
      <c r="B310" s="9" t="s">
        <v>82</v>
      </c>
      <c r="C310" s="31" t="s">
        <v>276</v>
      </c>
      <c r="D310" s="34">
        <v>0</v>
      </c>
      <c r="F310" s="29">
        <f>ROUND((F304+F308+F309),0)</f>
        <v>12961</v>
      </c>
      <c r="G310" s="29"/>
      <c r="H310" s="29"/>
      <c r="I310" s="29"/>
      <c r="J310" s="30"/>
      <c r="K310" s="30"/>
      <c r="L310" s="29"/>
    </row>
    <row r="311" spans="1:12">
      <c r="A311" s="26">
        <v>29</v>
      </c>
      <c r="B311" s="9" t="s">
        <v>83</v>
      </c>
      <c r="C311" s="31" t="s">
        <v>275</v>
      </c>
      <c r="D311" s="34">
        <v>0</v>
      </c>
      <c r="F311" s="29">
        <f>ROUND(SUMIF(Определители!I30:I32,"=3",'Текущие цены с учетом расхода'!B30:B32),0)</f>
        <v>0</v>
      </c>
      <c r="G311" s="29">
        <f>ROUND(SUMIF(Определители!I30:I32,"=3",'Текущие цены с учетом расхода'!C30:C32),0)</f>
        <v>0</v>
      </c>
      <c r="H311" s="29">
        <f>ROUND(SUMIF(Определители!I30:I32,"=3",'Текущие цены с учетом расхода'!D30:D32),0)</f>
        <v>0</v>
      </c>
      <c r="I311" s="29">
        <f>ROUND(SUMIF(Определители!I30:I32,"=3",'Текущие цены с учетом расхода'!E30:E32),0)</f>
        <v>0</v>
      </c>
      <c r="J311" s="30">
        <f>ROUND(SUMIF(Определители!I30:I32,"=3",'Текущие цены с учетом расхода'!I30:I32),8)</f>
        <v>0</v>
      </c>
      <c r="K311" s="30">
        <f>ROUND(SUMIF(Определители!I30:I32,"=3",'Текущие цены с учетом расхода'!K30:K32),8)</f>
        <v>0</v>
      </c>
      <c r="L311" s="29">
        <f>ROUND(SUMIF(Определители!I30:I32,"=3",'Текущие цены с учетом расхода'!F30:F32),0)</f>
        <v>0</v>
      </c>
    </row>
    <row r="312" spans="1:12">
      <c r="A312" s="26">
        <v>30</v>
      </c>
      <c r="B312" s="9" t="s">
        <v>74</v>
      </c>
      <c r="C312" s="31" t="s">
        <v>275</v>
      </c>
      <c r="D312" s="34">
        <v>0</v>
      </c>
      <c r="F312" s="29">
        <f>ROUND(SUMIF(Определители!I30:I32,"=3",'Текущие цены с учетом расхода'!H30:H32),0)</f>
        <v>0</v>
      </c>
      <c r="G312" s="29"/>
      <c r="H312" s="29"/>
      <c r="I312" s="29"/>
      <c r="J312" s="30"/>
      <c r="K312" s="30"/>
      <c r="L312" s="29"/>
    </row>
    <row r="313" spans="1:12">
      <c r="A313" s="26">
        <v>31</v>
      </c>
      <c r="B313" s="9" t="s">
        <v>75</v>
      </c>
      <c r="C313" s="31" t="s">
        <v>275</v>
      </c>
      <c r="D313" s="34">
        <v>0</v>
      </c>
      <c r="F313" s="29">
        <f>ROUND(SUMIF(Определители!I30:I32,"=3",'Текущие цены с учетом расхода'!N30:N32),0)</f>
        <v>0</v>
      </c>
      <c r="G313" s="29"/>
      <c r="H313" s="29"/>
      <c r="I313" s="29"/>
      <c r="J313" s="30"/>
      <c r="K313" s="30"/>
      <c r="L313" s="29"/>
    </row>
    <row r="314" spans="1:12">
      <c r="A314" s="26">
        <v>32</v>
      </c>
      <c r="B314" s="9" t="s">
        <v>76</v>
      </c>
      <c r="C314" s="31" t="s">
        <v>275</v>
      </c>
      <c r="D314" s="34">
        <v>0</v>
      </c>
      <c r="F314" s="29">
        <f>ROUND(SUMIF(Определители!I30:I32,"=3",'Текущие цены с учетом расхода'!O30:O32),0)</f>
        <v>0</v>
      </c>
      <c r="G314" s="29"/>
      <c r="H314" s="29"/>
      <c r="I314" s="29"/>
      <c r="J314" s="30"/>
      <c r="K314" s="30"/>
      <c r="L314" s="29"/>
    </row>
    <row r="315" spans="1:12">
      <c r="A315" s="26">
        <v>33</v>
      </c>
      <c r="B315" s="9" t="s">
        <v>84</v>
      </c>
      <c r="C315" s="31" t="s">
        <v>276</v>
      </c>
      <c r="D315" s="34">
        <v>0</v>
      </c>
      <c r="F315" s="29">
        <f>ROUND((F311+F313+F314),0)</f>
        <v>0</v>
      </c>
      <c r="G315" s="29"/>
      <c r="H315" s="29"/>
      <c r="I315" s="29"/>
      <c r="J315" s="30"/>
      <c r="K315" s="30"/>
      <c r="L315" s="29"/>
    </row>
    <row r="316" spans="1:12">
      <c r="A316" s="26">
        <v>34</v>
      </c>
      <c r="B316" s="9" t="s">
        <v>85</v>
      </c>
      <c r="C316" s="31" t="s">
        <v>275</v>
      </c>
      <c r="D316" s="34">
        <v>0</v>
      </c>
      <c r="F316" s="29">
        <f>ROUND(SUMIF(Определители!I30:I32,"=4",'Текущие цены с учетом расхода'!B30:B32),0)</f>
        <v>0</v>
      </c>
      <c r="G316" s="29">
        <f>ROUND(SUMIF(Определители!I30:I32,"=4",'Текущие цены с учетом расхода'!C30:C32),0)</f>
        <v>0</v>
      </c>
      <c r="H316" s="29">
        <f>ROUND(SUMIF(Определители!I30:I32,"=4",'Текущие цены с учетом расхода'!D30:D32),0)</f>
        <v>0</v>
      </c>
      <c r="I316" s="29">
        <f>ROUND(SUMIF(Определители!I30:I32,"=4",'Текущие цены с учетом расхода'!E30:E32),0)</f>
        <v>0</v>
      </c>
      <c r="J316" s="30">
        <f>ROUND(SUMIF(Определители!I30:I32,"=4",'Текущие цены с учетом расхода'!I30:I32),8)</f>
        <v>0</v>
      </c>
      <c r="K316" s="30">
        <f>ROUND(SUMIF(Определители!I30:I32,"=4",'Текущие цены с учетом расхода'!K30:K32),8)</f>
        <v>0</v>
      </c>
      <c r="L316" s="29">
        <f>ROUND(SUMIF(Определители!I30:I32,"=4",'Текущие цены с учетом расхода'!F30:F32),0)</f>
        <v>0</v>
      </c>
    </row>
    <row r="317" spans="1:12">
      <c r="A317" s="26">
        <v>35</v>
      </c>
      <c r="B317" s="9" t="s">
        <v>70</v>
      </c>
      <c r="C317" s="31" t="s">
        <v>275</v>
      </c>
      <c r="D317" s="34">
        <v>0</v>
      </c>
      <c r="F317" s="29"/>
      <c r="G317" s="29"/>
      <c r="H317" s="29"/>
      <c r="I317" s="29"/>
      <c r="J317" s="30"/>
      <c r="K317" s="30"/>
      <c r="L317" s="29"/>
    </row>
    <row r="318" spans="1:12">
      <c r="A318" s="26">
        <v>36</v>
      </c>
      <c r="B318" s="9" t="s">
        <v>86</v>
      </c>
      <c r="C318" s="31" t="s">
        <v>275</v>
      </c>
      <c r="D318" s="34">
        <v>0</v>
      </c>
      <c r="F318" s="29">
        <f>ROUND(SUMIF(Определители!I30:I32,"=4",'Текущие цены с учетом расхода'!AJ30:AJ32),0)</f>
        <v>0</v>
      </c>
      <c r="G318" s="29">
        <f>ROUND(SUMIF(Определители!I30:I32,"=4",'Текущие цены с учетом расхода'!AI30:AI32),0)</f>
        <v>0</v>
      </c>
      <c r="H318" s="29">
        <f>ROUND(SUMIF(Определители!I30:I32,"=4",'Текущие цены с учетом расхода'!AH30:AH32),0)</f>
        <v>0</v>
      </c>
      <c r="I318" s="29">
        <f>ROUND(SUMIF(Определители!I30:I32,"=4",'Текущие цены с учетом расхода'!V30:V32),0)</f>
        <v>0</v>
      </c>
      <c r="J318" s="30"/>
      <c r="K318" s="30"/>
      <c r="L318" s="29"/>
    </row>
    <row r="319" spans="1:12">
      <c r="A319" s="26">
        <v>37</v>
      </c>
      <c r="B319" s="9" t="s">
        <v>74</v>
      </c>
      <c r="C319" s="31" t="s">
        <v>275</v>
      </c>
      <c r="D319" s="34">
        <v>0</v>
      </c>
      <c r="F319" s="29">
        <f>ROUND(SUMIF(Определители!I30:I32,"=4",'Текущие цены с учетом расхода'!H30:H32),0)</f>
        <v>0</v>
      </c>
      <c r="G319" s="29"/>
      <c r="H319" s="29"/>
      <c r="I319" s="29"/>
      <c r="J319" s="30"/>
      <c r="K319" s="30"/>
      <c r="L319" s="29"/>
    </row>
    <row r="320" spans="1:12">
      <c r="A320" s="26">
        <v>38</v>
      </c>
      <c r="B320" s="9" t="s">
        <v>75</v>
      </c>
      <c r="C320" s="31" t="s">
        <v>275</v>
      </c>
      <c r="D320" s="34">
        <v>0</v>
      </c>
      <c r="F320" s="29">
        <f>ROUND(SUMIF(Определители!I30:I32,"=4",'Текущие цены с учетом расхода'!N30:N32),0)</f>
        <v>0</v>
      </c>
      <c r="G320" s="29"/>
      <c r="H320" s="29"/>
      <c r="I320" s="29"/>
      <c r="J320" s="30"/>
      <c r="K320" s="30"/>
      <c r="L320" s="29"/>
    </row>
    <row r="321" spans="1:12">
      <c r="A321" s="26">
        <v>39</v>
      </c>
      <c r="B321" s="9" t="s">
        <v>76</v>
      </c>
      <c r="C321" s="31" t="s">
        <v>275</v>
      </c>
      <c r="D321" s="34">
        <v>0</v>
      </c>
      <c r="F321" s="29">
        <f>ROUND(SUMIF(Определители!I30:I32,"=4",'Текущие цены с учетом расхода'!O30:O32),0)</f>
        <v>0</v>
      </c>
      <c r="G321" s="29"/>
      <c r="H321" s="29"/>
      <c r="I321" s="29"/>
      <c r="J321" s="30"/>
      <c r="K321" s="30"/>
      <c r="L321" s="29"/>
    </row>
    <row r="322" spans="1:12">
      <c r="A322" s="26">
        <v>40</v>
      </c>
      <c r="B322" s="9" t="s">
        <v>67</v>
      </c>
      <c r="C322" s="31" t="s">
        <v>275</v>
      </c>
      <c r="D322" s="34">
        <v>0</v>
      </c>
      <c r="F322" s="29" t="e">
        <f ca="1">ROUND(СУММПРОИЗВЕСЛИ(1,Определители!I30:I32," ",'Текущие цены с учетом расхода'!M30:M32,Начисления!I30:I32,0),0)</f>
        <v>#NAME?</v>
      </c>
      <c r="G322" s="29"/>
      <c r="H322" s="29"/>
      <c r="I322" s="29"/>
      <c r="J322" s="30"/>
      <c r="K322" s="30"/>
      <c r="L322" s="29"/>
    </row>
    <row r="323" spans="1:12">
      <c r="A323" s="26">
        <v>41</v>
      </c>
      <c r="B323" s="9" t="s">
        <v>87</v>
      </c>
      <c r="C323" s="31" t="s">
        <v>276</v>
      </c>
      <c r="D323" s="34">
        <v>0</v>
      </c>
      <c r="F323" s="29">
        <f>ROUND((F316+F320+F321),0)</f>
        <v>0</v>
      </c>
      <c r="G323" s="29"/>
      <c r="H323" s="29"/>
      <c r="I323" s="29"/>
      <c r="J323" s="30"/>
      <c r="K323" s="30"/>
      <c r="L323" s="29"/>
    </row>
    <row r="324" spans="1:12">
      <c r="A324" s="26">
        <v>42</v>
      </c>
      <c r="B324" s="9" t="s">
        <v>88</v>
      </c>
      <c r="C324" s="31" t="s">
        <v>275</v>
      </c>
      <c r="D324" s="34">
        <v>0</v>
      </c>
      <c r="F324" s="29">
        <f>ROUND(SUMIF(Определители!I30:I32,"=5",'Текущие цены с учетом расхода'!B30:B32),0)</f>
        <v>0</v>
      </c>
      <c r="G324" s="29">
        <f>ROUND(SUMIF(Определители!I30:I32,"=5",'Текущие цены с учетом расхода'!C30:C32),0)</f>
        <v>0</v>
      </c>
      <c r="H324" s="29">
        <f>ROUND(SUMIF(Определители!I30:I32,"=5",'Текущие цены с учетом расхода'!D30:D32),0)</f>
        <v>0</v>
      </c>
      <c r="I324" s="29">
        <f>ROUND(SUMIF(Определители!I30:I32,"=5",'Текущие цены с учетом расхода'!E30:E32),0)</f>
        <v>0</v>
      </c>
      <c r="J324" s="30">
        <f>ROUND(SUMIF(Определители!I30:I32,"=5",'Текущие цены с учетом расхода'!I30:I32),8)</f>
        <v>0</v>
      </c>
      <c r="K324" s="30">
        <f>ROUND(SUMIF(Определители!I30:I32,"=5",'Текущие цены с учетом расхода'!K30:K32),8)</f>
        <v>0</v>
      </c>
      <c r="L324" s="29">
        <f>ROUND(SUMIF(Определители!I30:I32,"=5",'Текущие цены с учетом расхода'!F30:F32),0)</f>
        <v>0</v>
      </c>
    </row>
    <row r="325" spans="1:12">
      <c r="A325" s="26">
        <v>43</v>
      </c>
      <c r="B325" s="9" t="s">
        <v>74</v>
      </c>
      <c r="C325" s="31" t="s">
        <v>275</v>
      </c>
      <c r="D325" s="34">
        <v>0</v>
      </c>
      <c r="F325" s="29">
        <f>ROUND(SUMIF(Определители!I30:I32,"=5",'Текущие цены с учетом расхода'!H30:H32),0)</f>
        <v>0</v>
      </c>
      <c r="G325" s="29"/>
      <c r="H325" s="29"/>
      <c r="I325" s="29"/>
      <c r="J325" s="30"/>
      <c r="K325" s="30"/>
      <c r="L325" s="29"/>
    </row>
    <row r="326" spans="1:12">
      <c r="A326" s="26">
        <v>44</v>
      </c>
      <c r="B326" s="9" t="s">
        <v>75</v>
      </c>
      <c r="C326" s="31" t="s">
        <v>275</v>
      </c>
      <c r="D326" s="34">
        <v>0</v>
      </c>
      <c r="F326" s="29">
        <f>ROUND(SUMIF(Определители!I30:I32,"=5",'Текущие цены с учетом расхода'!N30:N32),0)</f>
        <v>0</v>
      </c>
      <c r="G326" s="29"/>
      <c r="H326" s="29"/>
      <c r="I326" s="29"/>
      <c r="J326" s="30"/>
      <c r="K326" s="30"/>
      <c r="L326" s="29"/>
    </row>
    <row r="327" spans="1:12">
      <c r="A327" s="26">
        <v>45</v>
      </c>
      <c r="B327" s="9" t="s">
        <v>76</v>
      </c>
      <c r="C327" s="31" t="s">
        <v>275</v>
      </c>
      <c r="D327" s="34">
        <v>0</v>
      </c>
      <c r="F327" s="29">
        <f>ROUND(SUMIF(Определители!I30:I32,"=5",'Текущие цены с учетом расхода'!O30:O32),0)</f>
        <v>0</v>
      </c>
      <c r="G327" s="29"/>
      <c r="H327" s="29"/>
      <c r="I327" s="29"/>
      <c r="J327" s="30"/>
      <c r="K327" s="30"/>
      <c r="L327" s="29"/>
    </row>
    <row r="328" spans="1:12">
      <c r="A328" s="26">
        <v>46</v>
      </c>
      <c r="B328" s="9" t="s">
        <v>89</v>
      </c>
      <c r="C328" s="31" t="s">
        <v>276</v>
      </c>
      <c r="D328" s="34">
        <v>0</v>
      </c>
      <c r="F328" s="29">
        <f>ROUND((F324+F326+F327),0)</f>
        <v>0</v>
      </c>
      <c r="G328" s="29"/>
      <c r="H328" s="29"/>
      <c r="I328" s="29"/>
      <c r="J328" s="30"/>
      <c r="K328" s="30"/>
      <c r="L328" s="29"/>
    </row>
    <row r="329" spans="1:12">
      <c r="A329" s="26">
        <v>47</v>
      </c>
      <c r="B329" s="9" t="s">
        <v>90</v>
      </c>
      <c r="C329" s="31" t="s">
        <v>275</v>
      </c>
      <c r="D329" s="34">
        <v>0</v>
      </c>
      <c r="F329" s="29">
        <f>ROUND(SUMIF(Определители!I30:I32,"=6",'Текущие цены с учетом расхода'!B30:B32),0)</f>
        <v>0</v>
      </c>
      <c r="G329" s="29">
        <f>ROUND(SUMIF(Определители!I30:I32,"=6",'Текущие цены с учетом расхода'!C30:C32),0)</f>
        <v>0</v>
      </c>
      <c r="H329" s="29">
        <f>ROUND(SUMIF(Определители!I30:I32,"=6",'Текущие цены с учетом расхода'!D30:D32),0)</f>
        <v>0</v>
      </c>
      <c r="I329" s="29">
        <f>ROUND(SUMIF(Определители!I30:I32,"=6",'Текущие цены с учетом расхода'!E30:E32),0)</f>
        <v>0</v>
      </c>
      <c r="J329" s="30">
        <f>ROUND(SUMIF(Определители!I30:I32,"=6",'Текущие цены с учетом расхода'!I30:I32),8)</f>
        <v>0</v>
      </c>
      <c r="K329" s="30">
        <f>ROUND(SUMIF(Определители!I30:I32,"=6",'Текущие цены с учетом расхода'!K30:K32),8)</f>
        <v>0</v>
      </c>
      <c r="L329" s="29">
        <f>ROUND(SUMIF(Определители!I30:I32,"=6",'Текущие цены с учетом расхода'!F30:F32),0)</f>
        <v>0</v>
      </c>
    </row>
    <row r="330" spans="1:12">
      <c r="A330" s="26">
        <v>48</v>
      </c>
      <c r="B330" s="9" t="s">
        <v>74</v>
      </c>
      <c r="C330" s="31" t="s">
        <v>275</v>
      </c>
      <c r="D330" s="34">
        <v>0</v>
      </c>
      <c r="F330" s="29">
        <f>ROUND(SUMIF(Определители!I30:I32,"=6",'Текущие цены с учетом расхода'!H30:H32),0)</f>
        <v>0</v>
      </c>
      <c r="G330" s="29"/>
      <c r="H330" s="29"/>
      <c r="I330" s="29"/>
      <c r="J330" s="30"/>
      <c r="K330" s="30"/>
      <c r="L330" s="29"/>
    </row>
    <row r="331" spans="1:12">
      <c r="A331" s="26">
        <v>49</v>
      </c>
      <c r="B331" s="9" t="s">
        <v>75</v>
      </c>
      <c r="C331" s="31" t="s">
        <v>275</v>
      </c>
      <c r="D331" s="34">
        <v>0</v>
      </c>
      <c r="F331" s="29">
        <f>ROUND(SUMIF(Определители!I30:I32,"=6",'Текущие цены с учетом расхода'!N30:N32),0)</f>
        <v>0</v>
      </c>
      <c r="G331" s="29"/>
      <c r="H331" s="29"/>
      <c r="I331" s="29"/>
      <c r="J331" s="30"/>
      <c r="K331" s="30"/>
      <c r="L331" s="29"/>
    </row>
    <row r="332" spans="1:12">
      <c r="A332" s="26">
        <v>50</v>
      </c>
      <c r="B332" s="9" t="s">
        <v>76</v>
      </c>
      <c r="C332" s="31" t="s">
        <v>275</v>
      </c>
      <c r="D332" s="34">
        <v>0</v>
      </c>
      <c r="F332" s="29">
        <f>ROUND(SUMIF(Определители!I30:I32,"=6",'Текущие цены с учетом расхода'!O30:O32),0)</f>
        <v>0</v>
      </c>
      <c r="G332" s="29"/>
      <c r="H332" s="29"/>
      <c r="I332" s="29"/>
      <c r="J332" s="30"/>
      <c r="K332" s="30"/>
      <c r="L332" s="29"/>
    </row>
    <row r="333" spans="1:12">
      <c r="A333" s="26">
        <v>51</v>
      </c>
      <c r="B333" s="9" t="s">
        <v>91</v>
      </c>
      <c r="C333" s="31" t="s">
        <v>276</v>
      </c>
      <c r="D333" s="34">
        <v>0</v>
      </c>
      <c r="F333" s="29">
        <f>ROUND((F329+F331+F332),0)</f>
        <v>0</v>
      </c>
      <c r="G333" s="29"/>
      <c r="H333" s="29"/>
      <c r="I333" s="29"/>
      <c r="J333" s="30"/>
      <c r="K333" s="30"/>
      <c r="L333" s="29"/>
    </row>
    <row r="334" spans="1:12">
      <c r="A334" s="26">
        <v>52</v>
      </c>
      <c r="B334" s="9" t="s">
        <v>92</v>
      </c>
      <c r="C334" s="31" t="s">
        <v>275</v>
      </c>
      <c r="D334" s="34">
        <v>0</v>
      </c>
      <c r="F334" s="29">
        <f>ROUND(SUMIF(Определители!I30:I32,"=7",'Текущие цены с учетом расхода'!B30:B32),0)</f>
        <v>0</v>
      </c>
      <c r="G334" s="29">
        <f>ROUND(SUMIF(Определители!I30:I32,"=7",'Текущие цены с учетом расхода'!C30:C32),0)</f>
        <v>0</v>
      </c>
      <c r="H334" s="29">
        <f>ROUND(SUMIF(Определители!I30:I32,"=7",'Текущие цены с учетом расхода'!D30:D32),0)</f>
        <v>0</v>
      </c>
      <c r="I334" s="29">
        <f>ROUND(SUMIF(Определители!I30:I32,"=7",'Текущие цены с учетом расхода'!E30:E32),0)</f>
        <v>0</v>
      </c>
      <c r="J334" s="30">
        <f>ROUND(SUMIF(Определители!I30:I32,"=7",'Текущие цены с учетом расхода'!I30:I32),8)</f>
        <v>0</v>
      </c>
      <c r="K334" s="30">
        <f>ROUND(SUMIF(Определители!I30:I32,"=7",'Текущие цены с учетом расхода'!K30:K32),8)</f>
        <v>0</v>
      </c>
      <c r="L334" s="29">
        <f>ROUND(SUMIF(Определители!I30:I32,"=7",'Текущие цены с учетом расхода'!F30:F32),0)</f>
        <v>0</v>
      </c>
    </row>
    <row r="335" spans="1:12">
      <c r="A335" s="26">
        <v>53</v>
      </c>
      <c r="B335" s="9" t="s">
        <v>70</v>
      </c>
      <c r="C335" s="31" t="s">
        <v>275</v>
      </c>
      <c r="D335" s="34">
        <v>0</v>
      </c>
      <c r="F335" s="29"/>
      <c r="G335" s="29"/>
      <c r="H335" s="29"/>
      <c r="I335" s="29"/>
      <c r="J335" s="30"/>
      <c r="K335" s="30"/>
      <c r="L335" s="29"/>
    </row>
    <row r="336" spans="1:12">
      <c r="A336" s="26">
        <v>54</v>
      </c>
      <c r="B336" s="9" t="s">
        <v>79</v>
      </c>
      <c r="C336" s="31" t="s">
        <v>275</v>
      </c>
      <c r="D336" s="34">
        <v>0</v>
      </c>
      <c r="F336" s="29" t="e">
        <f ca="1">ROUND(СУММЕСЛИ2(Определители!I30:I32,"2",Определители!G30:G32,"1",'Текущие цены с учетом расхода'!B30:B32),0)</f>
        <v>#NAME?</v>
      </c>
      <c r="G336" s="29"/>
      <c r="H336" s="29"/>
      <c r="I336" s="29"/>
      <c r="J336" s="30"/>
      <c r="K336" s="30"/>
      <c r="L336" s="29"/>
    </row>
    <row r="337" spans="1:12">
      <c r="A337" s="26">
        <v>55</v>
      </c>
      <c r="B337" s="9" t="s">
        <v>74</v>
      </c>
      <c r="C337" s="31" t="s">
        <v>275</v>
      </c>
      <c r="D337" s="34">
        <v>0</v>
      </c>
      <c r="F337" s="29">
        <f>ROUND(SUMIF(Определители!I30:I32,"=7",'Текущие цены с учетом расхода'!H30:H32),0)</f>
        <v>0</v>
      </c>
      <c r="G337" s="29"/>
      <c r="H337" s="29"/>
      <c r="I337" s="29"/>
      <c r="J337" s="30"/>
      <c r="K337" s="30"/>
      <c r="L337" s="29"/>
    </row>
    <row r="338" spans="1:12">
      <c r="A338" s="26">
        <v>56</v>
      </c>
      <c r="B338" s="9" t="s">
        <v>75</v>
      </c>
      <c r="C338" s="31" t="s">
        <v>275</v>
      </c>
      <c r="D338" s="34">
        <v>0</v>
      </c>
      <c r="F338" s="29">
        <f>ROUND(SUMIF(Определители!I30:I32,"=7",'Текущие цены с учетом расхода'!N30:N32),0)</f>
        <v>0</v>
      </c>
      <c r="G338" s="29"/>
      <c r="H338" s="29"/>
      <c r="I338" s="29"/>
      <c r="J338" s="30"/>
      <c r="K338" s="30"/>
      <c r="L338" s="29"/>
    </row>
    <row r="339" spans="1:12">
      <c r="A339" s="26">
        <v>57</v>
      </c>
      <c r="B339" s="9" t="s">
        <v>76</v>
      </c>
      <c r="C339" s="31" t="s">
        <v>275</v>
      </c>
      <c r="D339" s="34">
        <v>0</v>
      </c>
      <c r="F339" s="29">
        <f>ROUND(SUMIF(Определители!I30:I32,"=7",'Текущие цены с учетом расхода'!O30:O32),0)</f>
        <v>0</v>
      </c>
      <c r="G339" s="29"/>
      <c r="H339" s="29"/>
      <c r="I339" s="29"/>
      <c r="J339" s="30"/>
      <c r="K339" s="30"/>
      <c r="L339" s="29"/>
    </row>
    <row r="340" spans="1:12">
      <c r="A340" s="26">
        <v>58</v>
      </c>
      <c r="B340" s="9" t="s">
        <v>93</v>
      </c>
      <c r="C340" s="31" t="s">
        <v>276</v>
      </c>
      <c r="D340" s="34">
        <v>0</v>
      </c>
      <c r="F340" s="29">
        <f>ROUND((F334+F338+F339),0)</f>
        <v>0</v>
      </c>
      <c r="G340" s="29"/>
      <c r="H340" s="29"/>
      <c r="I340" s="29"/>
      <c r="J340" s="30"/>
      <c r="K340" s="30"/>
      <c r="L340" s="29"/>
    </row>
    <row r="341" spans="1:12">
      <c r="A341" s="26">
        <v>59</v>
      </c>
      <c r="B341" s="9" t="s">
        <v>94</v>
      </c>
      <c r="C341" s="31" t="s">
        <v>275</v>
      </c>
      <c r="D341" s="34">
        <v>0</v>
      </c>
      <c r="F341" s="29">
        <f>ROUND(SUMIF(Определители!I30:I32,"=;",'Текущие цены с учетом расхода'!B30:B32),0)</f>
        <v>0</v>
      </c>
      <c r="G341" s="29">
        <f>ROUND(SUMIF(Определители!I30:I32,"=;",'Текущие цены с учетом расхода'!C30:C32),0)</f>
        <v>0</v>
      </c>
      <c r="H341" s="29">
        <f>ROUND(SUMIF(Определители!I30:I32,"=;",'Текущие цены с учетом расхода'!D30:D32),0)</f>
        <v>0</v>
      </c>
      <c r="I341" s="29">
        <f>ROUND(SUMIF(Определители!I30:I32,"=;",'Текущие цены с учетом расхода'!E30:E32),0)</f>
        <v>0</v>
      </c>
      <c r="J341" s="30">
        <f>ROUND(SUMIF(Определители!I30:I32,"=;",'Текущие цены с учетом расхода'!I30:I32),8)</f>
        <v>0</v>
      </c>
      <c r="K341" s="30">
        <f>ROUND(SUMIF(Определители!I30:I32,"=;",'Текущие цены с учетом расхода'!K30:K32),8)</f>
        <v>0</v>
      </c>
      <c r="L341" s="29">
        <f>ROUND(SUMIF(Определители!I30:I32,"=;",'Текущие цены с учетом расхода'!F30:F32),0)</f>
        <v>0</v>
      </c>
    </row>
    <row r="342" spans="1:12">
      <c r="A342" s="26">
        <v>60</v>
      </c>
      <c r="B342" s="9" t="s">
        <v>95</v>
      </c>
      <c r="C342" s="31" t="s">
        <v>275</v>
      </c>
      <c r="D342" s="34">
        <v>0</v>
      </c>
      <c r="F342" s="29">
        <f>ROUND(SUMIF(Определители!I30:I32,"=;",'Текущие цены с учетом расхода'!AF30:AF32),0)</f>
        <v>0</v>
      </c>
      <c r="G342" s="29"/>
      <c r="H342" s="29"/>
      <c r="I342" s="29"/>
      <c r="J342" s="30"/>
      <c r="K342" s="30"/>
      <c r="L342" s="29"/>
    </row>
    <row r="343" spans="1:12">
      <c r="A343" s="26">
        <v>61</v>
      </c>
      <c r="B343" s="9" t="s">
        <v>96</v>
      </c>
      <c r="C343" s="31" t="s">
        <v>275</v>
      </c>
      <c r="D343" s="34">
        <v>0</v>
      </c>
      <c r="F343" s="29">
        <f>ROUND(SUMIF(Определители!I30:I32,"=;",'Текущие цены с учетом расхода'!AG30:AG32),0)</f>
        <v>0</v>
      </c>
      <c r="G343" s="29"/>
      <c r="H343" s="29"/>
      <c r="I343" s="29"/>
      <c r="J343" s="30"/>
      <c r="K343" s="30"/>
      <c r="L343" s="29"/>
    </row>
    <row r="344" spans="1:12">
      <c r="A344" s="26">
        <v>62</v>
      </c>
      <c r="B344" s="9" t="s">
        <v>75</v>
      </c>
      <c r="C344" s="31" t="s">
        <v>275</v>
      </c>
      <c r="D344" s="34">
        <v>0</v>
      </c>
      <c r="F344" s="29">
        <f>ROUND(SUMIF(Определители!I30:I32,"=;",'Текущие цены с учетом расхода'!N30:N32),0)</f>
        <v>0</v>
      </c>
      <c r="G344" s="29"/>
      <c r="H344" s="29"/>
      <c r="I344" s="29"/>
      <c r="J344" s="30"/>
      <c r="K344" s="30"/>
      <c r="L344" s="29"/>
    </row>
    <row r="345" spans="1:12">
      <c r="A345" s="26">
        <v>63</v>
      </c>
      <c r="B345" s="9" t="s">
        <v>76</v>
      </c>
      <c r="C345" s="31" t="s">
        <v>275</v>
      </c>
      <c r="D345" s="34">
        <v>0</v>
      </c>
      <c r="F345" s="29">
        <f>ROUND(SUMIF(Определители!I30:I32,"=;",'Текущие цены с учетом расхода'!O30:O32),0)</f>
        <v>0</v>
      </c>
      <c r="G345" s="29"/>
      <c r="H345" s="29"/>
      <c r="I345" s="29"/>
      <c r="J345" s="30"/>
      <c r="K345" s="30"/>
      <c r="L345" s="29"/>
    </row>
    <row r="346" spans="1:12">
      <c r="A346" s="26">
        <v>64</v>
      </c>
      <c r="B346" s="9" t="s">
        <v>97</v>
      </c>
      <c r="C346" s="31" t="s">
        <v>276</v>
      </c>
      <c r="D346" s="34">
        <v>0</v>
      </c>
      <c r="F346" s="29">
        <f>ROUND((F341+F344+F345),0)</f>
        <v>0</v>
      </c>
      <c r="G346" s="29"/>
      <c r="H346" s="29"/>
      <c r="I346" s="29"/>
      <c r="J346" s="30"/>
      <c r="K346" s="30"/>
      <c r="L346" s="29"/>
    </row>
    <row r="347" spans="1:12">
      <c r="A347" s="26">
        <v>65</v>
      </c>
      <c r="B347" s="9" t="s">
        <v>98</v>
      </c>
      <c r="C347" s="31" t="s">
        <v>275</v>
      </c>
      <c r="D347" s="34">
        <v>0</v>
      </c>
      <c r="F347" s="29">
        <f>ROUND(SUMIF(Определители!I30:I32,"=9",'Текущие цены с учетом расхода'!B30:B32),0)</f>
        <v>0</v>
      </c>
      <c r="G347" s="29">
        <f>ROUND(SUMIF(Определители!I30:I32,"=9",'Текущие цены с учетом расхода'!C30:C32),0)</f>
        <v>0</v>
      </c>
      <c r="H347" s="29">
        <f>ROUND(SUMIF(Определители!I30:I32,"=9",'Текущие цены с учетом расхода'!D30:D32),0)</f>
        <v>0</v>
      </c>
      <c r="I347" s="29">
        <f>ROUND(SUMIF(Определители!I30:I32,"=9",'Текущие цены с учетом расхода'!E30:E32),0)</f>
        <v>0</v>
      </c>
      <c r="J347" s="30">
        <f>ROUND(SUMIF(Определители!I30:I32,"=9",'Текущие цены с учетом расхода'!I30:I32),8)</f>
        <v>0</v>
      </c>
      <c r="K347" s="30">
        <f>ROUND(SUMIF(Определители!I30:I32,"=9",'Текущие цены с учетом расхода'!K30:K32),8)</f>
        <v>0</v>
      </c>
      <c r="L347" s="29">
        <f>ROUND(SUMIF(Определители!I30:I32,"=9",'Текущие цены с учетом расхода'!F30:F32),0)</f>
        <v>0</v>
      </c>
    </row>
    <row r="348" spans="1:12">
      <c r="A348" s="26">
        <v>66</v>
      </c>
      <c r="B348" s="9" t="s">
        <v>75</v>
      </c>
      <c r="C348" s="31" t="s">
        <v>275</v>
      </c>
      <c r="D348" s="34">
        <v>0</v>
      </c>
      <c r="F348" s="29">
        <f>ROUND(SUMIF(Определители!I30:I32,"=9",'Текущие цены с учетом расхода'!N30:N32),0)</f>
        <v>0</v>
      </c>
      <c r="G348" s="29"/>
      <c r="H348" s="29"/>
      <c r="I348" s="29"/>
      <c r="J348" s="30"/>
      <c r="K348" s="30"/>
      <c r="L348" s="29"/>
    </row>
    <row r="349" spans="1:12">
      <c r="A349" s="26">
        <v>67</v>
      </c>
      <c r="B349" s="9" t="s">
        <v>76</v>
      </c>
      <c r="C349" s="31" t="s">
        <v>275</v>
      </c>
      <c r="D349" s="34">
        <v>0</v>
      </c>
      <c r="F349" s="29">
        <f>ROUND(SUMIF(Определители!I30:I32,"=9",'Текущие цены с учетом расхода'!O30:O32),0)</f>
        <v>0</v>
      </c>
      <c r="G349" s="29"/>
      <c r="H349" s="29"/>
      <c r="I349" s="29"/>
      <c r="J349" s="30"/>
      <c r="K349" s="30"/>
      <c r="L349" s="29"/>
    </row>
    <row r="350" spans="1:12">
      <c r="A350" s="26">
        <v>68</v>
      </c>
      <c r="B350" s="9" t="s">
        <v>99</v>
      </c>
      <c r="C350" s="31" t="s">
        <v>276</v>
      </c>
      <c r="D350" s="34">
        <v>0</v>
      </c>
      <c r="F350" s="29">
        <f>ROUND((F347+F348+F349),0)</f>
        <v>0</v>
      </c>
      <c r="G350" s="29"/>
      <c r="H350" s="29"/>
      <c r="I350" s="29"/>
      <c r="J350" s="30"/>
      <c r="K350" s="30"/>
      <c r="L350" s="29"/>
    </row>
    <row r="351" spans="1:12">
      <c r="A351" s="26">
        <v>69</v>
      </c>
      <c r="B351" s="9" t="s">
        <v>100</v>
      </c>
      <c r="C351" s="31" t="s">
        <v>275</v>
      </c>
      <c r="D351" s="34">
        <v>0</v>
      </c>
      <c r="F351" s="29">
        <f>ROUND(SUMIF(Определители!I30:I32,"=:",'Текущие цены с учетом расхода'!B30:B32),0)</f>
        <v>0</v>
      </c>
      <c r="G351" s="29">
        <f>ROUND(SUMIF(Определители!I30:I32,"=:",'Текущие цены с учетом расхода'!C30:C32),0)</f>
        <v>0</v>
      </c>
      <c r="H351" s="29">
        <f>ROUND(SUMIF(Определители!I30:I32,"=:",'Текущие цены с учетом расхода'!D30:D32),0)</f>
        <v>0</v>
      </c>
      <c r="I351" s="29">
        <f>ROUND(SUMIF(Определители!I30:I32,"=:",'Текущие цены с учетом расхода'!E30:E32),0)</f>
        <v>0</v>
      </c>
      <c r="J351" s="30">
        <f>ROUND(SUMIF(Определители!I30:I32,"=:",'Текущие цены с учетом расхода'!I30:I32),8)</f>
        <v>0</v>
      </c>
      <c r="K351" s="30">
        <f>ROUND(SUMIF(Определители!I30:I32,"=:",'Текущие цены с учетом расхода'!K30:K32),8)</f>
        <v>0</v>
      </c>
      <c r="L351" s="29">
        <f>ROUND(SUMIF(Определители!I30:I32,"=:",'Текущие цены с учетом расхода'!F30:F32),0)</f>
        <v>0</v>
      </c>
    </row>
    <row r="352" spans="1:12">
      <c r="A352" s="26">
        <v>70</v>
      </c>
      <c r="B352" s="9" t="s">
        <v>74</v>
      </c>
      <c r="C352" s="31" t="s">
        <v>275</v>
      </c>
      <c r="D352" s="34">
        <v>0</v>
      </c>
      <c r="F352" s="29">
        <f>ROUND(SUMIF(Определители!I30:I32,"=:",'Текущие цены с учетом расхода'!H30:H32),0)</f>
        <v>0</v>
      </c>
      <c r="G352" s="29"/>
      <c r="H352" s="29"/>
      <c r="I352" s="29"/>
      <c r="J352" s="30"/>
      <c r="K352" s="30"/>
      <c r="L352" s="29"/>
    </row>
    <row r="353" spans="1:12">
      <c r="A353" s="26">
        <v>71</v>
      </c>
      <c r="B353" s="9" t="s">
        <v>75</v>
      </c>
      <c r="C353" s="31" t="s">
        <v>275</v>
      </c>
      <c r="D353" s="34">
        <v>0</v>
      </c>
      <c r="F353" s="29">
        <f>ROUND(SUMIF(Определители!I30:I32,"=:",'Текущие цены с учетом расхода'!N30:N32),0)</f>
        <v>0</v>
      </c>
      <c r="G353" s="29"/>
      <c r="H353" s="29"/>
      <c r="I353" s="29"/>
      <c r="J353" s="30"/>
      <c r="K353" s="30"/>
      <c r="L353" s="29"/>
    </row>
    <row r="354" spans="1:12">
      <c r="A354" s="26">
        <v>72</v>
      </c>
      <c r="B354" s="9" t="s">
        <v>76</v>
      </c>
      <c r="C354" s="31" t="s">
        <v>275</v>
      </c>
      <c r="D354" s="34">
        <v>0</v>
      </c>
      <c r="F354" s="29">
        <f>ROUND(SUMIF(Определители!I30:I32,"=:",'Текущие цены с учетом расхода'!O30:O32),0)</f>
        <v>0</v>
      </c>
      <c r="G354" s="29"/>
      <c r="H354" s="29"/>
      <c r="I354" s="29"/>
      <c r="J354" s="30"/>
      <c r="K354" s="30"/>
      <c r="L354" s="29"/>
    </row>
    <row r="355" spans="1:12">
      <c r="A355" s="26">
        <v>73</v>
      </c>
      <c r="B355" s="9" t="s">
        <v>101</v>
      </c>
      <c r="C355" s="31" t="s">
        <v>276</v>
      </c>
      <c r="D355" s="34">
        <v>0</v>
      </c>
      <c r="F355" s="29">
        <f>ROUND((F351+F353+F354),0)</f>
        <v>0</v>
      </c>
      <c r="G355" s="29"/>
      <c r="H355" s="29"/>
      <c r="I355" s="29"/>
      <c r="J355" s="30"/>
      <c r="K355" s="30"/>
      <c r="L355" s="29"/>
    </row>
    <row r="356" spans="1:12">
      <c r="A356" s="26">
        <v>74</v>
      </c>
      <c r="B356" s="9" t="s">
        <v>102</v>
      </c>
      <c r="C356" s="31" t="s">
        <v>275</v>
      </c>
      <c r="D356" s="34">
        <v>0</v>
      </c>
      <c r="F356" s="29">
        <f>ROUND(SUMIF(Определители!I30:I32,"=8",'Текущие цены с учетом расхода'!B30:B32),0)</f>
        <v>0</v>
      </c>
      <c r="G356" s="29">
        <f>ROUND(SUMIF(Определители!I30:I32,"=8",'Текущие цены с учетом расхода'!C30:C32),0)</f>
        <v>0</v>
      </c>
      <c r="H356" s="29">
        <f>ROUND(SUMIF(Определители!I30:I32,"=8",'Текущие цены с учетом расхода'!D30:D32),0)</f>
        <v>0</v>
      </c>
      <c r="I356" s="29">
        <f>ROUND(SUMIF(Определители!I30:I32,"=8",'Текущие цены с учетом расхода'!E30:E32),0)</f>
        <v>0</v>
      </c>
      <c r="J356" s="30">
        <f>ROUND(SUMIF(Определители!I30:I32,"=8",'Текущие цены с учетом расхода'!I30:I32),8)</f>
        <v>0</v>
      </c>
      <c r="K356" s="30">
        <f>ROUND(SUMIF(Определители!I30:I32,"=8",'Текущие цены с учетом расхода'!K30:K32),8)</f>
        <v>0</v>
      </c>
      <c r="L356" s="29">
        <f>ROUND(SUMIF(Определители!I30:I32,"=8",'Текущие цены с учетом расхода'!F30:F32),0)</f>
        <v>0</v>
      </c>
    </row>
    <row r="357" spans="1:12">
      <c r="A357" s="26">
        <v>75</v>
      </c>
      <c r="B357" s="9" t="s">
        <v>74</v>
      </c>
      <c r="C357" s="31" t="s">
        <v>275</v>
      </c>
      <c r="D357" s="34">
        <v>0</v>
      </c>
      <c r="F357" s="29">
        <f>ROUND(SUMIF(Определители!I30:I32,"=8",'Текущие цены с учетом расхода'!H30:H32),0)</f>
        <v>0</v>
      </c>
      <c r="G357" s="29"/>
      <c r="H357" s="29"/>
      <c r="I357" s="29"/>
      <c r="J357" s="30"/>
      <c r="K357" s="30"/>
      <c r="L357" s="29"/>
    </row>
    <row r="358" spans="1:12">
      <c r="A358" s="26">
        <v>76</v>
      </c>
      <c r="B358" s="9" t="s">
        <v>158</v>
      </c>
      <c r="C358" s="31" t="s">
        <v>276</v>
      </c>
      <c r="D358" s="34">
        <v>0</v>
      </c>
      <c r="F358" s="29" t="e">
        <f ca="1">ROUND((F293+F303+F310+F315+F323+F328+F333+F340+F350+F355+F356+F346),0)</f>
        <v>#NAME?</v>
      </c>
      <c r="G358" s="29">
        <f>ROUND((G293+G303+G310+G315+G323+G328+G333+G340+G350+G355+G356+G346),0)</f>
        <v>0</v>
      </c>
      <c r="H358" s="29">
        <f>ROUND((H293+H303+H310+H315+H323+H328+H333+H340+H350+H355+H356+H346),0)</f>
        <v>0</v>
      </c>
      <c r="I358" s="29">
        <f>ROUND((I293+I303+I310+I315+I323+I328+I333+I340+I350+I355+I356+I346),0)</f>
        <v>0</v>
      </c>
      <c r="J358" s="30">
        <f>ROUND((J293+J303+J310+J315+J323+J328+J333+J340+J350+J355+J356+J346),8)</f>
        <v>0</v>
      </c>
      <c r="K358" s="30">
        <f>ROUND((K293+K303+K310+K315+K323+K328+K333+K340+K350+K355+K356+K346),8)</f>
        <v>0</v>
      </c>
      <c r="L358" s="29">
        <f>ROUND((L293+L303+L310+L315+L323+L328+L333+L340+L350+L355+L356+L346),0)</f>
        <v>0</v>
      </c>
    </row>
    <row r="359" spans="1:12">
      <c r="A359" s="26">
        <v>77</v>
      </c>
      <c r="B359" s="9" t="s">
        <v>104</v>
      </c>
      <c r="C359" s="31" t="s">
        <v>276</v>
      </c>
      <c r="D359" s="34">
        <v>0</v>
      </c>
      <c r="F359" s="29">
        <f>ROUND((F299+F307+F312+F319+F325+F330+F337+F352+F357),0)</f>
        <v>0</v>
      </c>
      <c r="G359" s="29"/>
      <c r="H359" s="29"/>
      <c r="I359" s="29"/>
      <c r="J359" s="30"/>
      <c r="K359" s="30"/>
      <c r="L359" s="29"/>
    </row>
    <row r="360" spans="1:12">
      <c r="A360" s="26">
        <v>78</v>
      </c>
      <c r="B360" s="9" t="s">
        <v>105</v>
      </c>
      <c r="C360" s="31" t="s">
        <v>276</v>
      </c>
      <c r="D360" s="34">
        <v>0</v>
      </c>
      <c r="F360" s="29">
        <f>ROUND((F300+F308+F313+F320+F326+F331+F338+F348+F353+F344),0)</f>
        <v>4062</v>
      </c>
      <c r="G360" s="29"/>
      <c r="H360" s="29"/>
      <c r="I360" s="29"/>
      <c r="J360" s="30"/>
      <c r="K360" s="30"/>
      <c r="L360" s="29"/>
    </row>
    <row r="361" spans="1:12">
      <c r="A361" s="26">
        <v>79</v>
      </c>
      <c r="B361" s="9" t="s">
        <v>106</v>
      </c>
      <c r="C361" s="31" t="s">
        <v>276</v>
      </c>
      <c r="D361" s="34">
        <v>0</v>
      </c>
      <c r="F361" s="29">
        <f>ROUND((F301+F309+F314+F321+F327+F332+F339+F349+F354+F345),0)</f>
        <v>2994</v>
      </c>
      <c r="G361" s="29"/>
      <c r="H361" s="29"/>
      <c r="I361" s="29"/>
      <c r="J361" s="30"/>
      <c r="K361" s="30"/>
      <c r="L361" s="29"/>
    </row>
    <row r="362" spans="1:12">
      <c r="A362" s="26">
        <v>80</v>
      </c>
      <c r="B362" s="9" t="s">
        <v>33</v>
      </c>
      <c r="C362" s="31" t="s">
        <v>277</v>
      </c>
      <c r="D362" s="34">
        <v>0</v>
      </c>
      <c r="F362" s="29">
        <f>ROUND(SUM('Текущие цены с учетом расхода'!X30:X32),0)</f>
        <v>0</v>
      </c>
      <c r="G362" s="29"/>
      <c r="H362" s="29"/>
      <c r="I362" s="29"/>
      <c r="J362" s="30"/>
      <c r="K362" s="30"/>
      <c r="L362" s="29">
        <f>ROUND(SUM('Текущие цены с учетом расхода'!X30:X32),0)</f>
        <v>0</v>
      </c>
    </row>
    <row r="363" spans="1:12">
      <c r="A363" s="26">
        <v>81</v>
      </c>
      <c r="B363" s="9" t="s">
        <v>107</v>
      </c>
      <c r="C363" s="31" t="s">
        <v>277</v>
      </c>
      <c r="D363" s="34">
        <v>0</v>
      </c>
      <c r="F363" s="29">
        <f>ROUND(SUM(G363:N363),0)</f>
        <v>0</v>
      </c>
      <c r="G363" s="29"/>
      <c r="H363" s="29"/>
      <c r="I363" s="29"/>
      <c r="J363" s="30"/>
      <c r="K363" s="30"/>
      <c r="L363" s="29">
        <f>ROUND(SUM('Текущие цены с учетом расхода'!AE30:AE32),0)</f>
        <v>0</v>
      </c>
    </row>
    <row r="364" spans="1:12">
      <c r="A364" s="26">
        <v>82</v>
      </c>
      <c r="B364" s="9" t="s">
        <v>108</v>
      </c>
      <c r="C364" s="31" t="s">
        <v>277</v>
      </c>
      <c r="D364" s="34">
        <v>0</v>
      </c>
      <c r="F364" s="29">
        <f>ROUND(SUM('Текущие цены с учетом расхода'!C30:C32),0)</f>
        <v>4706</v>
      </c>
      <c r="G364" s="29"/>
      <c r="H364" s="29"/>
      <c r="I364" s="29"/>
      <c r="J364" s="30"/>
      <c r="K364" s="30"/>
      <c r="L364" s="29"/>
    </row>
    <row r="365" spans="1:12">
      <c r="A365" s="26">
        <v>83</v>
      </c>
      <c r="B365" s="9" t="s">
        <v>109</v>
      </c>
      <c r="C365" s="31" t="s">
        <v>277</v>
      </c>
      <c r="D365" s="34">
        <v>0</v>
      </c>
      <c r="F365" s="29">
        <f>ROUND(SUM('Текущие цены с учетом расхода'!E30:E32),0)</f>
        <v>89</v>
      </c>
      <c r="G365" s="29"/>
      <c r="H365" s="29"/>
      <c r="I365" s="29"/>
      <c r="J365" s="30"/>
      <c r="K365" s="30"/>
      <c r="L365" s="29"/>
    </row>
    <row r="366" spans="1:12">
      <c r="A366" s="26">
        <v>84</v>
      </c>
      <c r="B366" s="9" t="s">
        <v>110</v>
      </c>
      <c r="C366" s="31" t="s">
        <v>278</v>
      </c>
      <c r="D366" s="34">
        <v>0</v>
      </c>
      <c r="F366" s="29">
        <f>ROUND((F364+F365),0)</f>
        <v>4795</v>
      </c>
      <c r="G366" s="29"/>
      <c r="H366" s="29"/>
      <c r="I366" s="29"/>
      <c r="J366" s="30"/>
      <c r="K366" s="30"/>
      <c r="L366" s="29"/>
    </row>
    <row r="367" spans="1:12">
      <c r="A367" s="26">
        <v>85</v>
      </c>
      <c r="B367" s="9" t="s">
        <v>111</v>
      </c>
      <c r="C367" s="31" t="s">
        <v>277</v>
      </c>
      <c r="D367" s="34">
        <v>0</v>
      </c>
      <c r="F367" s="29"/>
      <c r="G367" s="29"/>
      <c r="H367" s="29"/>
      <c r="I367" s="29"/>
      <c r="J367" s="30" t="e">
        <f ca="1">ROUND(SUM('Текущие цены с учетом расхода'!I30:I32),8)</f>
        <v>#NAME?</v>
      </c>
      <c r="K367" s="30"/>
      <c r="L367" s="29"/>
    </row>
    <row r="368" spans="1:12">
      <c r="A368" s="26">
        <v>86</v>
      </c>
      <c r="B368" s="9" t="s">
        <v>112</v>
      </c>
      <c r="C368" s="31" t="s">
        <v>277</v>
      </c>
      <c r="D368" s="34">
        <v>0</v>
      </c>
      <c r="F368" s="29"/>
      <c r="G368" s="29"/>
      <c r="H368" s="29"/>
      <c r="I368" s="29"/>
      <c r="J368" s="30" t="e">
        <f ca="1">ROUND(SUM('Текущие цены с учетом расхода'!K30:K32),8)</f>
        <v>#NAME?</v>
      </c>
      <c r="K368" s="30"/>
      <c r="L368" s="29"/>
    </row>
    <row r="369" spans="1:14">
      <c r="A369" s="26">
        <v>87</v>
      </c>
      <c r="B369" s="9" t="s">
        <v>113</v>
      </c>
      <c r="C369" s="31" t="s">
        <v>278</v>
      </c>
      <c r="D369" s="34">
        <v>0</v>
      </c>
      <c r="F369" s="29"/>
      <c r="G369" s="29"/>
      <c r="H369" s="29"/>
      <c r="I369" s="29"/>
      <c r="J369" s="30" t="e">
        <f ca="1">ROUND((J367+J368),8)</f>
        <v>#NAME?</v>
      </c>
      <c r="K369" s="30"/>
      <c r="L369" s="29"/>
    </row>
    <row r="370" spans="1:14" s="27" customFormat="1">
      <c r="A370" s="7"/>
      <c r="B370" s="27" t="s">
        <v>262</v>
      </c>
      <c r="C370" s="27" t="s">
        <v>263</v>
      </c>
      <c r="D370" s="35" t="s">
        <v>264</v>
      </c>
      <c r="E370" s="27" t="s">
        <v>265</v>
      </c>
      <c r="F370" s="27" t="s">
        <v>266</v>
      </c>
      <c r="G370" s="27" t="s">
        <v>267</v>
      </c>
      <c r="H370" s="27" t="s">
        <v>268</v>
      </c>
      <c r="I370" s="27" t="s">
        <v>269</v>
      </c>
      <c r="J370" s="27" t="s">
        <v>270</v>
      </c>
      <c r="K370" s="27" t="s">
        <v>271</v>
      </c>
      <c r="L370" s="27" t="s">
        <v>272</v>
      </c>
      <c r="M370" s="27" t="s">
        <v>273</v>
      </c>
    </row>
    <row r="371" spans="1:14">
      <c r="A371" s="26">
        <v>1</v>
      </c>
      <c r="B371" s="9" t="s">
        <v>153</v>
      </c>
      <c r="C371" s="31" t="s">
        <v>274</v>
      </c>
      <c r="D371" s="34">
        <v>0</v>
      </c>
      <c r="E371" s="34"/>
      <c r="F371" s="29">
        <f>ROUND(SUM('Текущие цены с учетом расхода'!B6:B32),0)</f>
        <v>126488</v>
      </c>
      <c r="G371" s="29">
        <f>ROUND(SUM('Текущие цены с учетом расхода'!C6:C32),0)</f>
        <v>30477</v>
      </c>
      <c r="H371" s="29">
        <f>ROUND(SUM('Текущие цены с учетом расхода'!D6:D32),0)</f>
        <v>4734</v>
      </c>
      <c r="I371" s="29">
        <f>ROUND(SUM('Текущие цены с учетом расхода'!E6:E32),0)</f>
        <v>1283</v>
      </c>
      <c r="J371" s="30" t="e">
        <f ca="1">ROUND(SUM('Текущие цены с учетом расхода'!I6:I32),8)</f>
        <v>#NAME?</v>
      </c>
      <c r="K371" s="30" t="e">
        <f ca="1">ROUND(SUM('Текущие цены с учетом расхода'!K6:K32),8)</f>
        <v>#NAME?</v>
      </c>
      <c r="L371" s="29">
        <f>ROUND(SUM('Текущие цены с учетом расхода'!F6:F32),0)</f>
        <v>91277</v>
      </c>
      <c r="N371" s="31" t="s">
        <v>257</v>
      </c>
    </row>
    <row r="372" spans="1:14">
      <c r="A372" s="26">
        <v>2</v>
      </c>
      <c r="B372" s="9" t="s">
        <v>59</v>
      </c>
      <c r="C372" s="31" t="s">
        <v>275</v>
      </c>
      <c r="D372" s="34">
        <v>0</v>
      </c>
      <c r="F372" s="29">
        <f>ROUND(SUMIF(Определители!I6:I32,"= ",'Текущие цены с учетом расхода'!B6:B32),0)</f>
        <v>0</v>
      </c>
      <c r="G372" s="29">
        <f>ROUND(SUMIF(Определители!I6:I32,"= ",'Текущие цены с учетом расхода'!C6:C32),0)</f>
        <v>0</v>
      </c>
      <c r="H372" s="29">
        <f>ROUND(SUMIF(Определители!I6:I32,"= ",'Текущие цены с учетом расхода'!D6:D32),0)</f>
        <v>0</v>
      </c>
      <c r="I372" s="29">
        <f>ROUND(SUMIF(Определители!I6:I32,"= ",'Текущие цены с учетом расхода'!E6:E32),0)</f>
        <v>0</v>
      </c>
      <c r="J372" s="30">
        <f>ROUND(SUMIF(Определители!I6:I32,"= ",'Текущие цены с учетом расхода'!I6:I32),8)</f>
        <v>0</v>
      </c>
      <c r="K372" s="30">
        <f>ROUND(SUMIF(Определители!I6:I32,"= ",'Текущие цены с учетом расхода'!K6:K32),8)</f>
        <v>0</v>
      </c>
      <c r="L372" s="29">
        <f>ROUND(SUMIF(Определители!I6:I32,"= ",'Текущие цены с учетом расхода'!F6:F32),0)</f>
        <v>0</v>
      </c>
      <c r="N372" s="31" t="s">
        <v>260</v>
      </c>
    </row>
    <row r="373" spans="1:14">
      <c r="A373" s="26">
        <v>3</v>
      </c>
      <c r="B373" s="9" t="s">
        <v>60</v>
      </c>
      <c r="C373" s="31" t="s">
        <v>275</v>
      </c>
      <c r="D373" s="34">
        <v>0</v>
      </c>
      <c r="F373" s="29" t="e">
        <f ca="1">ROUND(СУММПРОИЗВЕСЛИ(0.01,Определители!I6:I32," ",'Текущие цены с учетом расхода'!B6:B32,Начисления!X6:X32,0),0)</f>
        <v>#NAME?</v>
      </c>
      <c r="G373" s="29"/>
      <c r="H373" s="29"/>
      <c r="I373" s="29"/>
      <c r="J373" s="30"/>
      <c r="K373" s="30"/>
      <c r="L373" s="29"/>
      <c r="N373" s="31" t="s">
        <v>261</v>
      </c>
    </row>
    <row r="374" spans="1:14">
      <c r="A374" s="26">
        <v>4</v>
      </c>
      <c r="B374" s="9" t="s">
        <v>61</v>
      </c>
      <c r="C374" s="31" t="s">
        <v>275</v>
      </c>
      <c r="D374" s="34">
        <v>0</v>
      </c>
      <c r="F374" s="29" t="e">
        <f ca="1">ROUND(СУММПРОИЗВЕСЛИ(0.01,Определители!I6:I32," ",'Текущие цены с учетом расхода'!B6:B32,Начисления!Y6:Y32,0),0)</f>
        <v>#NAME?</v>
      </c>
      <c r="G374" s="29"/>
      <c r="H374" s="29"/>
      <c r="I374" s="29"/>
      <c r="J374" s="30"/>
      <c r="K374" s="30"/>
      <c r="L374" s="29"/>
      <c r="N374" s="31" t="s">
        <v>279</v>
      </c>
    </row>
    <row r="375" spans="1:14">
      <c r="A375" s="26">
        <v>5</v>
      </c>
      <c r="B375" s="9" t="s">
        <v>62</v>
      </c>
      <c r="C375" s="31" t="s">
        <v>275</v>
      </c>
      <c r="D375" s="34">
        <v>0</v>
      </c>
      <c r="F375" s="29" t="e">
        <f ca="1">ROUND(ТРАНСПРАСХОД(Определители!B6:B32,Определители!H6:H32,Определители!I6:I32,'Текущие цены с учетом расхода'!B6:B32,Начисления!Z6:Z32,Начисления!AA6:AA32),0)</f>
        <v>#NAME?</v>
      </c>
      <c r="G375" s="29"/>
      <c r="H375" s="29"/>
      <c r="I375" s="29"/>
      <c r="J375" s="30"/>
      <c r="K375" s="30"/>
      <c r="L375" s="29"/>
      <c r="N375" s="31" t="s">
        <v>280</v>
      </c>
    </row>
    <row r="376" spans="1:14">
      <c r="A376" s="26">
        <v>6</v>
      </c>
      <c r="B376" s="9" t="s">
        <v>63</v>
      </c>
      <c r="C376" s="31" t="s">
        <v>275</v>
      </c>
      <c r="D376" s="34">
        <v>0</v>
      </c>
      <c r="F376" s="29" t="e">
        <f ca="1">ROUND(СУММПРОИЗВЕСЛИ(0.01,Определители!I6:I32," ",'Текущие цены с учетом расхода'!B6:B32,Начисления!AC6:AC32,0),0)</f>
        <v>#NAME?</v>
      </c>
      <c r="G376" s="29"/>
      <c r="H376" s="29"/>
      <c r="I376" s="29"/>
      <c r="J376" s="30"/>
      <c r="K376" s="30"/>
      <c r="L376" s="29"/>
      <c r="N376" s="31" t="s">
        <v>281</v>
      </c>
    </row>
    <row r="377" spans="1:14">
      <c r="A377" s="26">
        <v>7</v>
      </c>
      <c r="B377" s="9" t="s">
        <v>64</v>
      </c>
      <c r="C377" s="31" t="s">
        <v>275</v>
      </c>
      <c r="D377" s="34">
        <v>0</v>
      </c>
      <c r="F377" s="29" t="e">
        <f ca="1">ROUND(СУММПРОИЗВЕСЛИ(0.01,Определители!I6:I32," ",'Текущие цены с учетом расхода'!B6:B32,Начисления!AF6:AF32,0),0)</f>
        <v>#NAME?</v>
      </c>
      <c r="G377" s="29"/>
      <c r="H377" s="29"/>
      <c r="I377" s="29"/>
      <c r="J377" s="30"/>
      <c r="K377" s="30"/>
      <c r="L377" s="29"/>
      <c r="N377" s="31" t="s">
        <v>282</v>
      </c>
    </row>
    <row r="378" spans="1:14">
      <c r="A378" s="26">
        <v>8</v>
      </c>
      <c r="B378" s="9" t="s">
        <v>65</v>
      </c>
      <c r="C378" s="31" t="s">
        <v>275</v>
      </c>
      <c r="D378" s="34">
        <v>0</v>
      </c>
      <c r="F378" s="29" t="e">
        <f ca="1">ROUND(ЗАГОТСКЛАДРАСХОД(Определители!B6:B32,Определители!H6:H32,Определители!I6:I32,'Текущие цены с учетом расхода'!B6:B32,Начисления!X6:X32,Начисления!Y6:Y32,Начисления!Z6:Z32,Начисления!AA6:AA32,Начисления!AB6:AB32,Начисления!AC6:AC32,Начисления!AF6:AF32),0)</f>
        <v>#NAME?</v>
      </c>
      <c r="G378" s="29"/>
      <c r="H378" s="29"/>
      <c r="I378" s="29"/>
      <c r="J378" s="30"/>
      <c r="K378" s="30"/>
      <c r="L378" s="29"/>
      <c r="N378" s="31" t="s">
        <v>283</v>
      </c>
    </row>
    <row r="379" spans="1:14">
      <c r="A379" s="26">
        <v>9</v>
      </c>
      <c r="B379" s="9" t="s">
        <v>66</v>
      </c>
      <c r="C379" s="31" t="s">
        <v>275</v>
      </c>
      <c r="D379" s="34">
        <v>0</v>
      </c>
      <c r="F379" s="29" t="e">
        <f ca="1">ROUND(СУММПРОИЗВЕСЛИ(1,Определители!I6:I32," ",'Текущие цены с учетом расхода'!M6:M32,Начисления!I6:I32,0),0)</f>
        <v>#NAME?</v>
      </c>
      <c r="G379" s="29"/>
      <c r="H379" s="29"/>
      <c r="I379" s="29"/>
      <c r="J379" s="30"/>
      <c r="K379" s="30"/>
      <c r="L379" s="29"/>
      <c r="N379" s="31" t="s">
        <v>284</v>
      </c>
    </row>
    <row r="380" spans="1:14">
      <c r="A380" s="26">
        <v>10</v>
      </c>
      <c r="B380" s="9" t="s">
        <v>67</v>
      </c>
      <c r="C380" s="31" t="s">
        <v>276</v>
      </c>
      <c r="D380" s="34">
        <v>0</v>
      </c>
      <c r="F380" s="29" t="e">
        <f ca="1">ROUND((F379+F390+F410),0)</f>
        <v>#NAME?</v>
      </c>
      <c r="G380" s="29"/>
      <c r="H380" s="29"/>
      <c r="I380" s="29"/>
      <c r="J380" s="30"/>
      <c r="K380" s="30"/>
      <c r="L380" s="29"/>
      <c r="N380" s="31" t="s">
        <v>285</v>
      </c>
    </row>
    <row r="381" spans="1:14">
      <c r="A381" s="26">
        <v>11</v>
      </c>
      <c r="B381" s="9" t="s">
        <v>68</v>
      </c>
      <c r="C381" s="31" t="s">
        <v>276</v>
      </c>
      <c r="D381" s="34">
        <v>0</v>
      </c>
      <c r="F381" s="29" t="e">
        <f ca="1">ROUND((F372+F373+F374+F375+F376+F377+F378+F380),0)</f>
        <v>#NAME?</v>
      </c>
      <c r="G381" s="29"/>
      <c r="H381" s="29"/>
      <c r="I381" s="29"/>
      <c r="J381" s="30"/>
      <c r="K381" s="30"/>
      <c r="L381" s="29"/>
      <c r="N381" s="31" t="s">
        <v>286</v>
      </c>
    </row>
    <row r="382" spans="1:14">
      <c r="A382" s="26">
        <v>12</v>
      </c>
      <c r="B382" s="9" t="s">
        <v>69</v>
      </c>
      <c r="C382" s="31" t="s">
        <v>275</v>
      </c>
      <c r="D382" s="34">
        <v>0</v>
      </c>
      <c r="F382" s="29">
        <f>ROUND(SUMIF(Определители!I6:I32,"=1",'Текущие цены с учетом расхода'!B6:B32),0)</f>
        <v>0</v>
      </c>
      <c r="G382" s="29">
        <f>ROUND(SUMIF(Определители!I6:I32,"=1",'Текущие цены с учетом расхода'!C6:C32),0)</f>
        <v>0</v>
      </c>
      <c r="H382" s="29">
        <f>ROUND(SUMIF(Определители!I6:I32,"=1",'Текущие цены с учетом расхода'!D6:D32),0)</f>
        <v>0</v>
      </c>
      <c r="I382" s="29">
        <f>ROUND(SUMIF(Определители!I6:I32,"=1",'Текущие цены с учетом расхода'!E6:E32),0)</f>
        <v>0</v>
      </c>
      <c r="J382" s="30">
        <f>ROUND(SUMIF(Определители!I6:I32,"=1",'Текущие цены с учетом расхода'!I6:I32),8)</f>
        <v>0</v>
      </c>
      <c r="K382" s="30">
        <f>ROUND(SUMIF(Определители!I6:I32,"=1",'Текущие цены с учетом расхода'!K6:K32),8)</f>
        <v>0</v>
      </c>
      <c r="L382" s="29">
        <f>ROUND(SUMIF(Определители!I6:I32,"=1",'Текущие цены с учетом расхода'!F6:F32),0)</f>
        <v>0</v>
      </c>
      <c r="N382" s="31" t="s">
        <v>287</v>
      </c>
    </row>
    <row r="383" spans="1:14">
      <c r="A383" s="26">
        <v>13</v>
      </c>
      <c r="B383" s="9" t="s">
        <v>70</v>
      </c>
      <c r="C383" s="31" t="s">
        <v>275</v>
      </c>
      <c r="D383" s="34">
        <v>0</v>
      </c>
      <c r="F383" s="29"/>
      <c r="G383" s="29"/>
      <c r="H383" s="29"/>
      <c r="I383" s="29"/>
      <c r="J383" s="30"/>
      <c r="K383" s="30"/>
      <c r="L383" s="29"/>
      <c r="N383" s="31" t="s">
        <v>288</v>
      </c>
    </row>
    <row r="384" spans="1:14">
      <c r="A384" s="26">
        <v>14</v>
      </c>
      <c r="B384" s="9" t="s">
        <v>71</v>
      </c>
      <c r="C384" s="31" t="s">
        <v>275</v>
      </c>
      <c r="D384" s="34">
        <v>0</v>
      </c>
      <c r="F384" s="29"/>
      <c r="G384" s="29">
        <f>ROUND(SUMIF(Определители!I6:I32,"=1",'Текущие цены с учетом расхода'!T6:T32),0)</f>
        <v>0</v>
      </c>
      <c r="H384" s="29"/>
      <c r="I384" s="29"/>
      <c r="J384" s="30"/>
      <c r="K384" s="30"/>
      <c r="L384" s="29"/>
      <c r="N384" s="31" t="s">
        <v>289</v>
      </c>
    </row>
    <row r="385" spans="1:14">
      <c r="A385" s="26">
        <v>15</v>
      </c>
      <c r="B385" s="9" t="s">
        <v>72</v>
      </c>
      <c r="C385" s="31" t="s">
        <v>275</v>
      </c>
      <c r="D385" s="34">
        <v>0</v>
      </c>
      <c r="F385" s="29">
        <f>ROUND(SUMIF(Определители!I6:I32,"=1",'Текущие цены с учетом расхода'!U6:U32),0)</f>
        <v>0</v>
      </c>
      <c r="G385" s="29"/>
      <c r="H385" s="29"/>
      <c r="I385" s="29"/>
      <c r="J385" s="30"/>
      <c r="K385" s="30"/>
      <c r="L385" s="29"/>
      <c r="N385" s="31" t="s">
        <v>290</v>
      </c>
    </row>
    <row r="386" spans="1:14">
      <c r="A386" s="26">
        <v>16</v>
      </c>
      <c r="B386" s="9" t="s">
        <v>73</v>
      </c>
      <c r="C386" s="31" t="s">
        <v>275</v>
      </c>
      <c r="D386" s="34">
        <v>0</v>
      </c>
      <c r="F386" s="29" t="e">
        <f ca="1">ROUND(СУММЕСЛИ2(Определители!I6:I32,"1",Определители!G6:G32,"1",'Текущие цены с учетом расхода'!B6:B32),0)</f>
        <v>#NAME?</v>
      </c>
      <c r="G386" s="29"/>
      <c r="H386" s="29"/>
      <c r="I386" s="29"/>
      <c r="J386" s="30"/>
      <c r="K386" s="30"/>
      <c r="L386" s="29"/>
      <c r="N386" s="31" t="s">
        <v>291</v>
      </c>
    </row>
    <row r="387" spans="1:14">
      <c r="A387" s="26">
        <v>17</v>
      </c>
      <c r="B387" s="9" t="s">
        <v>74</v>
      </c>
      <c r="C387" s="31" t="s">
        <v>275</v>
      </c>
      <c r="D387" s="34">
        <v>0</v>
      </c>
      <c r="F387" s="29">
        <f>ROUND(SUMIF(Определители!I6:I32,"=1",'Текущие цены с учетом расхода'!H6:H32),0)</f>
        <v>0</v>
      </c>
      <c r="G387" s="29"/>
      <c r="H387" s="29"/>
      <c r="I387" s="29"/>
      <c r="J387" s="30"/>
      <c r="K387" s="30"/>
      <c r="L387" s="29"/>
      <c r="N387" s="31" t="s">
        <v>292</v>
      </c>
    </row>
    <row r="388" spans="1:14">
      <c r="A388" s="26">
        <v>18</v>
      </c>
      <c r="B388" s="9" t="s">
        <v>75</v>
      </c>
      <c r="C388" s="31" t="s">
        <v>275</v>
      </c>
      <c r="D388" s="34">
        <v>0</v>
      </c>
      <c r="F388" s="29">
        <f>ROUND(SUMIF(Определители!I6:I32,"=1",'Текущие цены с учетом расхода'!N6:N32),0)</f>
        <v>0</v>
      </c>
      <c r="G388" s="29"/>
      <c r="H388" s="29"/>
      <c r="I388" s="29"/>
      <c r="J388" s="30"/>
      <c r="K388" s="30"/>
      <c r="L388" s="29"/>
      <c r="N388" s="31" t="s">
        <v>293</v>
      </c>
    </row>
    <row r="389" spans="1:14">
      <c r="A389" s="26">
        <v>19</v>
      </c>
      <c r="B389" s="9" t="s">
        <v>76</v>
      </c>
      <c r="C389" s="31" t="s">
        <v>275</v>
      </c>
      <c r="D389" s="34">
        <v>0</v>
      </c>
      <c r="F389" s="29">
        <f>ROUND(SUMIF(Определители!I6:I32,"=1",'Текущие цены с учетом расхода'!O6:O32),0)</f>
        <v>0</v>
      </c>
      <c r="G389" s="29"/>
      <c r="H389" s="29"/>
      <c r="I389" s="29"/>
      <c r="J389" s="30"/>
      <c r="K389" s="30"/>
      <c r="L389" s="29"/>
      <c r="N389" s="31" t="s">
        <v>294</v>
      </c>
    </row>
    <row r="390" spans="1:14">
      <c r="A390" s="26">
        <v>20</v>
      </c>
      <c r="B390" s="9" t="s">
        <v>67</v>
      </c>
      <c r="C390" s="31" t="s">
        <v>275</v>
      </c>
      <c r="D390" s="34">
        <v>0</v>
      </c>
      <c r="F390" s="29" t="e">
        <f ca="1">ROUND(СУММПРОИЗВЕСЛИ(1,Определители!I6:I32," ",'Текущие цены с учетом расхода'!M6:M32,Начисления!I6:I32,0),0)</f>
        <v>#NAME?</v>
      </c>
      <c r="G390" s="29"/>
      <c r="H390" s="29"/>
      <c r="I390" s="29"/>
      <c r="J390" s="30"/>
      <c r="K390" s="30"/>
      <c r="L390" s="29"/>
      <c r="N390" s="31" t="s">
        <v>295</v>
      </c>
    </row>
    <row r="391" spans="1:14">
      <c r="A391" s="26">
        <v>21</v>
      </c>
      <c r="B391" s="9" t="s">
        <v>77</v>
      </c>
      <c r="C391" s="31" t="s">
        <v>276</v>
      </c>
      <c r="D391" s="34">
        <v>0</v>
      </c>
      <c r="F391" s="29">
        <f>ROUND((F382+F388+F389),0)</f>
        <v>0</v>
      </c>
      <c r="G391" s="29"/>
      <c r="H391" s="29"/>
      <c r="I391" s="29"/>
      <c r="J391" s="30"/>
      <c r="K391" s="30"/>
      <c r="L391" s="29"/>
      <c r="N391" s="31" t="s">
        <v>296</v>
      </c>
    </row>
    <row r="392" spans="1:14">
      <c r="A392" s="26">
        <v>22</v>
      </c>
      <c r="B392" s="9" t="s">
        <v>78</v>
      </c>
      <c r="C392" s="31" t="s">
        <v>275</v>
      </c>
      <c r="D392" s="34">
        <v>0</v>
      </c>
      <c r="F392" s="29">
        <f>ROUND(SUMIF(Определители!I6:I32,"=2",'Текущие цены с учетом расхода'!B6:B32),0)</f>
        <v>112602</v>
      </c>
      <c r="G392" s="29">
        <f>ROUND(SUMIF(Определители!I6:I32,"=2",'Текущие цены с учетом расхода'!C6:C32),0)</f>
        <v>22018</v>
      </c>
      <c r="H392" s="29">
        <f>ROUND(SUMIF(Определители!I6:I32,"=2",'Текущие цены с учетом расхода'!D6:D32),0)</f>
        <v>574</v>
      </c>
      <c r="I392" s="29">
        <f>ROUND(SUMIF(Определители!I6:I32,"=2",'Текущие цены с учетом расхода'!E6:E32),0)</f>
        <v>174</v>
      </c>
      <c r="J392" s="30" t="e">
        <f ca="1">ROUND(SUMIF(Определители!I6:I32,"=2",'Текущие цены с учетом расхода'!I6:I32),8)</f>
        <v>#NAME?</v>
      </c>
      <c r="K392" s="30" t="e">
        <f ca="1">ROUND(SUMIF(Определители!I6:I32,"=2",'Текущие цены с учетом расхода'!K6:K32),8)</f>
        <v>#NAME?</v>
      </c>
      <c r="L392" s="29">
        <f>ROUND(SUMIF(Определители!I6:I32,"=2",'Текущие цены с учетом расхода'!F6:F32),0)</f>
        <v>90010</v>
      </c>
      <c r="N392" s="31" t="s">
        <v>297</v>
      </c>
    </row>
    <row r="393" spans="1:14">
      <c r="A393" s="26">
        <v>23</v>
      </c>
      <c r="B393" s="9" t="s">
        <v>70</v>
      </c>
      <c r="C393" s="31" t="s">
        <v>275</v>
      </c>
      <c r="D393" s="34">
        <v>0</v>
      </c>
      <c r="F393" s="29"/>
      <c r="G393" s="29"/>
      <c r="H393" s="29"/>
      <c r="I393" s="29"/>
      <c r="J393" s="30"/>
      <c r="K393" s="30"/>
      <c r="L393" s="29"/>
      <c r="N393" s="31" t="s">
        <v>298</v>
      </c>
    </row>
    <row r="394" spans="1:14">
      <c r="A394" s="26">
        <v>24</v>
      </c>
      <c r="B394" s="9" t="s">
        <v>79</v>
      </c>
      <c r="C394" s="31" t="s">
        <v>275</v>
      </c>
      <c r="D394" s="34">
        <v>0</v>
      </c>
      <c r="F394" s="29" t="e">
        <f ca="1">ROUND(СУММЕСЛИ2(Определители!I6:I32,"2",Определители!G6:G32,"1",'Текущие цены с учетом расхода'!B6:B32),0)</f>
        <v>#NAME?</v>
      </c>
      <c r="G394" s="29"/>
      <c r="H394" s="29"/>
      <c r="I394" s="29"/>
      <c r="J394" s="30"/>
      <c r="K394" s="30"/>
      <c r="L394" s="29"/>
      <c r="N394" s="31" t="s">
        <v>299</v>
      </c>
    </row>
    <row r="395" spans="1:14">
      <c r="A395" s="26">
        <v>25</v>
      </c>
      <c r="B395" s="9" t="s">
        <v>74</v>
      </c>
      <c r="C395" s="31" t="s">
        <v>275</v>
      </c>
      <c r="D395" s="34">
        <v>0</v>
      </c>
      <c r="F395" s="29">
        <f>ROUND(SUMIF(Определители!I6:I32,"=2",'Текущие цены с учетом расхода'!H6:H32),0)</f>
        <v>0</v>
      </c>
      <c r="G395" s="29"/>
      <c r="H395" s="29"/>
      <c r="I395" s="29"/>
      <c r="J395" s="30"/>
      <c r="K395" s="30"/>
      <c r="L395" s="29"/>
      <c r="N395" s="31" t="s">
        <v>300</v>
      </c>
    </row>
    <row r="396" spans="1:14">
      <c r="A396" s="26">
        <v>26</v>
      </c>
      <c r="B396" s="9" t="s">
        <v>75</v>
      </c>
      <c r="C396" s="31" t="s">
        <v>275</v>
      </c>
      <c r="D396" s="34">
        <v>0</v>
      </c>
      <c r="F396" s="29">
        <f>ROUND(SUMIF(Определители!I6:I32,"=2",'Текущие цены с учетом расхода'!N6:N32),0)</f>
        <v>19372</v>
      </c>
      <c r="G396" s="29"/>
      <c r="H396" s="29"/>
      <c r="I396" s="29"/>
      <c r="J396" s="30"/>
      <c r="K396" s="30"/>
      <c r="L396" s="29"/>
      <c r="N396" s="31" t="s">
        <v>301</v>
      </c>
    </row>
    <row r="397" spans="1:14">
      <c r="A397" s="26">
        <v>27</v>
      </c>
      <c r="B397" s="9" t="s">
        <v>76</v>
      </c>
      <c r="C397" s="31" t="s">
        <v>275</v>
      </c>
      <c r="D397" s="34">
        <v>0</v>
      </c>
      <c r="F397" s="29">
        <f>ROUND(SUMIF(Определители!I6:I32,"=2",'Текущие цены с учетом расхода'!O6:O32),0)</f>
        <v>13530</v>
      </c>
      <c r="G397" s="29"/>
      <c r="H397" s="29"/>
      <c r="I397" s="29"/>
      <c r="J397" s="30"/>
      <c r="K397" s="30"/>
      <c r="L397" s="29"/>
      <c r="N397" s="31" t="s">
        <v>302</v>
      </c>
    </row>
    <row r="398" spans="1:14">
      <c r="A398" s="26">
        <v>28</v>
      </c>
      <c r="B398" s="9" t="s">
        <v>82</v>
      </c>
      <c r="C398" s="31" t="s">
        <v>276</v>
      </c>
      <c r="D398" s="34">
        <v>0</v>
      </c>
      <c r="F398" s="29">
        <f>ROUND((F392+F396+F397),0)</f>
        <v>145504</v>
      </c>
      <c r="G398" s="29"/>
      <c r="H398" s="29"/>
      <c r="I398" s="29"/>
      <c r="J398" s="30"/>
      <c r="K398" s="30"/>
      <c r="L398" s="29"/>
      <c r="N398" s="31" t="s">
        <v>303</v>
      </c>
    </row>
    <row r="399" spans="1:14">
      <c r="A399" s="26">
        <v>29</v>
      </c>
      <c r="B399" s="9" t="s">
        <v>83</v>
      </c>
      <c r="C399" s="31" t="s">
        <v>275</v>
      </c>
      <c r="D399" s="34">
        <v>0</v>
      </c>
      <c r="F399" s="29">
        <f>ROUND(SUMIF(Определители!I6:I32,"=3",'Текущие цены с учетом расхода'!B6:B32),0)</f>
        <v>13886</v>
      </c>
      <c r="G399" s="29">
        <f>ROUND(SUMIF(Определители!I6:I32,"=3",'Текущие цены с учетом расхода'!C6:C32),0)</f>
        <v>8459</v>
      </c>
      <c r="H399" s="29">
        <f>ROUND(SUMIF(Определители!I6:I32,"=3",'Текущие цены с учетом расхода'!D6:D32),0)</f>
        <v>4160</v>
      </c>
      <c r="I399" s="29">
        <f>ROUND(SUMIF(Определители!I6:I32,"=3",'Текущие цены с учетом расхода'!E6:E32),0)</f>
        <v>1109</v>
      </c>
      <c r="J399" s="30" t="e">
        <f ca="1">ROUND(SUMIF(Определители!I6:I32,"=3",'Текущие цены с учетом расхода'!I6:I32),8)</f>
        <v>#NAME?</v>
      </c>
      <c r="K399" s="30" t="e">
        <f ca="1">ROUND(SUMIF(Определители!I6:I32,"=3",'Текущие цены с учетом расхода'!K6:K32),8)</f>
        <v>#NAME?</v>
      </c>
      <c r="L399" s="29">
        <f>ROUND(SUMIF(Определители!I6:I32,"=3",'Текущие цены с учетом расхода'!F6:F32),0)</f>
        <v>1267</v>
      </c>
      <c r="N399" s="31" t="s">
        <v>304</v>
      </c>
    </row>
    <row r="400" spans="1:14">
      <c r="A400" s="26">
        <v>30</v>
      </c>
      <c r="B400" s="9" t="s">
        <v>74</v>
      </c>
      <c r="C400" s="31" t="s">
        <v>275</v>
      </c>
      <c r="D400" s="34">
        <v>0</v>
      </c>
      <c r="F400" s="29">
        <f>ROUND(SUMIF(Определители!I6:I32,"=3",'Текущие цены с учетом расхода'!H6:H32),0)</f>
        <v>0</v>
      </c>
      <c r="G400" s="29"/>
      <c r="H400" s="29"/>
      <c r="I400" s="29"/>
      <c r="J400" s="30"/>
      <c r="K400" s="30"/>
      <c r="L400" s="29"/>
      <c r="N400" s="31" t="s">
        <v>305</v>
      </c>
    </row>
    <row r="401" spans="1:14">
      <c r="A401" s="26">
        <v>31</v>
      </c>
      <c r="B401" s="9" t="s">
        <v>75</v>
      </c>
      <c r="C401" s="31" t="s">
        <v>275</v>
      </c>
      <c r="D401" s="34">
        <v>0</v>
      </c>
      <c r="F401" s="29">
        <f>ROUND(SUMIF(Определители!I6:I32,"=3",'Текущие цены с учетом расхода'!N6:N32),0)</f>
        <v>7750</v>
      </c>
      <c r="G401" s="29"/>
      <c r="H401" s="29"/>
      <c r="I401" s="29"/>
      <c r="J401" s="30"/>
      <c r="K401" s="30"/>
      <c r="L401" s="29"/>
      <c r="N401" s="31" t="s">
        <v>306</v>
      </c>
    </row>
    <row r="402" spans="1:14">
      <c r="A402" s="26">
        <v>32</v>
      </c>
      <c r="B402" s="9" t="s">
        <v>76</v>
      </c>
      <c r="C402" s="31" t="s">
        <v>275</v>
      </c>
      <c r="D402" s="34">
        <v>0</v>
      </c>
      <c r="F402" s="29">
        <f>ROUND(SUMIF(Определители!I6:I32,"=3",'Текущие цены с учетом расхода'!O6:O32),0)</f>
        <v>6889</v>
      </c>
      <c r="G402" s="29"/>
      <c r="H402" s="29"/>
      <c r="I402" s="29"/>
      <c r="J402" s="30"/>
      <c r="K402" s="30"/>
      <c r="L402" s="29"/>
      <c r="N402" s="31" t="s">
        <v>307</v>
      </c>
    </row>
    <row r="403" spans="1:14">
      <c r="A403" s="26">
        <v>33</v>
      </c>
      <c r="B403" s="9" t="s">
        <v>84</v>
      </c>
      <c r="C403" s="31" t="s">
        <v>276</v>
      </c>
      <c r="D403" s="34">
        <v>0</v>
      </c>
      <c r="F403" s="29">
        <f>ROUND((F399+F401+F402),0)</f>
        <v>28525</v>
      </c>
      <c r="G403" s="29"/>
      <c r="H403" s="29"/>
      <c r="I403" s="29"/>
      <c r="J403" s="30"/>
      <c r="K403" s="30"/>
      <c r="L403" s="29"/>
      <c r="N403" s="31" t="s">
        <v>308</v>
      </c>
    </row>
    <row r="404" spans="1:14">
      <c r="A404" s="26">
        <v>34</v>
      </c>
      <c r="B404" s="9" t="s">
        <v>85</v>
      </c>
      <c r="C404" s="31" t="s">
        <v>275</v>
      </c>
      <c r="D404" s="34">
        <v>0</v>
      </c>
      <c r="F404" s="29">
        <f>ROUND(SUMIF(Определители!I6:I32,"=4",'Текущие цены с учетом расхода'!B6:B32),0)</f>
        <v>0</v>
      </c>
      <c r="G404" s="29">
        <f>ROUND(SUMIF(Определители!I6:I32,"=4",'Текущие цены с учетом расхода'!C6:C32),0)</f>
        <v>0</v>
      </c>
      <c r="H404" s="29">
        <f>ROUND(SUMIF(Определители!I6:I32,"=4",'Текущие цены с учетом расхода'!D6:D32),0)</f>
        <v>0</v>
      </c>
      <c r="I404" s="29">
        <f>ROUND(SUMIF(Определители!I6:I32,"=4",'Текущие цены с учетом расхода'!E6:E32),0)</f>
        <v>0</v>
      </c>
      <c r="J404" s="30">
        <f>ROUND(SUMIF(Определители!I6:I32,"=4",'Текущие цены с учетом расхода'!I6:I32),8)</f>
        <v>0</v>
      </c>
      <c r="K404" s="30">
        <f>ROUND(SUMIF(Определители!I6:I32,"=4",'Текущие цены с учетом расхода'!K6:K32),8)</f>
        <v>0</v>
      </c>
      <c r="L404" s="29">
        <f>ROUND(SUMIF(Определители!I6:I32,"=4",'Текущие цены с учетом расхода'!F6:F32),0)</f>
        <v>0</v>
      </c>
      <c r="N404" s="31" t="s">
        <v>309</v>
      </c>
    </row>
    <row r="405" spans="1:14">
      <c r="A405" s="26">
        <v>35</v>
      </c>
      <c r="B405" s="9" t="s">
        <v>70</v>
      </c>
      <c r="C405" s="31" t="s">
        <v>275</v>
      </c>
      <c r="D405" s="34">
        <v>0</v>
      </c>
      <c r="F405" s="29"/>
      <c r="G405" s="29"/>
      <c r="H405" s="29"/>
      <c r="I405" s="29"/>
      <c r="J405" s="30"/>
      <c r="K405" s="30"/>
      <c r="L405" s="29"/>
      <c r="N405" s="31" t="s">
        <v>310</v>
      </c>
    </row>
    <row r="406" spans="1:14">
      <c r="A406" s="26">
        <v>36</v>
      </c>
      <c r="B406" s="9" t="s">
        <v>86</v>
      </c>
      <c r="C406" s="31" t="s">
        <v>275</v>
      </c>
      <c r="D406" s="34">
        <v>0</v>
      </c>
      <c r="F406" s="29">
        <f>ROUND(SUMIF(Определители!I6:I32,"=4",'Текущие цены с учетом расхода'!AJ6:AJ32),0)</f>
        <v>0</v>
      </c>
      <c r="G406" s="29">
        <f>ROUND(SUMIF(Определители!I6:I32,"=4",'Текущие цены с учетом расхода'!AI6:AI32),0)</f>
        <v>0</v>
      </c>
      <c r="H406" s="29">
        <f>ROUND(SUMIF(Определители!I6:I32,"=4",'Текущие цены с учетом расхода'!AH6:AH32),0)</f>
        <v>0</v>
      </c>
      <c r="I406" s="29">
        <f>ROUND(SUMIF(Определители!I6:I32,"=4",'Текущие цены с учетом расхода'!V6:V32),0)</f>
        <v>0</v>
      </c>
      <c r="J406" s="30"/>
      <c r="K406" s="30"/>
      <c r="L406" s="29"/>
      <c r="N406" s="31" t="s">
        <v>311</v>
      </c>
    </row>
    <row r="407" spans="1:14">
      <c r="A407" s="26">
        <v>37</v>
      </c>
      <c r="B407" s="9" t="s">
        <v>74</v>
      </c>
      <c r="C407" s="31" t="s">
        <v>275</v>
      </c>
      <c r="D407" s="34">
        <v>0</v>
      </c>
      <c r="F407" s="29">
        <f>ROUND(SUMIF(Определители!I6:I32,"=4",'Текущие цены с учетом расхода'!H6:H32),0)</f>
        <v>0</v>
      </c>
      <c r="G407" s="29"/>
      <c r="H407" s="29"/>
      <c r="I407" s="29"/>
      <c r="J407" s="30"/>
      <c r="K407" s="30"/>
      <c r="L407" s="29"/>
      <c r="N407" s="31" t="s">
        <v>312</v>
      </c>
    </row>
    <row r="408" spans="1:14">
      <c r="A408" s="26">
        <v>38</v>
      </c>
      <c r="B408" s="9" t="s">
        <v>75</v>
      </c>
      <c r="C408" s="31" t="s">
        <v>275</v>
      </c>
      <c r="D408" s="34">
        <v>0</v>
      </c>
      <c r="F408" s="29">
        <f>ROUND(SUMIF(Определители!I6:I32,"=4",'Текущие цены с учетом расхода'!N6:N32),0)</f>
        <v>0</v>
      </c>
      <c r="G408" s="29"/>
      <c r="H408" s="29"/>
      <c r="I408" s="29"/>
      <c r="J408" s="30"/>
      <c r="K408" s="30"/>
      <c r="L408" s="29"/>
      <c r="N408" s="31" t="s">
        <v>313</v>
      </c>
    </row>
    <row r="409" spans="1:14">
      <c r="A409" s="26">
        <v>39</v>
      </c>
      <c r="B409" s="9" t="s">
        <v>76</v>
      </c>
      <c r="C409" s="31" t="s">
        <v>275</v>
      </c>
      <c r="D409" s="34">
        <v>0</v>
      </c>
      <c r="F409" s="29">
        <f>ROUND(SUMIF(Определители!I6:I32,"=4",'Текущие цены с учетом расхода'!O6:O32),0)</f>
        <v>0</v>
      </c>
      <c r="G409" s="29"/>
      <c r="H409" s="29"/>
      <c r="I409" s="29"/>
      <c r="J409" s="30"/>
      <c r="K409" s="30"/>
      <c r="L409" s="29"/>
      <c r="N409" s="31" t="s">
        <v>314</v>
      </c>
    </row>
    <row r="410" spans="1:14">
      <c r="A410" s="26">
        <v>40</v>
      </c>
      <c r="B410" s="9" t="s">
        <v>67</v>
      </c>
      <c r="C410" s="31" t="s">
        <v>275</v>
      </c>
      <c r="D410" s="34">
        <v>0</v>
      </c>
      <c r="F410" s="29" t="e">
        <f ca="1">ROUND(СУММПРОИЗВЕСЛИ(1,Определители!I6:I32," ",'Текущие цены с учетом расхода'!M6:M32,Начисления!I6:I32,0),0)</f>
        <v>#NAME?</v>
      </c>
      <c r="G410" s="29"/>
      <c r="H410" s="29"/>
      <c r="I410" s="29"/>
      <c r="J410" s="30"/>
      <c r="K410" s="30"/>
      <c r="L410" s="29"/>
      <c r="N410" s="31" t="s">
        <v>315</v>
      </c>
    </row>
    <row r="411" spans="1:14">
      <c r="A411" s="26">
        <v>41</v>
      </c>
      <c r="B411" s="9" t="s">
        <v>87</v>
      </c>
      <c r="C411" s="31" t="s">
        <v>276</v>
      </c>
      <c r="D411" s="34">
        <v>0</v>
      </c>
      <c r="F411" s="29">
        <f>ROUND((F404+F408+F409),0)</f>
        <v>0</v>
      </c>
      <c r="G411" s="29"/>
      <c r="H411" s="29"/>
      <c r="I411" s="29"/>
      <c r="J411" s="30"/>
      <c r="K411" s="30"/>
      <c r="L411" s="29"/>
      <c r="N411" s="31" t="s">
        <v>316</v>
      </c>
    </row>
    <row r="412" spans="1:14">
      <c r="A412" s="26">
        <v>42</v>
      </c>
      <c r="B412" s="9" t="s">
        <v>88</v>
      </c>
      <c r="C412" s="31" t="s">
        <v>275</v>
      </c>
      <c r="D412" s="34">
        <v>0</v>
      </c>
      <c r="F412" s="29">
        <f>ROUND(SUMIF(Определители!I6:I32,"=5",'Текущие цены с учетом расхода'!B6:B32),0)</f>
        <v>0</v>
      </c>
      <c r="G412" s="29">
        <f>ROUND(SUMIF(Определители!I6:I32,"=5",'Текущие цены с учетом расхода'!C6:C32),0)</f>
        <v>0</v>
      </c>
      <c r="H412" s="29">
        <f>ROUND(SUMIF(Определители!I6:I32,"=5",'Текущие цены с учетом расхода'!D6:D32),0)</f>
        <v>0</v>
      </c>
      <c r="I412" s="29">
        <f>ROUND(SUMIF(Определители!I6:I32,"=5",'Текущие цены с учетом расхода'!E6:E32),0)</f>
        <v>0</v>
      </c>
      <c r="J412" s="30">
        <f>ROUND(SUMIF(Определители!I6:I32,"=5",'Текущие цены с учетом расхода'!I6:I32),8)</f>
        <v>0</v>
      </c>
      <c r="K412" s="30">
        <f>ROUND(SUMIF(Определители!I6:I32,"=5",'Текущие цены с учетом расхода'!K6:K32),8)</f>
        <v>0</v>
      </c>
      <c r="L412" s="29">
        <f>ROUND(SUMIF(Определители!I6:I32,"=5",'Текущие цены с учетом расхода'!F6:F32),0)</f>
        <v>0</v>
      </c>
      <c r="N412" s="31" t="s">
        <v>317</v>
      </c>
    </row>
    <row r="413" spans="1:14">
      <c r="A413" s="26">
        <v>43</v>
      </c>
      <c r="B413" s="9" t="s">
        <v>74</v>
      </c>
      <c r="C413" s="31" t="s">
        <v>275</v>
      </c>
      <c r="D413" s="34">
        <v>0</v>
      </c>
      <c r="F413" s="29">
        <f>ROUND(SUMIF(Определители!I6:I32,"=5",'Текущие цены с учетом расхода'!H6:H32),0)</f>
        <v>0</v>
      </c>
      <c r="G413" s="29"/>
      <c r="H413" s="29"/>
      <c r="I413" s="29"/>
      <c r="J413" s="30"/>
      <c r="K413" s="30"/>
      <c r="L413" s="29"/>
      <c r="N413" s="31" t="s">
        <v>318</v>
      </c>
    </row>
    <row r="414" spans="1:14">
      <c r="A414" s="26">
        <v>44</v>
      </c>
      <c r="B414" s="9" t="s">
        <v>75</v>
      </c>
      <c r="C414" s="31" t="s">
        <v>275</v>
      </c>
      <c r="D414" s="34">
        <v>0</v>
      </c>
      <c r="F414" s="29">
        <f>ROUND(SUMIF(Определители!I6:I32,"=5",'Текущие цены с учетом расхода'!N6:N32),0)</f>
        <v>0</v>
      </c>
      <c r="G414" s="29"/>
      <c r="H414" s="29"/>
      <c r="I414" s="29"/>
      <c r="J414" s="30"/>
      <c r="K414" s="30"/>
      <c r="L414" s="29"/>
      <c r="N414" s="31" t="s">
        <v>319</v>
      </c>
    </row>
    <row r="415" spans="1:14">
      <c r="A415" s="26">
        <v>45</v>
      </c>
      <c r="B415" s="9" t="s">
        <v>76</v>
      </c>
      <c r="C415" s="31" t="s">
        <v>275</v>
      </c>
      <c r="D415" s="34">
        <v>0</v>
      </c>
      <c r="F415" s="29">
        <f>ROUND(SUMIF(Определители!I6:I32,"=5",'Текущие цены с учетом расхода'!O6:O32),0)</f>
        <v>0</v>
      </c>
      <c r="G415" s="29"/>
      <c r="H415" s="29"/>
      <c r="I415" s="29"/>
      <c r="J415" s="30"/>
      <c r="K415" s="30"/>
      <c r="L415" s="29"/>
      <c r="N415" s="31" t="s">
        <v>320</v>
      </c>
    </row>
    <row r="416" spans="1:14">
      <c r="A416" s="26">
        <v>46</v>
      </c>
      <c r="B416" s="9" t="s">
        <v>89</v>
      </c>
      <c r="C416" s="31" t="s">
        <v>276</v>
      </c>
      <c r="D416" s="34">
        <v>0</v>
      </c>
      <c r="F416" s="29">
        <f>ROUND((F412+F414+F415),0)</f>
        <v>0</v>
      </c>
      <c r="G416" s="29"/>
      <c r="H416" s="29"/>
      <c r="I416" s="29"/>
      <c r="J416" s="30"/>
      <c r="K416" s="30"/>
      <c r="L416" s="29"/>
      <c r="N416" s="31" t="s">
        <v>321</v>
      </c>
    </row>
    <row r="417" spans="1:14">
      <c r="A417" s="26">
        <v>47</v>
      </c>
      <c r="B417" s="9" t="s">
        <v>90</v>
      </c>
      <c r="C417" s="31" t="s">
        <v>275</v>
      </c>
      <c r="D417" s="34">
        <v>0</v>
      </c>
      <c r="F417" s="29">
        <f>ROUND(SUMIF(Определители!I6:I32,"=6",'Текущие цены с учетом расхода'!B6:B32),0)</f>
        <v>0</v>
      </c>
      <c r="G417" s="29">
        <f>ROUND(SUMIF(Определители!I6:I32,"=6",'Текущие цены с учетом расхода'!C6:C32),0)</f>
        <v>0</v>
      </c>
      <c r="H417" s="29">
        <f>ROUND(SUMIF(Определители!I6:I32,"=6",'Текущие цены с учетом расхода'!D6:D32),0)</f>
        <v>0</v>
      </c>
      <c r="I417" s="29">
        <f>ROUND(SUMIF(Определители!I6:I32,"=6",'Текущие цены с учетом расхода'!E6:E32),0)</f>
        <v>0</v>
      </c>
      <c r="J417" s="30">
        <f>ROUND(SUMIF(Определители!I6:I32,"=6",'Текущие цены с учетом расхода'!I6:I32),8)</f>
        <v>0</v>
      </c>
      <c r="K417" s="30">
        <f>ROUND(SUMIF(Определители!I6:I32,"=6",'Текущие цены с учетом расхода'!K6:K32),8)</f>
        <v>0</v>
      </c>
      <c r="L417" s="29">
        <f>ROUND(SUMIF(Определители!I6:I32,"=6",'Текущие цены с учетом расхода'!F6:F32),0)</f>
        <v>0</v>
      </c>
      <c r="N417" s="31" t="s">
        <v>322</v>
      </c>
    </row>
    <row r="418" spans="1:14">
      <c r="A418" s="26">
        <v>48</v>
      </c>
      <c r="B418" s="9" t="s">
        <v>74</v>
      </c>
      <c r="C418" s="31" t="s">
        <v>275</v>
      </c>
      <c r="D418" s="34">
        <v>0</v>
      </c>
      <c r="F418" s="29">
        <f>ROUND(SUMIF(Определители!I6:I32,"=6",'Текущие цены с учетом расхода'!H6:H32),0)</f>
        <v>0</v>
      </c>
      <c r="G418" s="29"/>
      <c r="H418" s="29"/>
      <c r="I418" s="29"/>
      <c r="J418" s="30"/>
      <c r="K418" s="30"/>
      <c r="L418" s="29"/>
      <c r="N418" s="31" t="s">
        <v>323</v>
      </c>
    </row>
    <row r="419" spans="1:14">
      <c r="A419" s="26">
        <v>49</v>
      </c>
      <c r="B419" s="9" t="s">
        <v>75</v>
      </c>
      <c r="C419" s="31" t="s">
        <v>275</v>
      </c>
      <c r="D419" s="34">
        <v>0</v>
      </c>
      <c r="F419" s="29">
        <f>ROUND(SUMIF(Определители!I6:I32,"=6",'Текущие цены с учетом расхода'!N6:N32),0)</f>
        <v>0</v>
      </c>
      <c r="G419" s="29"/>
      <c r="H419" s="29"/>
      <c r="I419" s="29"/>
      <c r="J419" s="30"/>
      <c r="K419" s="30"/>
      <c r="L419" s="29"/>
      <c r="N419" s="31" t="s">
        <v>324</v>
      </c>
    </row>
    <row r="420" spans="1:14">
      <c r="A420" s="26">
        <v>50</v>
      </c>
      <c r="B420" s="9" t="s">
        <v>76</v>
      </c>
      <c r="C420" s="31" t="s">
        <v>275</v>
      </c>
      <c r="D420" s="34">
        <v>0</v>
      </c>
      <c r="F420" s="29">
        <f>ROUND(SUMIF(Определители!I6:I32,"=6",'Текущие цены с учетом расхода'!O6:O32),0)</f>
        <v>0</v>
      </c>
      <c r="G420" s="29"/>
      <c r="H420" s="29"/>
      <c r="I420" s="29"/>
      <c r="J420" s="30"/>
      <c r="K420" s="30"/>
      <c r="L420" s="29"/>
      <c r="N420" s="31" t="s">
        <v>325</v>
      </c>
    </row>
    <row r="421" spans="1:14">
      <c r="A421" s="26">
        <v>51</v>
      </c>
      <c r="B421" s="9" t="s">
        <v>91</v>
      </c>
      <c r="C421" s="31" t="s">
        <v>276</v>
      </c>
      <c r="D421" s="34">
        <v>0</v>
      </c>
      <c r="F421" s="29">
        <f>ROUND((F417+F419+F420),0)</f>
        <v>0</v>
      </c>
      <c r="G421" s="29"/>
      <c r="H421" s="29"/>
      <c r="I421" s="29"/>
      <c r="J421" s="30"/>
      <c r="K421" s="30"/>
      <c r="L421" s="29"/>
      <c r="N421" s="31" t="s">
        <v>326</v>
      </c>
    </row>
    <row r="422" spans="1:14">
      <c r="A422" s="26">
        <v>52</v>
      </c>
      <c r="B422" s="9" t="s">
        <v>92</v>
      </c>
      <c r="C422" s="31" t="s">
        <v>275</v>
      </c>
      <c r="D422" s="34">
        <v>0</v>
      </c>
      <c r="F422" s="29">
        <f>ROUND(SUMIF(Определители!I6:I32,"=7",'Текущие цены с учетом расхода'!B6:B32),0)</f>
        <v>0</v>
      </c>
      <c r="G422" s="29">
        <f>ROUND(SUMIF(Определители!I6:I32,"=7",'Текущие цены с учетом расхода'!C6:C32),0)</f>
        <v>0</v>
      </c>
      <c r="H422" s="29">
        <f>ROUND(SUMIF(Определители!I6:I32,"=7",'Текущие цены с учетом расхода'!D6:D32),0)</f>
        <v>0</v>
      </c>
      <c r="I422" s="29">
        <f>ROUND(SUMIF(Определители!I6:I32,"=7",'Текущие цены с учетом расхода'!E6:E32),0)</f>
        <v>0</v>
      </c>
      <c r="J422" s="30">
        <f>ROUND(SUMIF(Определители!I6:I32,"=7",'Текущие цены с учетом расхода'!I6:I32),8)</f>
        <v>0</v>
      </c>
      <c r="K422" s="30">
        <f>ROUND(SUMIF(Определители!I6:I32,"=7",'Текущие цены с учетом расхода'!K6:K32),8)</f>
        <v>0</v>
      </c>
      <c r="L422" s="29">
        <f>ROUND(SUMIF(Определители!I6:I32,"=7",'Текущие цены с учетом расхода'!F6:F32),0)</f>
        <v>0</v>
      </c>
      <c r="N422" s="31" t="s">
        <v>327</v>
      </c>
    </row>
    <row r="423" spans="1:14">
      <c r="A423" s="26">
        <v>53</v>
      </c>
      <c r="B423" s="9" t="s">
        <v>70</v>
      </c>
      <c r="C423" s="31" t="s">
        <v>275</v>
      </c>
      <c r="D423" s="34">
        <v>0</v>
      </c>
      <c r="F423" s="29"/>
      <c r="G423" s="29"/>
      <c r="H423" s="29"/>
      <c r="I423" s="29"/>
      <c r="J423" s="30"/>
      <c r="K423" s="30"/>
      <c r="L423" s="29"/>
      <c r="N423" s="31" t="s">
        <v>328</v>
      </c>
    </row>
    <row r="424" spans="1:14">
      <c r="A424" s="26">
        <v>54</v>
      </c>
      <c r="B424" s="9" t="s">
        <v>79</v>
      </c>
      <c r="C424" s="31" t="s">
        <v>275</v>
      </c>
      <c r="D424" s="34">
        <v>0</v>
      </c>
      <c r="F424" s="29" t="e">
        <f ca="1">ROUND(СУММЕСЛИ2(Определители!I6:I32,"2",Определители!G6:G32,"1",'Текущие цены с учетом расхода'!B6:B32),0)</f>
        <v>#NAME?</v>
      </c>
      <c r="G424" s="29"/>
      <c r="H424" s="29"/>
      <c r="I424" s="29"/>
      <c r="J424" s="30"/>
      <c r="K424" s="30"/>
      <c r="L424" s="29"/>
      <c r="N424" s="31" t="s">
        <v>329</v>
      </c>
    </row>
    <row r="425" spans="1:14">
      <c r="A425" s="26">
        <v>55</v>
      </c>
      <c r="B425" s="9" t="s">
        <v>74</v>
      </c>
      <c r="C425" s="31" t="s">
        <v>275</v>
      </c>
      <c r="D425" s="34">
        <v>0</v>
      </c>
      <c r="F425" s="29">
        <f>ROUND(SUMIF(Определители!I6:I32,"=7",'Текущие цены с учетом расхода'!H6:H32),0)</f>
        <v>0</v>
      </c>
      <c r="G425" s="29"/>
      <c r="H425" s="29"/>
      <c r="I425" s="29"/>
      <c r="J425" s="30"/>
      <c r="K425" s="30"/>
      <c r="L425" s="29"/>
      <c r="N425" s="31" t="s">
        <v>330</v>
      </c>
    </row>
    <row r="426" spans="1:14">
      <c r="A426" s="26">
        <v>56</v>
      </c>
      <c r="B426" s="9" t="s">
        <v>75</v>
      </c>
      <c r="C426" s="31" t="s">
        <v>275</v>
      </c>
      <c r="D426" s="34">
        <v>0</v>
      </c>
      <c r="F426" s="29">
        <f>ROUND(SUMIF(Определители!I6:I32,"=7",'Текущие цены с учетом расхода'!N6:N32),0)</f>
        <v>0</v>
      </c>
      <c r="G426" s="29"/>
      <c r="H426" s="29"/>
      <c r="I426" s="29"/>
      <c r="J426" s="30"/>
      <c r="K426" s="30"/>
      <c r="L426" s="29"/>
      <c r="N426" s="31" t="s">
        <v>331</v>
      </c>
    </row>
    <row r="427" spans="1:14">
      <c r="A427" s="26">
        <v>57</v>
      </c>
      <c r="B427" s="9" t="s">
        <v>76</v>
      </c>
      <c r="C427" s="31" t="s">
        <v>275</v>
      </c>
      <c r="D427" s="34">
        <v>0</v>
      </c>
      <c r="F427" s="29">
        <f>ROUND(SUMIF(Определители!I6:I32,"=7",'Текущие цены с учетом расхода'!O6:O32),0)</f>
        <v>0</v>
      </c>
      <c r="G427" s="29"/>
      <c r="H427" s="29"/>
      <c r="I427" s="29"/>
      <c r="J427" s="30"/>
      <c r="K427" s="30"/>
      <c r="L427" s="29"/>
      <c r="N427" s="31" t="s">
        <v>332</v>
      </c>
    </row>
    <row r="428" spans="1:14">
      <c r="A428" s="26">
        <v>58</v>
      </c>
      <c r="B428" s="9" t="s">
        <v>93</v>
      </c>
      <c r="C428" s="31" t="s">
        <v>276</v>
      </c>
      <c r="D428" s="34">
        <v>0</v>
      </c>
      <c r="F428" s="29">
        <f>ROUND((F422+F426+F427),0)</f>
        <v>0</v>
      </c>
      <c r="G428" s="29"/>
      <c r="H428" s="29"/>
      <c r="I428" s="29"/>
      <c r="J428" s="30"/>
      <c r="K428" s="30"/>
      <c r="L428" s="29"/>
      <c r="N428" s="31" t="s">
        <v>333</v>
      </c>
    </row>
    <row r="429" spans="1:14">
      <c r="A429" s="26">
        <v>59</v>
      </c>
      <c r="B429" s="9" t="s">
        <v>94</v>
      </c>
      <c r="C429" s="31" t="s">
        <v>275</v>
      </c>
      <c r="D429" s="34">
        <v>0</v>
      </c>
      <c r="F429" s="29">
        <f>ROUND(SUMIF(Определители!I6:I32,"=;",'Текущие цены с учетом расхода'!B6:B32),0)</f>
        <v>0</v>
      </c>
      <c r="G429" s="29">
        <f>ROUND(SUMIF(Определители!I6:I32,"=;",'Текущие цены с учетом расхода'!C6:C32),0)</f>
        <v>0</v>
      </c>
      <c r="H429" s="29">
        <f>ROUND(SUMIF(Определители!I6:I32,"=;",'Текущие цены с учетом расхода'!D6:D32),0)</f>
        <v>0</v>
      </c>
      <c r="I429" s="29">
        <f>ROUND(SUMIF(Определители!I6:I32,"=;",'Текущие цены с учетом расхода'!E6:E32),0)</f>
        <v>0</v>
      </c>
      <c r="J429" s="30">
        <f>ROUND(SUMIF(Определители!I6:I32,"=;",'Текущие цены с учетом расхода'!I6:I32),8)</f>
        <v>0</v>
      </c>
      <c r="K429" s="30">
        <f>ROUND(SUMIF(Определители!I6:I32,"=;",'Текущие цены с учетом расхода'!K6:K32),8)</f>
        <v>0</v>
      </c>
      <c r="L429" s="29">
        <f>ROUND(SUMIF(Определители!I6:I32,"=;",'Текущие цены с учетом расхода'!F6:F32),0)</f>
        <v>0</v>
      </c>
      <c r="N429" s="31" t="s">
        <v>334</v>
      </c>
    </row>
    <row r="430" spans="1:14">
      <c r="A430" s="26">
        <v>60</v>
      </c>
      <c r="B430" s="9" t="s">
        <v>95</v>
      </c>
      <c r="C430" s="31" t="s">
        <v>275</v>
      </c>
      <c r="D430" s="34">
        <v>0</v>
      </c>
      <c r="F430" s="29">
        <f>ROUND(SUMIF(Определители!I6:I32,"=;",'Текущие цены с учетом расхода'!AF6:AF32),0)</f>
        <v>0</v>
      </c>
      <c r="G430" s="29"/>
      <c r="H430" s="29"/>
      <c r="I430" s="29"/>
      <c r="J430" s="30"/>
      <c r="K430" s="30"/>
      <c r="L430" s="29"/>
      <c r="N430" s="31" t="s">
        <v>335</v>
      </c>
    </row>
    <row r="431" spans="1:14">
      <c r="A431" s="26">
        <v>61</v>
      </c>
      <c r="B431" s="9" t="s">
        <v>96</v>
      </c>
      <c r="C431" s="31" t="s">
        <v>275</v>
      </c>
      <c r="D431" s="34">
        <v>0</v>
      </c>
      <c r="F431" s="29">
        <f>ROUND(SUMIF(Определители!I6:I32,"=;",'Текущие цены с учетом расхода'!AG6:AG32),0)</f>
        <v>0</v>
      </c>
      <c r="G431" s="29"/>
      <c r="H431" s="29"/>
      <c r="I431" s="29"/>
      <c r="J431" s="30"/>
      <c r="K431" s="30"/>
      <c r="L431" s="29"/>
      <c r="N431" s="31" t="s">
        <v>336</v>
      </c>
    </row>
    <row r="432" spans="1:14">
      <c r="A432" s="26">
        <v>62</v>
      </c>
      <c r="B432" s="9" t="s">
        <v>75</v>
      </c>
      <c r="C432" s="31" t="s">
        <v>275</v>
      </c>
      <c r="D432" s="34">
        <v>0</v>
      </c>
      <c r="F432" s="29">
        <f>ROUND(SUMIF(Определители!I6:I32,"=;",'Текущие цены с учетом расхода'!N6:N32),0)</f>
        <v>0</v>
      </c>
      <c r="G432" s="29"/>
      <c r="H432" s="29"/>
      <c r="I432" s="29"/>
      <c r="J432" s="30"/>
      <c r="K432" s="30"/>
      <c r="L432" s="29"/>
      <c r="N432" s="31" t="s">
        <v>337</v>
      </c>
    </row>
    <row r="433" spans="1:14">
      <c r="A433" s="26">
        <v>63</v>
      </c>
      <c r="B433" s="9" t="s">
        <v>76</v>
      </c>
      <c r="C433" s="31" t="s">
        <v>275</v>
      </c>
      <c r="D433" s="34">
        <v>0</v>
      </c>
      <c r="F433" s="29">
        <f>ROUND(SUMIF(Определители!I6:I32,"=;",'Текущие цены с учетом расхода'!O6:O32),0)</f>
        <v>0</v>
      </c>
      <c r="G433" s="29"/>
      <c r="H433" s="29"/>
      <c r="I433" s="29"/>
      <c r="J433" s="30"/>
      <c r="K433" s="30"/>
      <c r="L433" s="29"/>
      <c r="N433" s="31" t="s">
        <v>338</v>
      </c>
    </row>
    <row r="434" spans="1:14">
      <c r="A434" s="26">
        <v>64</v>
      </c>
      <c r="B434" s="9" t="s">
        <v>97</v>
      </c>
      <c r="C434" s="31" t="s">
        <v>276</v>
      </c>
      <c r="D434" s="34">
        <v>0</v>
      </c>
      <c r="F434" s="29">
        <f>ROUND((F429+F432+F433),0)</f>
        <v>0</v>
      </c>
      <c r="G434" s="29"/>
      <c r="H434" s="29"/>
      <c r="I434" s="29"/>
      <c r="J434" s="30"/>
      <c r="K434" s="30"/>
      <c r="L434" s="29"/>
      <c r="N434" s="31" t="s">
        <v>339</v>
      </c>
    </row>
    <row r="435" spans="1:14">
      <c r="A435" s="26">
        <v>65</v>
      </c>
      <c r="B435" s="9" t="s">
        <v>98</v>
      </c>
      <c r="C435" s="31" t="s">
        <v>275</v>
      </c>
      <c r="D435" s="34">
        <v>0</v>
      </c>
      <c r="F435" s="29">
        <f>ROUND(SUMIF(Определители!I6:I32,"=9",'Текущие цены с учетом расхода'!B6:B32),0)</f>
        <v>0</v>
      </c>
      <c r="G435" s="29">
        <f>ROUND(SUMIF(Определители!I6:I32,"=9",'Текущие цены с учетом расхода'!C6:C32),0)</f>
        <v>0</v>
      </c>
      <c r="H435" s="29">
        <f>ROUND(SUMIF(Определители!I6:I32,"=9",'Текущие цены с учетом расхода'!D6:D32),0)</f>
        <v>0</v>
      </c>
      <c r="I435" s="29">
        <f>ROUND(SUMIF(Определители!I6:I32,"=9",'Текущие цены с учетом расхода'!E6:E32),0)</f>
        <v>0</v>
      </c>
      <c r="J435" s="30">
        <f>ROUND(SUMIF(Определители!I6:I32,"=9",'Текущие цены с учетом расхода'!I6:I32),8)</f>
        <v>0</v>
      </c>
      <c r="K435" s="30">
        <f>ROUND(SUMIF(Определители!I6:I32,"=9",'Текущие цены с учетом расхода'!K6:K32),8)</f>
        <v>0</v>
      </c>
      <c r="L435" s="29">
        <f>ROUND(SUMIF(Определители!I6:I32,"=9",'Текущие цены с учетом расхода'!F6:F32),0)</f>
        <v>0</v>
      </c>
      <c r="N435" s="31" t="s">
        <v>340</v>
      </c>
    </row>
    <row r="436" spans="1:14">
      <c r="A436" s="26">
        <v>66</v>
      </c>
      <c r="B436" s="9" t="s">
        <v>75</v>
      </c>
      <c r="C436" s="31" t="s">
        <v>275</v>
      </c>
      <c r="D436" s="34">
        <v>0</v>
      </c>
      <c r="F436" s="29">
        <f>ROUND(SUMIF(Определители!I6:I32,"=9",'Текущие цены с учетом расхода'!N6:N32),0)</f>
        <v>0</v>
      </c>
      <c r="G436" s="29"/>
      <c r="H436" s="29"/>
      <c r="I436" s="29"/>
      <c r="J436" s="30"/>
      <c r="K436" s="30"/>
      <c r="L436" s="29"/>
      <c r="N436" s="31" t="s">
        <v>341</v>
      </c>
    </row>
    <row r="437" spans="1:14">
      <c r="A437" s="26">
        <v>67</v>
      </c>
      <c r="B437" s="9" t="s">
        <v>76</v>
      </c>
      <c r="C437" s="31" t="s">
        <v>275</v>
      </c>
      <c r="D437" s="34">
        <v>0</v>
      </c>
      <c r="F437" s="29">
        <f>ROUND(SUMIF(Определители!I6:I32,"=9",'Текущие цены с учетом расхода'!O6:O32),0)</f>
        <v>0</v>
      </c>
      <c r="G437" s="29"/>
      <c r="H437" s="29"/>
      <c r="I437" s="29"/>
      <c r="J437" s="30"/>
      <c r="K437" s="30"/>
      <c r="L437" s="29"/>
      <c r="N437" s="31" t="s">
        <v>342</v>
      </c>
    </row>
    <row r="438" spans="1:14">
      <c r="A438" s="26">
        <v>68</v>
      </c>
      <c r="B438" s="9" t="s">
        <v>99</v>
      </c>
      <c r="C438" s="31" t="s">
        <v>276</v>
      </c>
      <c r="D438" s="34">
        <v>0</v>
      </c>
      <c r="F438" s="29">
        <f>ROUND((F435+F436+F437),0)</f>
        <v>0</v>
      </c>
      <c r="G438" s="29"/>
      <c r="H438" s="29"/>
      <c r="I438" s="29"/>
      <c r="J438" s="30"/>
      <c r="K438" s="30"/>
      <c r="L438" s="29"/>
      <c r="N438" s="31" t="s">
        <v>343</v>
      </c>
    </row>
    <row r="439" spans="1:14">
      <c r="A439" s="26">
        <v>69</v>
      </c>
      <c r="B439" s="9" t="s">
        <v>100</v>
      </c>
      <c r="C439" s="31" t="s">
        <v>275</v>
      </c>
      <c r="D439" s="34">
        <v>0</v>
      </c>
      <c r="F439" s="29">
        <f>ROUND(SUMIF(Определители!I6:I32,"=:",'Текущие цены с учетом расхода'!B6:B32),0)</f>
        <v>0</v>
      </c>
      <c r="G439" s="29">
        <f>ROUND(SUMIF(Определители!I6:I32,"=:",'Текущие цены с учетом расхода'!C6:C32),0)</f>
        <v>0</v>
      </c>
      <c r="H439" s="29">
        <f>ROUND(SUMIF(Определители!I6:I32,"=:",'Текущие цены с учетом расхода'!D6:D32),0)</f>
        <v>0</v>
      </c>
      <c r="I439" s="29">
        <f>ROUND(SUMIF(Определители!I6:I32,"=:",'Текущие цены с учетом расхода'!E6:E32),0)</f>
        <v>0</v>
      </c>
      <c r="J439" s="30">
        <f>ROUND(SUMIF(Определители!I6:I32,"=:",'Текущие цены с учетом расхода'!I6:I32),8)</f>
        <v>0</v>
      </c>
      <c r="K439" s="30">
        <f>ROUND(SUMIF(Определители!I6:I32,"=:",'Текущие цены с учетом расхода'!K6:K32),8)</f>
        <v>0</v>
      </c>
      <c r="L439" s="29">
        <f>ROUND(SUMIF(Определители!I6:I32,"=:",'Текущие цены с учетом расхода'!F6:F32),0)</f>
        <v>0</v>
      </c>
      <c r="N439" s="31" t="s">
        <v>344</v>
      </c>
    </row>
    <row r="440" spans="1:14">
      <c r="A440" s="26">
        <v>70</v>
      </c>
      <c r="B440" s="9" t="s">
        <v>74</v>
      </c>
      <c r="C440" s="31" t="s">
        <v>275</v>
      </c>
      <c r="D440" s="34">
        <v>0</v>
      </c>
      <c r="F440" s="29">
        <f>ROUND(SUMIF(Определители!I6:I32,"=:",'Текущие цены с учетом расхода'!H6:H32),0)</f>
        <v>0</v>
      </c>
      <c r="G440" s="29"/>
      <c r="H440" s="29"/>
      <c r="I440" s="29"/>
      <c r="J440" s="30"/>
      <c r="K440" s="30"/>
      <c r="L440" s="29"/>
      <c r="N440" s="31" t="s">
        <v>345</v>
      </c>
    </row>
    <row r="441" spans="1:14">
      <c r="A441" s="26">
        <v>71</v>
      </c>
      <c r="B441" s="9" t="s">
        <v>75</v>
      </c>
      <c r="C441" s="31" t="s">
        <v>275</v>
      </c>
      <c r="D441" s="34">
        <v>0</v>
      </c>
      <c r="F441" s="29">
        <f>ROUND(SUMIF(Определители!I6:I32,"=:",'Текущие цены с учетом расхода'!N6:N32),0)</f>
        <v>0</v>
      </c>
      <c r="G441" s="29"/>
      <c r="H441" s="29"/>
      <c r="I441" s="29"/>
      <c r="J441" s="30"/>
      <c r="K441" s="30"/>
      <c r="L441" s="29"/>
      <c r="N441" s="31" t="s">
        <v>346</v>
      </c>
    </row>
    <row r="442" spans="1:14">
      <c r="A442" s="26">
        <v>72</v>
      </c>
      <c r="B442" s="9" t="s">
        <v>76</v>
      </c>
      <c r="C442" s="31" t="s">
        <v>275</v>
      </c>
      <c r="D442" s="34">
        <v>0</v>
      </c>
      <c r="F442" s="29">
        <f>ROUND(SUMIF(Определители!I6:I32,"=:",'Текущие цены с учетом расхода'!O6:O32),0)</f>
        <v>0</v>
      </c>
      <c r="G442" s="29"/>
      <c r="H442" s="29"/>
      <c r="I442" s="29"/>
      <c r="J442" s="30"/>
      <c r="K442" s="30"/>
      <c r="L442" s="29"/>
      <c r="N442" s="31" t="s">
        <v>347</v>
      </c>
    </row>
    <row r="443" spans="1:14">
      <c r="A443" s="26">
        <v>73</v>
      </c>
      <c r="B443" s="9" t="s">
        <v>101</v>
      </c>
      <c r="C443" s="31" t="s">
        <v>276</v>
      </c>
      <c r="D443" s="34">
        <v>0</v>
      </c>
      <c r="F443" s="29">
        <f>ROUND((F439+F441+F442),0)</f>
        <v>0</v>
      </c>
      <c r="G443" s="29"/>
      <c r="H443" s="29"/>
      <c r="I443" s="29"/>
      <c r="J443" s="30"/>
      <c r="K443" s="30"/>
      <c r="L443" s="29"/>
      <c r="N443" s="31" t="s">
        <v>348</v>
      </c>
    </row>
    <row r="444" spans="1:14">
      <c r="A444" s="26">
        <v>74</v>
      </c>
      <c r="B444" s="9" t="s">
        <v>102</v>
      </c>
      <c r="C444" s="31" t="s">
        <v>275</v>
      </c>
      <c r="D444" s="34">
        <v>0</v>
      </c>
      <c r="F444" s="29">
        <f>ROUND(SUMIF(Определители!I6:I32,"=8",'Текущие цены с учетом расхода'!B6:B32),0)</f>
        <v>0</v>
      </c>
      <c r="G444" s="29">
        <f>ROUND(SUMIF(Определители!I6:I32,"=8",'Текущие цены с учетом расхода'!C6:C32),0)</f>
        <v>0</v>
      </c>
      <c r="H444" s="29">
        <f>ROUND(SUMIF(Определители!I6:I32,"=8",'Текущие цены с учетом расхода'!D6:D32),0)</f>
        <v>0</v>
      </c>
      <c r="I444" s="29">
        <f>ROUND(SUMIF(Определители!I6:I32,"=8",'Текущие цены с учетом расхода'!E6:E32),0)</f>
        <v>0</v>
      </c>
      <c r="J444" s="30">
        <f>ROUND(SUMIF(Определители!I6:I32,"=8",'Текущие цены с учетом расхода'!I6:I32),8)</f>
        <v>0</v>
      </c>
      <c r="K444" s="30">
        <f>ROUND(SUMIF(Определители!I6:I32,"=8",'Текущие цены с учетом расхода'!K6:K32),8)</f>
        <v>0</v>
      </c>
      <c r="L444" s="29">
        <f>ROUND(SUMIF(Определители!I6:I32,"=8",'Текущие цены с учетом расхода'!F6:F32),0)</f>
        <v>0</v>
      </c>
      <c r="N444" s="31" t="s">
        <v>349</v>
      </c>
    </row>
    <row r="445" spans="1:14">
      <c r="A445" s="26">
        <v>75</v>
      </c>
      <c r="B445" s="9" t="s">
        <v>74</v>
      </c>
      <c r="C445" s="31" t="s">
        <v>275</v>
      </c>
      <c r="D445" s="34">
        <v>0</v>
      </c>
      <c r="F445" s="29">
        <f>ROUND(SUMIF(Определители!I6:I32,"=8",'Текущие цены с учетом расхода'!H6:H32),0)</f>
        <v>0</v>
      </c>
      <c r="G445" s="29"/>
      <c r="H445" s="29"/>
      <c r="I445" s="29"/>
      <c r="J445" s="30"/>
      <c r="K445" s="30"/>
      <c r="L445" s="29"/>
      <c r="N445" s="31" t="s">
        <v>350</v>
      </c>
    </row>
    <row r="446" spans="1:14">
      <c r="A446" s="26">
        <v>76</v>
      </c>
      <c r="B446" s="9" t="s">
        <v>158</v>
      </c>
      <c r="C446" s="31" t="s">
        <v>276</v>
      </c>
      <c r="D446" s="34">
        <v>0</v>
      </c>
      <c r="F446" s="29" t="e">
        <f ca="1">ROUND((F381+F391+F398+F403+F411+F416+F421+F428+F438+F443+F444+F434),0)</f>
        <v>#NAME?</v>
      </c>
      <c r="G446" s="29">
        <f>ROUND((G381+G391+G398+G403+G411+G416+G421+G428+G438+G443+G444+G434),0)</f>
        <v>0</v>
      </c>
      <c r="H446" s="29">
        <f>ROUND((H381+H391+H398+H403+H411+H416+H421+H428+H438+H443+H444+H434),0)</f>
        <v>0</v>
      </c>
      <c r="I446" s="29">
        <f>ROUND((I381+I391+I398+I403+I411+I416+I421+I428+I438+I443+I444+I434),0)</f>
        <v>0</v>
      </c>
      <c r="J446" s="30">
        <f>ROUND((J381+J391+J398+J403+J411+J416+J421+J428+J438+J443+J444+J434),8)</f>
        <v>0</v>
      </c>
      <c r="K446" s="30">
        <f>ROUND((K381+K391+K398+K403+K411+K416+K421+K428+K438+K443+K444+K434),8)</f>
        <v>0</v>
      </c>
      <c r="L446" s="29">
        <f>ROUND((L381+L391+L398+L403+L411+L416+L421+L428+L438+L443+L444+L434),0)</f>
        <v>0</v>
      </c>
      <c r="N446" s="31" t="s">
        <v>351</v>
      </c>
    </row>
    <row r="447" spans="1:14">
      <c r="A447" s="26">
        <v>77</v>
      </c>
      <c r="B447" s="9" t="s">
        <v>104</v>
      </c>
      <c r="C447" s="31" t="s">
        <v>276</v>
      </c>
      <c r="D447" s="34">
        <v>0</v>
      </c>
      <c r="F447" s="29">
        <f>ROUND((F387+F395+F400+F407+F413+F418+F425+F440+F445),0)</f>
        <v>0</v>
      </c>
      <c r="G447" s="29"/>
      <c r="H447" s="29"/>
      <c r="I447" s="29"/>
      <c r="J447" s="30"/>
      <c r="K447" s="30"/>
      <c r="L447" s="29"/>
      <c r="N447" s="31" t="s">
        <v>352</v>
      </c>
    </row>
    <row r="448" spans="1:14">
      <c r="A448" s="26">
        <v>78</v>
      </c>
      <c r="B448" s="9" t="s">
        <v>105</v>
      </c>
      <c r="C448" s="31" t="s">
        <v>276</v>
      </c>
      <c r="D448" s="34">
        <v>0</v>
      </c>
      <c r="F448" s="29">
        <f>ROUND((F388+F396+F401+F408+F414+F419+F426+F436+F441+F432),0)</f>
        <v>27122</v>
      </c>
      <c r="G448" s="29"/>
      <c r="H448" s="29"/>
      <c r="I448" s="29"/>
      <c r="J448" s="30"/>
      <c r="K448" s="30"/>
      <c r="L448" s="29"/>
      <c r="N448" s="31" t="s">
        <v>353</v>
      </c>
    </row>
    <row r="449" spans="1:14">
      <c r="A449" s="26">
        <v>79</v>
      </c>
      <c r="B449" s="9" t="s">
        <v>106</v>
      </c>
      <c r="C449" s="31" t="s">
        <v>276</v>
      </c>
      <c r="D449" s="34">
        <v>0</v>
      </c>
      <c r="F449" s="29">
        <f>ROUND((F389+F397+F402+F409+F415+F420+F427+F437+F442+F433),0)</f>
        <v>20419</v>
      </c>
      <c r="G449" s="29"/>
      <c r="H449" s="29"/>
      <c r="I449" s="29"/>
      <c r="J449" s="30"/>
      <c r="K449" s="30"/>
      <c r="L449" s="29"/>
      <c r="N449" s="31" t="s">
        <v>354</v>
      </c>
    </row>
    <row r="450" spans="1:14">
      <c r="A450" s="26">
        <v>80</v>
      </c>
      <c r="B450" s="9" t="s">
        <v>33</v>
      </c>
      <c r="C450" s="31" t="s">
        <v>277</v>
      </c>
      <c r="D450" s="34">
        <v>0</v>
      </c>
      <c r="F450" s="29">
        <f>ROUND(SUM('Текущие цены с учетом расхода'!X6:X32),0)</f>
        <v>0</v>
      </c>
      <c r="G450" s="29"/>
      <c r="H450" s="29"/>
      <c r="I450" s="29"/>
      <c r="J450" s="30"/>
      <c r="K450" s="30"/>
      <c r="L450" s="29">
        <f>ROUND(SUM('Текущие цены с учетом расхода'!X6:X32),0)</f>
        <v>0</v>
      </c>
      <c r="N450" s="31" t="s">
        <v>355</v>
      </c>
    </row>
    <row r="451" spans="1:14">
      <c r="A451" s="26">
        <v>81</v>
      </c>
      <c r="B451" s="9" t="s">
        <v>107</v>
      </c>
      <c r="C451" s="31" t="s">
        <v>277</v>
      </c>
      <c r="D451" s="34">
        <v>0</v>
      </c>
      <c r="F451" s="29">
        <f>ROUND(SUM(G451:N451),0)</f>
        <v>0</v>
      </c>
      <c r="G451" s="29"/>
      <c r="H451" s="29"/>
      <c r="I451" s="29"/>
      <c r="J451" s="30"/>
      <c r="K451" s="30"/>
      <c r="L451" s="29">
        <f>ROUND(SUM('Текущие цены с учетом расхода'!AE6:AE32),0)</f>
        <v>0</v>
      </c>
      <c r="N451" s="31" t="s">
        <v>356</v>
      </c>
    </row>
    <row r="452" spans="1:14">
      <c r="A452" s="26">
        <v>82</v>
      </c>
      <c r="B452" s="9" t="s">
        <v>108</v>
      </c>
      <c r="C452" s="31" t="s">
        <v>277</v>
      </c>
      <c r="D452" s="34">
        <v>0</v>
      </c>
      <c r="F452" s="29">
        <f>ROUND(SUM('Текущие цены с учетом расхода'!C6:C32),0)</f>
        <v>30477</v>
      </c>
      <c r="G452" s="29"/>
      <c r="H452" s="29"/>
      <c r="I452" s="29"/>
      <c r="J452" s="30"/>
      <c r="K452" s="30"/>
      <c r="L452" s="29"/>
      <c r="N452" s="31" t="s">
        <v>357</v>
      </c>
    </row>
    <row r="453" spans="1:14">
      <c r="A453" s="26">
        <v>83</v>
      </c>
      <c r="B453" s="9" t="s">
        <v>109</v>
      </c>
      <c r="C453" s="31" t="s">
        <v>277</v>
      </c>
      <c r="D453" s="34">
        <v>0</v>
      </c>
      <c r="F453" s="29">
        <f>ROUND(SUM('Текущие цены с учетом расхода'!E6:E32),0)</f>
        <v>1283</v>
      </c>
      <c r="G453" s="29"/>
      <c r="H453" s="29"/>
      <c r="I453" s="29"/>
      <c r="J453" s="30"/>
      <c r="K453" s="30"/>
      <c r="L453" s="29"/>
      <c r="N453" s="31" t="s">
        <v>358</v>
      </c>
    </row>
    <row r="454" spans="1:14">
      <c r="A454" s="26">
        <v>84</v>
      </c>
      <c r="B454" s="9" t="s">
        <v>110</v>
      </c>
      <c r="C454" s="31" t="s">
        <v>278</v>
      </c>
      <c r="D454" s="34">
        <v>0</v>
      </c>
      <c r="F454" s="29">
        <f>ROUND((F452+F453),0)</f>
        <v>31760</v>
      </c>
      <c r="G454" s="29"/>
      <c r="H454" s="29"/>
      <c r="I454" s="29"/>
      <c r="J454" s="30"/>
      <c r="K454" s="30"/>
      <c r="L454" s="29"/>
      <c r="N454" s="31" t="s">
        <v>359</v>
      </c>
    </row>
    <row r="455" spans="1:14">
      <c r="A455" s="26">
        <v>85</v>
      </c>
      <c r="B455" s="9" t="s">
        <v>111</v>
      </c>
      <c r="C455" s="31" t="s">
        <v>277</v>
      </c>
      <c r="D455" s="34">
        <v>0</v>
      </c>
      <c r="F455" s="29"/>
      <c r="G455" s="29"/>
      <c r="H455" s="29"/>
      <c r="I455" s="29"/>
      <c r="J455" s="30" t="e">
        <f ca="1">ROUND(SUM('Текущие цены с учетом расхода'!I6:I32),8)</f>
        <v>#NAME?</v>
      </c>
      <c r="K455" s="30"/>
      <c r="L455" s="29"/>
      <c r="N455" s="31" t="s">
        <v>360</v>
      </c>
    </row>
    <row r="456" spans="1:14">
      <c r="A456" s="26">
        <v>86</v>
      </c>
      <c r="B456" s="9" t="s">
        <v>112</v>
      </c>
      <c r="C456" s="31" t="s">
        <v>277</v>
      </c>
      <c r="D456" s="34">
        <v>0</v>
      </c>
      <c r="F456" s="29"/>
      <c r="G456" s="29"/>
      <c r="H456" s="29"/>
      <c r="I456" s="29"/>
      <c r="J456" s="30" t="e">
        <f ca="1">ROUND(SUM('Текущие цены с учетом расхода'!K6:K32),8)</f>
        <v>#NAME?</v>
      </c>
      <c r="K456" s="30"/>
      <c r="L456" s="29"/>
      <c r="N456" s="31" t="s">
        <v>361</v>
      </c>
    </row>
    <row r="457" spans="1:14">
      <c r="A457" s="26">
        <v>87</v>
      </c>
      <c r="B457" s="9" t="s">
        <v>113</v>
      </c>
      <c r="C457" s="31" t="s">
        <v>278</v>
      </c>
      <c r="D457" s="34">
        <v>0</v>
      </c>
      <c r="F457" s="29"/>
      <c r="G457" s="29"/>
      <c r="H457" s="29"/>
      <c r="I457" s="29"/>
      <c r="J457" s="30" t="e">
        <f ca="1">ROUND((J455+J456),8)</f>
        <v>#NAME?</v>
      </c>
      <c r="K457" s="30"/>
      <c r="L457" s="29"/>
      <c r="N457" s="31" t="s">
        <v>362</v>
      </c>
    </row>
  </sheetData>
  <mergeCells count="8">
    <mergeCell ref="B189:N190"/>
    <mergeCell ref="B280:N281"/>
    <mergeCell ref="A2:N2"/>
    <mergeCell ref="B3:N3"/>
    <mergeCell ref="B4:N4"/>
    <mergeCell ref="A5:N5"/>
    <mergeCell ref="B7:N8"/>
    <mergeCell ref="B98:N99"/>
  </mergeCell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Форма 4т</vt:lpstr>
      <vt:lpstr>Базовые цены за единицу</vt:lpstr>
      <vt:lpstr>Текущие цены за единицу</vt:lpstr>
      <vt:lpstr>Базовые цены с учетом расхода</vt:lpstr>
      <vt:lpstr>Текущие цены с учетом расхода</vt:lpstr>
      <vt:lpstr>Начисления</vt:lpstr>
      <vt:lpstr>Определители</vt:lpstr>
      <vt:lpstr>Базовые концовки</vt:lpstr>
      <vt:lpstr>Текущие концовки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Smet3</dc:creator>
  <cp:lastModifiedBy>Пользователь Windows</cp:lastModifiedBy>
  <dcterms:created xsi:type="dcterms:W3CDTF">2019-11-01T11:16:07Z</dcterms:created>
  <dcterms:modified xsi:type="dcterms:W3CDTF">2019-11-05T14:33:04Z</dcterms:modified>
</cp:coreProperties>
</file>